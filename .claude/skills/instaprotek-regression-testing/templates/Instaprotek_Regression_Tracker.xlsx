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ahgamba\Dropbox\PC\Documents\pm-instaprotek\Insta-testing\"/>
    </mc:Choice>
  </mc:AlternateContent>
  <bookViews>
    <workbookView xWindow="0" yWindow="0" windowWidth="16380" windowHeight="8196" tabRatio="500"/>
  </bookViews>
  <sheets>
    <sheet name="Read Me" sheetId="1" r:id="rId1"/>
    <sheet name="Test Cases" sheetId="2" r:id="rId2"/>
    <sheet name="Defect Log" sheetId="3" r:id="rId3"/>
    <sheet name="Run Summary" sheetId="4" r:id="rId4"/>
  </sheets>
  <definedNames>
    <definedName name="_xlnm._FilterDatabase" localSheetId="2" hidden="1">'Defect Log'!$A$1:$N$39</definedName>
    <definedName name="_xlnm._FilterDatabase" localSheetId="1" hidden="1">'Test Cases'!$A$1:$O$45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1" i="4" l="1"/>
  <c r="B22" i="4" s="1"/>
  <c r="B20" i="4"/>
  <c r="B19" i="4"/>
  <c r="B18" i="4"/>
  <c r="B17" i="4"/>
  <c r="B11" i="4"/>
  <c r="C11" i="4" s="1"/>
  <c r="B10" i="4"/>
  <c r="C10" i="4" s="1"/>
  <c r="B9" i="4"/>
  <c r="C9" i="4" s="1"/>
  <c r="B8" i="4"/>
  <c r="B25" i="4" s="1"/>
  <c r="B7" i="4"/>
  <c r="C7" i="4" s="1"/>
  <c r="B6" i="4"/>
  <c r="B12" i="4" s="1"/>
  <c r="C8" i="4" l="1"/>
  <c r="B13" i="4"/>
</calcChain>
</file>

<file path=xl/sharedStrings.xml><?xml version="1.0" encoding="utf-8"?>
<sst xmlns="http://schemas.openxmlformats.org/spreadsheetml/2006/main" count="597" uniqueCount="339">
  <si>
    <t>Instaprotek Portal — Regression Test Tracker</t>
  </si>
  <si>
    <t>Purpose</t>
  </si>
  <si>
    <t>A single place to run, track, and report the Instaprotek portal regression suite for each release or hotfix. Use it alongside the Regression Test Plan and the Pre-Release Checklist in this folder.</t>
  </si>
  <si>
    <t>How to use it</t>
  </si>
  <si>
    <t>1. Before a run</t>
  </si>
  <si>
    <t>Duplicate the workbook (e.g. Tracker_v2.4.0.xlsx) so each release keeps its own record.</t>
  </si>
  <si>
    <t>2. During the run</t>
  </si>
  <si>
    <t>In the Test Cases tab, work down the suite. Fill the yellow columns: Last Run Date, Status, Actual Result / Notes, Defect ID, Tester.</t>
  </si>
  <si>
    <t>3. On a failure</t>
  </si>
  <si>
    <t>Log it in the Defect Log tab, then put its Defect ID back on the failing test case row.</t>
  </si>
  <si>
    <t>4. To report</t>
  </si>
  <si>
    <t>The Run Summary tab totals everything automatically — pass rate, defect counts, and a release-readiness flag.</t>
  </si>
  <si>
    <t>Tabs in this workbook</t>
  </si>
  <si>
    <t>Test Cases</t>
  </si>
  <si>
    <t>The regression suite, grouped by portal module. Starter cases — edit, add, and delete to match Instaprotek.</t>
  </si>
  <si>
    <t>Defect Log</t>
  </si>
  <si>
    <t>Defects found during testing, with severity, status, and resolution.</t>
  </si>
  <si>
    <t>Run Summary</t>
  </si>
  <si>
    <t>Auto-calculated dashboard. Do not type over its formula cells.</t>
  </si>
  <si>
    <t>Yellow cells = you fill these in</t>
  </si>
  <si>
    <t>Any column shaded pale yellow is meant to be filled during a run. Everything else is reference content for the suite.</t>
  </si>
  <si>
    <t>Status values (Test Cases)</t>
  </si>
  <si>
    <t>Pass</t>
  </si>
  <si>
    <t>Behaved exactly as the expected result describes.</t>
  </si>
  <si>
    <t>Fail</t>
  </si>
  <si>
    <t>Did not match the expected result. Log a defect and add its ID.</t>
  </si>
  <si>
    <t>Blocked</t>
  </si>
  <si>
    <t>Could not be run (dependency, environment, or a blocking defect).</t>
  </si>
  <si>
    <t>Not Run</t>
  </si>
  <si>
    <t>Not yet executed this cycle (default).</t>
  </si>
  <si>
    <t>N/A</t>
  </si>
  <si>
    <t>Not applicable to this release.</t>
  </si>
  <si>
    <t>Priority values</t>
  </si>
  <si>
    <t>P1</t>
  </si>
  <si>
    <t>Critical — core/blocking. Must pass to ship.</t>
  </si>
  <si>
    <t>P2</t>
  </si>
  <si>
    <t>High — important flow; failures usually block release.</t>
  </si>
  <si>
    <t>P3</t>
  </si>
  <si>
    <t>Medium — should work; assess impact.</t>
  </si>
  <si>
    <t>P4</t>
  </si>
  <si>
    <t>Low — minor / cosmetic.</t>
  </si>
  <si>
    <t>Example of a filled-in test case row</t>
  </si>
  <si>
    <t>TC-AUTH-001</t>
  </si>
  <si>
    <t>Last Run Date: 2026-07-15  |  Status: Pass  |  Notes: Logged in cleanly on Chrome + Edge  |  Defect ID: (blank)  |  Tester: Sarah</t>
  </si>
  <si>
    <t>Tip: keep one blank master copy of this file and copy it per release so you build a history of regression runs.</t>
  </si>
  <si>
    <t>Test ID</t>
  </si>
  <si>
    <t>Module</t>
  </si>
  <si>
    <t>Test Case Title</t>
  </si>
  <si>
    <t>Preconditions</t>
  </si>
  <si>
    <t>Test Steps</t>
  </si>
  <si>
    <t>Test Data</t>
  </si>
  <si>
    <t>Expected Result</t>
  </si>
  <si>
    <t>Priority</t>
  </si>
  <si>
    <t>Type</t>
  </si>
  <si>
    <t>Automated</t>
  </si>
  <si>
    <t>Last Run Date</t>
  </si>
  <si>
    <t>Status</t>
  </si>
  <si>
    <t>Actual Result / Notes</t>
  </si>
  <si>
    <t>Defect ID</t>
  </si>
  <si>
    <t>Tester</t>
  </si>
  <si>
    <t>Authentication</t>
  </si>
  <si>
    <t>Valid login</t>
  </si>
  <si>
    <t>Active account exists</t>
  </si>
  <si>
    <t>1. Open portal login
2. Enter valid username &amp; password
3. Click Log In</t>
  </si>
  <si>
    <t>standard user</t>
  </si>
  <si>
    <t>User is authenticated and lands on the dashboard</t>
  </si>
  <si>
    <t>Functional</t>
  </si>
  <si>
    <t>Yes</t>
  </si>
  <si>
    <t>TC-AUTH-002</t>
  </si>
  <si>
    <t>Invalid password rejected</t>
  </si>
  <si>
    <t>Account exists</t>
  </si>
  <si>
    <t>1. Enter valid username
2. Enter wrong password
3. Submit</t>
  </si>
  <si>
    <t>wrong pw</t>
  </si>
  <si>
    <t>Error shown; access denied; no session created</t>
  </si>
  <si>
    <t>TC-AUTH-003</t>
  </si>
  <si>
    <t>Password reset flow</t>
  </si>
  <si>
    <t>Account with valid email</t>
  </si>
  <si>
    <t>1. Click Forgot Password
2. Enter email
3. Open reset link
4. Set new password</t>
  </si>
  <si>
    <t>reset email</t>
  </si>
  <si>
    <t>Reset email sent; new password works; old one fails</t>
  </si>
  <si>
    <t>No</t>
  </si>
  <si>
    <t>TC-AUTH-004</t>
  </si>
  <si>
    <t>MFA challenge</t>
  </si>
  <si>
    <t>MFA enabled on account</t>
  </si>
  <si>
    <t>1. Log in with valid creds
2. Enter one-time code</t>
  </si>
  <si>
    <t>OTP code</t>
  </si>
  <si>
    <t>Access granted only after a valid OTP</t>
  </si>
  <si>
    <t>Security</t>
  </si>
  <si>
    <t>TC-AUTH-005</t>
  </si>
  <si>
    <t>Account lockout after failed attempts</t>
  </si>
  <si>
    <t>Lockout policy = 5</t>
  </si>
  <si>
    <t>1. Enter wrong password 5 times</t>
  </si>
  <si>
    <t>-</t>
  </si>
  <si>
    <t>Account locked; lockout message shown</t>
  </si>
  <si>
    <t>TC-AUTH-006</t>
  </si>
  <si>
    <t>Session timeout</t>
  </si>
  <si>
    <t>Logged-in session</t>
  </si>
  <si>
    <t>1. Leave session idle past timeout
2. Attempt an action</t>
  </si>
  <si>
    <t>Session expires; user redirected to login</t>
  </si>
  <si>
    <t>TC-AUTH-007</t>
  </si>
  <si>
    <t>Logout ends session</t>
  </si>
  <si>
    <t>Logged in</t>
  </si>
  <si>
    <t>1. Click Log Out
2. Use browser Back</t>
  </si>
  <si>
    <t>Session ended; protected pages inaccessible</t>
  </si>
  <si>
    <t>TC-USER-001</t>
  </si>
  <si>
    <t>User &amp; Role Mgmt</t>
  </si>
  <si>
    <t>Create new user</t>
  </si>
  <si>
    <t>Admin logged in</t>
  </si>
  <si>
    <t>1. Admin &gt; Users &gt; Add
2. Complete required fields
3. Save</t>
  </si>
  <si>
    <t>new user</t>
  </si>
  <si>
    <t>User created, appears in list, can log in</t>
  </si>
  <si>
    <t>TC-USER-002</t>
  </si>
  <si>
    <t>Edit user details</t>
  </si>
  <si>
    <t>User exists</t>
  </si>
  <si>
    <t>1. Open user
2. Edit fields
3. Save</t>
  </si>
  <si>
    <t>Changes saved and persist after reload</t>
  </si>
  <si>
    <t>TC-USER-003</t>
  </si>
  <si>
    <t>Deactivate user</t>
  </si>
  <si>
    <t>Active user exists</t>
  </si>
  <si>
    <t>1. Set user to inactive
2. Attempt login as that user</t>
  </si>
  <si>
    <t>Deactivated user cannot log in</t>
  </si>
  <si>
    <t>TC-ROLE-001</t>
  </si>
  <si>
    <t>Role permissions enforced</t>
  </si>
  <si>
    <t>Roles configured</t>
  </si>
  <si>
    <t>1. Log in as limited role
2. Attempt a restricted action</t>
  </si>
  <si>
    <t>Action blocked; unauthorized message shown</t>
  </si>
  <si>
    <t>TC-ROLE-002</t>
  </si>
  <si>
    <t>Admin pages blocked for standard user</t>
  </si>
  <si>
    <t>Standard user</t>
  </si>
  <si>
    <t>1. Navigate directly to an admin URL</t>
  </si>
  <si>
    <t>/admin</t>
  </si>
  <si>
    <t>Access denied or redirected</t>
  </si>
  <si>
    <t>TC-DASH-001</t>
  </si>
  <si>
    <t>Dashboard &amp; Nav</t>
  </si>
  <si>
    <t>Dashboard loads with widgets</t>
  </si>
  <si>
    <t>1. Load the dashboard</t>
  </si>
  <si>
    <t>All widgets render correct data, no console errors</t>
  </si>
  <si>
    <t>TC-DASH-002</t>
  </si>
  <si>
    <t>Primary navigation links</t>
  </si>
  <si>
    <t>1. Click each primary nav item</t>
  </si>
  <si>
    <t>Each link routes to the correct page</t>
  </si>
  <si>
    <t>TC-DASH-003</t>
  </si>
  <si>
    <t>Breadcrumbs reflect location</t>
  </si>
  <si>
    <t>1. Navigate through nested pages</t>
  </si>
  <si>
    <t>Breadcrumbs accurate and clickable</t>
  </si>
  <si>
    <t>UI</t>
  </si>
  <si>
    <t>TC-REC-001</t>
  </si>
  <si>
    <t>Records / Core</t>
  </si>
  <si>
    <t>Create record</t>
  </si>
  <si>
    <t>Create rights</t>
  </si>
  <si>
    <t>1. New record
2. Complete required fields
3. Save</t>
  </si>
  <si>
    <t>sample record</t>
  </si>
  <si>
    <t>Record created and visible in the list</t>
  </si>
  <si>
    <t>TC-REC-002</t>
  </si>
  <si>
    <t>Mandatory field validation</t>
  </si>
  <si>
    <t>Create form open</t>
  </si>
  <si>
    <t>1. Submit with required fields blank</t>
  </si>
  <si>
    <t>Validation errors shown; save blocked</t>
  </si>
  <si>
    <t>TC-REC-003</t>
  </si>
  <si>
    <t>Edit record</t>
  </si>
  <si>
    <t>Record exists</t>
  </si>
  <si>
    <t>1. Open record
2. Edit
3. Save</t>
  </si>
  <si>
    <t>Updates persist after reload</t>
  </si>
  <si>
    <t>TC-REC-004</t>
  </si>
  <si>
    <t>Delete record</t>
  </si>
  <si>
    <t>Record + delete rights</t>
  </si>
  <si>
    <t>1. Delete record
2. Confirm</t>
  </si>
  <si>
    <t>Confirmation prompt; record removed</t>
  </si>
  <si>
    <t>TC-REC-005</t>
  </si>
  <si>
    <t>Field-level input validation</t>
  </si>
  <si>
    <t>Create form</t>
  </si>
  <si>
    <t>1. Enter invalid email, date, number formats</t>
  </si>
  <si>
    <t>bad@, 13/45</t>
  </si>
  <si>
    <t>Inline validation errors shown</t>
  </si>
  <si>
    <t>TC-SRCH-001</t>
  </si>
  <si>
    <t>Search &amp; Filter</t>
  </si>
  <si>
    <t>Search returns matches</t>
  </si>
  <si>
    <t>Records exist</t>
  </si>
  <si>
    <t>1. Enter a known term
2. Search</t>
  </si>
  <si>
    <t>keyword</t>
  </si>
  <si>
    <t>Relevant results returned</t>
  </si>
  <si>
    <t>TC-SRCH-002</t>
  </si>
  <si>
    <t>Filters narrow results</t>
  </si>
  <si>
    <t>List has data</t>
  </si>
  <si>
    <t>1. Apply one or more filters</t>
  </si>
  <si>
    <t>status=active</t>
  </si>
  <si>
    <t>Only matching rows shown</t>
  </si>
  <si>
    <t>TC-SRCH-003</t>
  </si>
  <si>
    <t>Column sort</t>
  </si>
  <si>
    <t>1. Sort ascending then descending</t>
  </si>
  <si>
    <t>Rows reorder correctly</t>
  </si>
  <si>
    <t>TC-SRCH-004</t>
  </si>
  <si>
    <t>Pagination</t>
  </si>
  <si>
    <t>Results exceed page size</t>
  </si>
  <si>
    <t>1. Navigate between pages</t>
  </si>
  <si>
    <t>Correct records per page; nav works</t>
  </si>
  <si>
    <t>TC-SRCH-005</t>
  </si>
  <si>
    <t>No-results state</t>
  </si>
  <si>
    <t>1. Search a term with no matches</t>
  </si>
  <si>
    <t>zzzzz</t>
  </si>
  <si>
    <t>Friendly 'no results' message</t>
  </si>
  <si>
    <t>TC-DOC-001</t>
  </si>
  <si>
    <t>Documents / Upload</t>
  </si>
  <si>
    <t>Upload valid file</t>
  </si>
  <si>
    <t>1. Upload an allowed file type</t>
  </si>
  <si>
    <t>sample.pdf</t>
  </si>
  <si>
    <t>File uploads and appears in the list</t>
  </si>
  <si>
    <t>TC-DOC-002</t>
  </si>
  <si>
    <t>Reject invalid file type</t>
  </si>
  <si>
    <t>1. Attempt to upload a disallowed type</t>
  </si>
  <si>
    <t>file.exe</t>
  </si>
  <si>
    <t>Upload rejected with a clear message</t>
  </si>
  <si>
    <t>TC-DOC-003</t>
  </si>
  <si>
    <t>File size limit enforced</t>
  </si>
  <si>
    <t>1. Upload an oversized file</t>
  </si>
  <si>
    <t>60 MB file</t>
  </si>
  <si>
    <t>Rejected with a size-limit error</t>
  </si>
  <si>
    <t>TC-DOC-004</t>
  </si>
  <si>
    <t>Download file</t>
  </si>
  <si>
    <t>File exists</t>
  </si>
  <si>
    <t>1. Download an uploaded file</t>
  </si>
  <si>
    <t>File downloads intact and opens</t>
  </si>
  <si>
    <t>TC-NOT-001</t>
  </si>
  <si>
    <t>Notifications</t>
  </si>
  <si>
    <t>Email notification sent</t>
  </si>
  <si>
    <t>Trigger configured</t>
  </si>
  <si>
    <t>1. Perform the action that triggers email</t>
  </si>
  <si>
    <t>Email received with correct content</t>
  </si>
  <si>
    <t>TC-NOT-002</t>
  </si>
  <si>
    <t>In-app notification</t>
  </si>
  <si>
    <t>1. Trigger an in-app alert
2. Mark as read</t>
  </si>
  <si>
    <t>Alert appears; mark-as-read works</t>
  </si>
  <si>
    <t>TC-RPT-001</t>
  </si>
  <si>
    <t>Reports &amp; Export</t>
  </si>
  <si>
    <t>Generate report</t>
  </si>
  <si>
    <t>Data exists</t>
  </si>
  <si>
    <t>1. Run a report with parameters</t>
  </si>
  <si>
    <t>date range</t>
  </si>
  <si>
    <t>Report renders the correct data</t>
  </si>
  <si>
    <t>TC-RPT-002</t>
  </si>
  <si>
    <t>Export to CSV / PDF</t>
  </si>
  <si>
    <t>Report available</t>
  </si>
  <si>
    <t>1. Export the report</t>
  </si>
  <si>
    <t>File exports, opens, and data matches</t>
  </si>
  <si>
    <t>TC-ACCT-001</t>
  </si>
  <si>
    <t>Account &amp; Profile</t>
  </si>
  <si>
    <t>Update profile</t>
  </si>
  <si>
    <t>1. Edit profile
2. Save</t>
  </si>
  <si>
    <t>Changes saved and displayed</t>
  </si>
  <si>
    <t>TC-ACCT-002</t>
  </si>
  <si>
    <t>Change password</t>
  </si>
  <si>
    <t>1. Change password with valid current one</t>
  </si>
  <si>
    <t>New password works; old one fails</t>
  </si>
  <si>
    <t>TC-ADM-001</t>
  </si>
  <si>
    <t>Admin / Settings</t>
  </si>
  <si>
    <t>Update system setting</t>
  </si>
  <si>
    <t>1. Change a setting
2. Save</t>
  </si>
  <si>
    <t>Setting applied across the portal</t>
  </si>
  <si>
    <t>TC-ADM-002</t>
  </si>
  <si>
    <t>Audit log records actions</t>
  </si>
  <si>
    <t>Admin</t>
  </si>
  <si>
    <t>1. Perform an auditable action
2. Check the log</t>
  </si>
  <si>
    <t>Action logged with user and timestamp</t>
  </si>
  <si>
    <t>TC-INT-001</t>
  </si>
  <si>
    <t>Integrations</t>
  </si>
  <si>
    <t>SSO login</t>
  </si>
  <si>
    <t>SSO configured</t>
  </si>
  <si>
    <t>1. Log in via the SSO provider</t>
  </si>
  <si>
    <t>Authenticated via SSO with correct profile</t>
  </si>
  <si>
    <t>TC-INT-002</t>
  </si>
  <si>
    <t>Third-party data sync</t>
  </si>
  <si>
    <t>Integration active</t>
  </si>
  <si>
    <t>1. Trigger a sync</t>
  </si>
  <si>
    <t>Data syncs accurately with no duplicates</t>
  </si>
  <si>
    <t>TC-SEC-001</t>
  </si>
  <si>
    <t>Unauthorized direct URL access</t>
  </si>
  <si>
    <t>1. Access another user's record by ID in the URL</t>
  </si>
  <si>
    <t>/record/999</t>
  </si>
  <si>
    <t>Access denied (IDOR protection)</t>
  </si>
  <si>
    <t>TC-SEC-002</t>
  </si>
  <si>
    <t>Input sanitization (XSS)</t>
  </si>
  <si>
    <t>Form available</t>
  </si>
  <si>
    <t>1. Enter a script payload in a text field</t>
  </si>
  <si>
    <t>&lt;script&gt;</t>
  </si>
  <si>
    <t>Input sanitized; no script executes</t>
  </si>
  <si>
    <t>TC-XBR-001</t>
  </si>
  <si>
    <t>Cross-browser</t>
  </si>
  <si>
    <t>Core flows across browsers</t>
  </si>
  <si>
    <t>1. Run the smoke path in Chrome, Edge, Firefox, Safari</t>
  </si>
  <si>
    <t>Consistent behavior and appearance</t>
  </si>
  <si>
    <t>Compatibility</t>
  </si>
  <si>
    <t>TC-XBR-002</t>
  </si>
  <si>
    <t>Mobile responsive layout</t>
  </si>
  <si>
    <t>1. Load key pages at mobile width</t>
  </si>
  <si>
    <t>Layout adapts; no broken UI</t>
  </si>
  <si>
    <t>TC-PERF-001</t>
  </si>
  <si>
    <t>Performance</t>
  </si>
  <si>
    <t>Key page load time</t>
  </si>
  <si>
    <t>1. Measure load of dashboard and a large list</t>
  </si>
  <si>
    <t>Loads within the agreed threshold (e.g. &lt; 3s)</t>
  </si>
  <si>
    <t>Linked Test ID</t>
  </si>
  <si>
    <t>Summary</t>
  </si>
  <si>
    <t>Severity</t>
  </si>
  <si>
    <t>Steps to Reproduce</t>
  </si>
  <si>
    <t>Environment</t>
  </si>
  <si>
    <t>Reported By</t>
  </si>
  <si>
    <t>Date Reported</t>
  </si>
  <si>
    <t>Assigned To</t>
  </si>
  <si>
    <t>Resolution / Notes</t>
  </si>
  <si>
    <t>Date Resolved</t>
  </si>
  <si>
    <t>DEF-001</t>
  </si>
  <si>
    <t>Login screen accepts an expired password once</t>
  </si>
  <si>
    <t>High</t>
  </si>
  <si>
    <t>Open</t>
  </si>
  <si>
    <t>1. Let a password expire
2. Log in with the old password</t>
  </si>
  <si>
    <t>Staging</t>
  </si>
  <si>
    <t>Sarah</t>
  </si>
  <si>
    <t>2026-07-15</t>
  </si>
  <si>
    <t>Under investigation</t>
  </si>
  <si>
    <t>Instaprotek Portal — Regression Run Summary</t>
  </si>
  <si>
    <t>Auto-calculated from the Test Cases and Defect Log tabs. Do not edit these cells.</t>
  </si>
  <si>
    <t>TEST EXECUTION</t>
  </si>
  <si>
    <t>Metric</t>
  </si>
  <si>
    <t>Count</t>
  </si>
  <si>
    <t>% of total</t>
  </si>
  <si>
    <t>Total test cases</t>
  </si>
  <si>
    <t>Passed</t>
  </si>
  <si>
    <t>Failed</t>
  </si>
  <si>
    <t>Executed</t>
  </si>
  <si>
    <t>Pass rate (of executed)</t>
  </si>
  <si>
    <t>DEFECTS</t>
  </si>
  <si>
    <t>Critical</t>
  </si>
  <si>
    <t>Medium</t>
  </si>
  <si>
    <t>Low</t>
  </si>
  <si>
    <t>Total logged</t>
  </si>
  <si>
    <t>Open (not closed/deferred)</t>
  </si>
  <si>
    <t>RELEASE READINESS</t>
  </si>
  <si>
    <t>Rule</t>
  </si>
  <si>
    <t>Ready when Failed = 0 and Critical defects = 0. Adjust to your own gate.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</si>
</sst>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b/>
      <sz val="10"/>
      <color rgb="FFC00000"/>
      <name val="Arial"/>
      <charset val="1"/>
    </font>
    <font>
      <b/>
      <sz val="10"/>
      <color rgb="FFC55A11"/>
      <name val="Arial"/>
      <charset val="1"/>
    </font>
    <font>
      <b/>
      <sz val="10"/>
      <color rgb="FF000000"/>
      <name val="Arial"/>
      <charset val="1"/>
    </font>
    <font>
      <b/>
      <sz val="10"/>
      <color rgb="FF808080"/>
      <name val="Arial"/>
      <charset val="1"/>
    </font>
    <font>
      <i/>
      <sz val="9"/>
      <color rgb="FF80808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0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Border="1"/>
    <xf numFmtId="0" fontId="3" fillId="0" borderId="0" xfId="0" applyFont="1" applyBorder="1" applyAlignment="1">
      <alignment horizontal="left" vertical="top" wrapText="1"/>
    </xf>
    <xf numFmtId="0" fontId="2" fillId="2" borderId="0" xfId="0" applyFont="1" applyFill="1" applyBorder="1" applyAlignment="1">
      <alignment vertical="center"/>
    </xf>
    <xf numFmtId="0" fontId="1" fillId="0" borderId="0" xfId="0" applyFont="1" applyBorder="1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showGridLines="0" tabSelected="1" zoomScaleNormal="100" workbookViewId="0">
      <selection activeCell="B8" sqref="B8"/>
    </sheetView>
  </sheetViews>
  <sheetFormatPr defaultColWidth="8.6640625" defaultRowHeight="14.4" x14ac:dyDescent="0.3"/>
  <cols>
    <col min="1" max="1" width="26" customWidth="1"/>
    <col min="2" max="2" width="95" customWidth="1"/>
  </cols>
  <sheetData>
    <row r="1" spans="1:2" ht="21.75" customHeight="1" x14ac:dyDescent="0.3">
      <c r="A1" s="6" t="s">
        <v>0</v>
      </c>
      <c r="B1" s="6"/>
    </row>
    <row r="3" spans="1:2" ht="18" customHeight="1" x14ac:dyDescent="0.3">
      <c r="A3" s="5" t="s">
        <v>1</v>
      </c>
      <c r="B3" s="5"/>
    </row>
    <row r="4" spans="1:2" ht="30" customHeight="1" x14ac:dyDescent="0.3">
      <c r="A4" s="4" t="s">
        <v>2</v>
      </c>
      <c r="B4" s="4"/>
    </row>
    <row r="6" spans="1:2" ht="18" customHeight="1" x14ac:dyDescent="0.3">
      <c r="A6" s="5" t="s">
        <v>3</v>
      </c>
      <c r="B6" s="5"/>
    </row>
    <row r="7" spans="1:2" x14ac:dyDescent="0.3">
      <c r="A7" s="7" t="s">
        <v>4</v>
      </c>
      <c r="B7" s="8" t="s">
        <v>5</v>
      </c>
    </row>
    <row r="8" spans="1:2" ht="26.4" x14ac:dyDescent="0.3">
      <c r="A8" s="7" t="s">
        <v>6</v>
      </c>
      <c r="B8" s="8" t="s">
        <v>7</v>
      </c>
    </row>
    <row r="9" spans="1:2" x14ac:dyDescent="0.3">
      <c r="A9" s="7" t="s">
        <v>8</v>
      </c>
      <c r="B9" s="8" t="s">
        <v>9</v>
      </c>
    </row>
    <row r="10" spans="1:2" x14ac:dyDescent="0.3">
      <c r="A10" s="7" t="s">
        <v>10</v>
      </c>
      <c r="B10" s="8" t="s">
        <v>11</v>
      </c>
    </row>
    <row r="12" spans="1:2" ht="18" customHeight="1" x14ac:dyDescent="0.3">
      <c r="A12" s="5" t="s">
        <v>12</v>
      </c>
      <c r="B12" s="5"/>
    </row>
    <row r="13" spans="1:2" x14ac:dyDescent="0.3">
      <c r="A13" s="7" t="s">
        <v>13</v>
      </c>
      <c r="B13" s="8" t="s">
        <v>14</v>
      </c>
    </row>
    <row r="14" spans="1:2" x14ac:dyDescent="0.3">
      <c r="A14" s="7" t="s">
        <v>15</v>
      </c>
      <c r="B14" s="8" t="s">
        <v>16</v>
      </c>
    </row>
    <row r="15" spans="1:2" x14ac:dyDescent="0.3">
      <c r="A15" s="7" t="s">
        <v>17</v>
      </c>
      <c r="B15" s="8" t="s">
        <v>18</v>
      </c>
    </row>
    <row r="17" spans="1:2" ht="18" customHeight="1" x14ac:dyDescent="0.3">
      <c r="A17" s="5" t="s">
        <v>19</v>
      </c>
      <c r="B17" s="5"/>
    </row>
    <row r="18" spans="1:2" ht="30" customHeight="1" x14ac:dyDescent="0.3">
      <c r="A18" s="4" t="s">
        <v>20</v>
      </c>
      <c r="B18" s="4"/>
    </row>
    <row r="20" spans="1:2" ht="18" customHeight="1" x14ac:dyDescent="0.3">
      <c r="A20" s="5" t="s">
        <v>21</v>
      </c>
      <c r="B20" s="5"/>
    </row>
    <row r="21" spans="1:2" x14ac:dyDescent="0.3">
      <c r="A21" s="7" t="s">
        <v>22</v>
      </c>
      <c r="B21" s="8" t="s">
        <v>23</v>
      </c>
    </row>
    <row r="22" spans="1:2" x14ac:dyDescent="0.3">
      <c r="A22" s="7" t="s">
        <v>24</v>
      </c>
      <c r="B22" s="8" t="s">
        <v>25</v>
      </c>
    </row>
    <row r="23" spans="1:2" x14ac:dyDescent="0.3">
      <c r="A23" s="7" t="s">
        <v>26</v>
      </c>
      <c r="B23" s="8" t="s">
        <v>27</v>
      </c>
    </row>
    <row r="24" spans="1:2" x14ac:dyDescent="0.3">
      <c r="A24" s="7" t="s">
        <v>28</v>
      </c>
      <c r="B24" s="8" t="s">
        <v>29</v>
      </c>
    </row>
    <row r="25" spans="1:2" x14ac:dyDescent="0.3">
      <c r="A25" s="7" t="s">
        <v>30</v>
      </c>
      <c r="B25" s="8" t="s">
        <v>31</v>
      </c>
    </row>
    <row r="27" spans="1:2" ht="18" customHeight="1" x14ac:dyDescent="0.3">
      <c r="A27" s="5" t="s">
        <v>32</v>
      </c>
      <c r="B27" s="5"/>
    </row>
    <row r="28" spans="1:2" x14ac:dyDescent="0.3">
      <c r="A28" s="7" t="s">
        <v>33</v>
      </c>
      <c r="B28" s="8" t="s">
        <v>34</v>
      </c>
    </row>
    <row r="29" spans="1:2" x14ac:dyDescent="0.3">
      <c r="A29" s="7" t="s">
        <v>35</v>
      </c>
      <c r="B29" s="8" t="s">
        <v>36</v>
      </c>
    </row>
    <row r="30" spans="1:2" x14ac:dyDescent="0.3">
      <c r="A30" s="7" t="s">
        <v>37</v>
      </c>
      <c r="B30" s="8" t="s">
        <v>38</v>
      </c>
    </row>
    <row r="31" spans="1:2" x14ac:dyDescent="0.3">
      <c r="A31" s="7" t="s">
        <v>39</v>
      </c>
      <c r="B31" s="8" t="s">
        <v>40</v>
      </c>
    </row>
    <row r="33" spans="1:2" ht="18" customHeight="1" x14ac:dyDescent="0.3">
      <c r="A33" s="5" t="s">
        <v>41</v>
      </c>
      <c r="B33" s="5"/>
    </row>
    <row r="34" spans="1:2" ht="26.4" x14ac:dyDescent="0.3">
      <c r="A34" s="7" t="s">
        <v>42</v>
      </c>
      <c r="B34" s="8" t="s">
        <v>43</v>
      </c>
    </row>
    <row r="36" spans="1:2" ht="30" customHeight="1" x14ac:dyDescent="0.3">
      <c r="A36" s="4" t="s">
        <v>44</v>
      </c>
      <c r="B36" s="4"/>
    </row>
  </sheetData>
  <mergeCells count="11">
    <mergeCell ref="A36:B36"/>
    <mergeCell ref="A17:B17"/>
    <mergeCell ref="A18:B18"/>
    <mergeCell ref="A20:B20"/>
    <mergeCell ref="A27:B27"/>
    <mergeCell ref="A33:B33"/>
    <mergeCell ref="A1:B1"/>
    <mergeCell ref="A3:B3"/>
    <mergeCell ref="A4:B4"/>
    <mergeCell ref="A6:B6"/>
    <mergeCell ref="A12:B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"/>
  <sheetViews>
    <sheetView showGridLines="0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640625" defaultRowHeight="14.4" x14ac:dyDescent="0.3"/>
  <cols>
    <col min="1" max="1" width="13" customWidth="1"/>
    <col min="2" max="2" width="20" customWidth="1"/>
    <col min="3" max="3" width="30" customWidth="1"/>
    <col min="4" max="4" width="26" customWidth="1"/>
    <col min="5" max="5" width="42" customWidth="1"/>
    <col min="6" max="6" width="18" customWidth="1"/>
    <col min="7" max="7" width="40" customWidth="1"/>
    <col min="8" max="8" width="9" customWidth="1"/>
    <col min="9" max="9" width="14" customWidth="1"/>
    <col min="10" max="10" width="11" customWidth="1"/>
    <col min="11" max="11" width="13" customWidth="1"/>
    <col min="12" max="12" width="11" customWidth="1"/>
    <col min="13" max="13" width="30" customWidth="1"/>
    <col min="14" max="14" width="11" customWidth="1"/>
    <col min="15" max="15" width="12" customWidth="1"/>
  </cols>
  <sheetData>
    <row r="1" spans="1:15" ht="30" customHeight="1" x14ac:dyDescent="0.3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  <c r="I1" s="9" t="s">
        <v>53</v>
      </c>
      <c r="J1" s="9" t="s">
        <v>54</v>
      </c>
      <c r="K1" s="9" t="s">
        <v>55</v>
      </c>
      <c r="L1" s="9" t="s">
        <v>56</v>
      </c>
      <c r="M1" s="9" t="s">
        <v>57</v>
      </c>
      <c r="N1" s="9" t="s">
        <v>58</v>
      </c>
      <c r="O1" s="9" t="s">
        <v>59</v>
      </c>
    </row>
    <row r="2" spans="1:15" ht="45.75" customHeight="1" x14ac:dyDescent="0.3">
      <c r="A2" s="10" t="s">
        <v>42</v>
      </c>
      <c r="B2" s="10" t="s">
        <v>60</v>
      </c>
      <c r="C2" s="11" t="s">
        <v>61</v>
      </c>
      <c r="D2" s="11" t="s">
        <v>62</v>
      </c>
      <c r="E2" s="11" t="s">
        <v>63</v>
      </c>
      <c r="F2" s="11" t="s">
        <v>64</v>
      </c>
      <c r="G2" s="11" t="s">
        <v>65</v>
      </c>
      <c r="H2" s="12" t="s">
        <v>33</v>
      </c>
      <c r="I2" s="10" t="s">
        <v>66</v>
      </c>
      <c r="J2" s="10" t="s">
        <v>67</v>
      </c>
      <c r="K2" s="13"/>
      <c r="L2" s="13" t="s">
        <v>28</v>
      </c>
      <c r="M2" s="14"/>
      <c r="N2" s="13"/>
      <c r="O2" s="13"/>
    </row>
    <row r="3" spans="1:15" ht="45.75" customHeight="1" x14ac:dyDescent="0.3">
      <c r="A3" s="10" t="s">
        <v>68</v>
      </c>
      <c r="B3" s="10" t="s">
        <v>60</v>
      </c>
      <c r="C3" s="11" t="s">
        <v>69</v>
      </c>
      <c r="D3" s="11" t="s">
        <v>70</v>
      </c>
      <c r="E3" s="11" t="s">
        <v>71</v>
      </c>
      <c r="F3" s="11" t="s">
        <v>72</v>
      </c>
      <c r="G3" s="11" t="s">
        <v>73</v>
      </c>
      <c r="H3" s="12" t="s">
        <v>33</v>
      </c>
      <c r="I3" s="10" t="s">
        <v>66</v>
      </c>
      <c r="J3" s="10" t="s">
        <v>67</v>
      </c>
      <c r="K3" s="13"/>
      <c r="L3" s="13" t="s">
        <v>28</v>
      </c>
      <c r="M3" s="14"/>
      <c r="N3" s="13"/>
      <c r="O3" s="13"/>
    </row>
    <row r="4" spans="1:15" ht="45.75" customHeight="1" x14ac:dyDescent="0.3">
      <c r="A4" s="10" t="s">
        <v>74</v>
      </c>
      <c r="B4" s="10" t="s">
        <v>60</v>
      </c>
      <c r="C4" s="11" t="s">
        <v>75</v>
      </c>
      <c r="D4" s="11" t="s">
        <v>76</v>
      </c>
      <c r="E4" s="11" t="s">
        <v>77</v>
      </c>
      <c r="F4" s="11" t="s">
        <v>78</v>
      </c>
      <c r="G4" s="11" t="s">
        <v>79</v>
      </c>
      <c r="H4" s="15" t="s">
        <v>35</v>
      </c>
      <c r="I4" s="10" t="s">
        <v>66</v>
      </c>
      <c r="J4" s="10" t="s">
        <v>80</v>
      </c>
      <c r="K4" s="13"/>
      <c r="L4" s="13" t="s">
        <v>28</v>
      </c>
      <c r="M4" s="14"/>
      <c r="N4" s="13"/>
      <c r="O4" s="13"/>
    </row>
    <row r="5" spans="1:15" ht="45.75" customHeight="1" x14ac:dyDescent="0.3">
      <c r="A5" s="10" t="s">
        <v>81</v>
      </c>
      <c r="B5" s="10" t="s">
        <v>60</v>
      </c>
      <c r="C5" s="11" t="s">
        <v>82</v>
      </c>
      <c r="D5" s="11" t="s">
        <v>83</v>
      </c>
      <c r="E5" s="11" t="s">
        <v>84</v>
      </c>
      <c r="F5" s="11" t="s">
        <v>85</v>
      </c>
      <c r="G5" s="11" t="s">
        <v>86</v>
      </c>
      <c r="H5" s="12" t="s">
        <v>33</v>
      </c>
      <c r="I5" s="10" t="s">
        <v>87</v>
      </c>
      <c r="J5" s="10" t="s">
        <v>80</v>
      </c>
      <c r="K5" s="13"/>
      <c r="L5" s="13" t="s">
        <v>28</v>
      </c>
      <c r="M5" s="14"/>
      <c r="N5" s="13"/>
      <c r="O5" s="13"/>
    </row>
    <row r="6" spans="1:15" ht="45.75" customHeight="1" x14ac:dyDescent="0.3">
      <c r="A6" s="10" t="s">
        <v>88</v>
      </c>
      <c r="B6" s="10" t="s">
        <v>60</v>
      </c>
      <c r="C6" s="11" t="s">
        <v>89</v>
      </c>
      <c r="D6" s="11" t="s">
        <v>90</v>
      </c>
      <c r="E6" s="11" t="s">
        <v>91</v>
      </c>
      <c r="F6" s="11" t="s">
        <v>92</v>
      </c>
      <c r="G6" s="11" t="s">
        <v>93</v>
      </c>
      <c r="H6" s="15" t="s">
        <v>35</v>
      </c>
      <c r="I6" s="10" t="s">
        <v>87</v>
      </c>
      <c r="J6" s="10" t="s">
        <v>80</v>
      </c>
      <c r="K6" s="13"/>
      <c r="L6" s="13" t="s">
        <v>28</v>
      </c>
      <c r="M6" s="14"/>
      <c r="N6" s="13"/>
      <c r="O6" s="13"/>
    </row>
    <row r="7" spans="1:15" ht="45.75" customHeight="1" x14ac:dyDescent="0.3">
      <c r="A7" s="10" t="s">
        <v>94</v>
      </c>
      <c r="B7" s="10" t="s">
        <v>60</v>
      </c>
      <c r="C7" s="11" t="s">
        <v>95</v>
      </c>
      <c r="D7" s="11" t="s">
        <v>96</v>
      </c>
      <c r="E7" s="11" t="s">
        <v>97</v>
      </c>
      <c r="F7" s="11" t="s">
        <v>92</v>
      </c>
      <c r="G7" s="11" t="s">
        <v>98</v>
      </c>
      <c r="H7" s="15" t="s">
        <v>35</v>
      </c>
      <c r="I7" s="10" t="s">
        <v>87</v>
      </c>
      <c r="J7" s="10" t="s">
        <v>80</v>
      </c>
      <c r="K7" s="13"/>
      <c r="L7" s="13" t="s">
        <v>28</v>
      </c>
      <c r="M7" s="14"/>
      <c r="N7" s="13"/>
      <c r="O7" s="13"/>
    </row>
    <row r="8" spans="1:15" ht="45.75" customHeight="1" x14ac:dyDescent="0.3">
      <c r="A8" s="10" t="s">
        <v>99</v>
      </c>
      <c r="B8" s="10" t="s">
        <v>60</v>
      </c>
      <c r="C8" s="11" t="s">
        <v>100</v>
      </c>
      <c r="D8" s="11" t="s">
        <v>101</v>
      </c>
      <c r="E8" s="11" t="s">
        <v>102</v>
      </c>
      <c r="F8" s="11" t="s">
        <v>92</v>
      </c>
      <c r="G8" s="11" t="s">
        <v>103</v>
      </c>
      <c r="H8" s="15" t="s">
        <v>35</v>
      </c>
      <c r="I8" s="10" t="s">
        <v>87</v>
      </c>
      <c r="J8" s="10" t="s">
        <v>67</v>
      </c>
      <c r="K8" s="13"/>
      <c r="L8" s="13" t="s">
        <v>28</v>
      </c>
      <c r="M8" s="14"/>
      <c r="N8" s="13"/>
      <c r="O8" s="13"/>
    </row>
    <row r="9" spans="1:15" ht="45.75" customHeight="1" x14ac:dyDescent="0.3">
      <c r="A9" s="10" t="s">
        <v>104</v>
      </c>
      <c r="B9" s="10" t="s">
        <v>105</v>
      </c>
      <c r="C9" s="11" t="s">
        <v>106</v>
      </c>
      <c r="D9" s="11" t="s">
        <v>107</v>
      </c>
      <c r="E9" s="11" t="s">
        <v>108</v>
      </c>
      <c r="F9" s="11" t="s">
        <v>109</v>
      </c>
      <c r="G9" s="11" t="s">
        <v>110</v>
      </c>
      <c r="H9" s="15" t="s">
        <v>35</v>
      </c>
      <c r="I9" s="10" t="s">
        <v>66</v>
      </c>
      <c r="J9" s="10" t="s">
        <v>80</v>
      </c>
      <c r="K9" s="13"/>
      <c r="L9" s="13" t="s">
        <v>28</v>
      </c>
      <c r="M9" s="14"/>
      <c r="N9" s="13"/>
      <c r="O9" s="13"/>
    </row>
    <row r="10" spans="1:15" ht="45.75" customHeight="1" x14ac:dyDescent="0.3">
      <c r="A10" s="10" t="s">
        <v>111</v>
      </c>
      <c r="B10" s="10" t="s">
        <v>105</v>
      </c>
      <c r="C10" s="11" t="s">
        <v>112</v>
      </c>
      <c r="D10" s="11" t="s">
        <v>113</v>
      </c>
      <c r="E10" s="11" t="s">
        <v>114</v>
      </c>
      <c r="F10" s="11" t="s">
        <v>92</v>
      </c>
      <c r="G10" s="11" t="s">
        <v>115</v>
      </c>
      <c r="H10" s="16" t="s">
        <v>37</v>
      </c>
      <c r="I10" s="10" t="s">
        <v>66</v>
      </c>
      <c r="J10" s="10" t="s">
        <v>80</v>
      </c>
      <c r="K10" s="13"/>
      <c r="L10" s="13" t="s">
        <v>28</v>
      </c>
      <c r="M10" s="14"/>
      <c r="N10" s="13"/>
      <c r="O10" s="13"/>
    </row>
    <row r="11" spans="1:15" ht="45.75" customHeight="1" x14ac:dyDescent="0.3">
      <c r="A11" s="10" t="s">
        <v>116</v>
      </c>
      <c r="B11" s="10" t="s">
        <v>105</v>
      </c>
      <c r="C11" s="11" t="s">
        <v>117</v>
      </c>
      <c r="D11" s="11" t="s">
        <v>118</v>
      </c>
      <c r="E11" s="11" t="s">
        <v>119</v>
      </c>
      <c r="F11" s="11" t="s">
        <v>92</v>
      </c>
      <c r="G11" s="11" t="s">
        <v>120</v>
      </c>
      <c r="H11" s="15" t="s">
        <v>35</v>
      </c>
      <c r="I11" s="10" t="s">
        <v>66</v>
      </c>
      <c r="J11" s="10" t="s">
        <v>80</v>
      </c>
      <c r="K11" s="13"/>
      <c r="L11" s="13" t="s">
        <v>28</v>
      </c>
      <c r="M11" s="14"/>
      <c r="N11" s="13"/>
      <c r="O11" s="13"/>
    </row>
    <row r="12" spans="1:15" ht="45.75" customHeight="1" x14ac:dyDescent="0.3">
      <c r="A12" s="10" t="s">
        <v>121</v>
      </c>
      <c r="B12" s="10" t="s">
        <v>105</v>
      </c>
      <c r="C12" s="11" t="s">
        <v>122</v>
      </c>
      <c r="D12" s="11" t="s">
        <v>123</v>
      </c>
      <c r="E12" s="11" t="s">
        <v>124</v>
      </c>
      <c r="F12" s="11" t="s">
        <v>92</v>
      </c>
      <c r="G12" s="11" t="s">
        <v>125</v>
      </c>
      <c r="H12" s="12" t="s">
        <v>33</v>
      </c>
      <c r="I12" s="10" t="s">
        <v>87</v>
      </c>
      <c r="J12" s="10" t="s">
        <v>80</v>
      </c>
      <c r="K12" s="13"/>
      <c r="L12" s="13" t="s">
        <v>28</v>
      </c>
      <c r="M12" s="14"/>
      <c r="N12" s="13"/>
      <c r="O12" s="13"/>
    </row>
    <row r="13" spans="1:15" ht="45.75" customHeight="1" x14ac:dyDescent="0.3">
      <c r="A13" s="10" t="s">
        <v>126</v>
      </c>
      <c r="B13" s="10" t="s">
        <v>105</v>
      </c>
      <c r="C13" s="11" t="s">
        <v>127</v>
      </c>
      <c r="D13" s="11" t="s">
        <v>128</v>
      </c>
      <c r="E13" s="11" t="s">
        <v>129</v>
      </c>
      <c r="F13" s="11" t="s">
        <v>130</v>
      </c>
      <c r="G13" s="11" t="s">
        <v>131</v>
      </c>
      <c r="H13" s="12" t="s">
        <v>33</v>
      </c>
      <c r="I13" s="10" t="s">
        <v>87</v>
      </c>
      <c r="J13" s="10" t="s">
        <v>67</v>
      </c>
      <c r="K13" s="13"/>
      <c r="L13" s="13" t="s">
        <v>28</v>
      </c>
      <c r="M13" s="14"/>
      <c r="N13" s="13"/>
      <c r="O13" s="13"/>
    </row>
    <row r="14" spans="1:15" ht="45.75" customHeight="1" x14ac:dyDescent="0.3">
      <c r="A14" s="10" t="s">
        <v>132</v>
      </c>
      <c r="B14" s="10" t="s">
        <v>133</v>
      </c>
      <c r="C14" s="11" t="s">
        <v>134</v>
      </c>
      <c r="D14" s="11" t="s">
        <v>101</v>
      </c>
      <c r="E14" s="11" t="s">
        <v>135</v>
      </c>
      <c r="F14" s="11" t="s">
        <v>92</v>
      </c>
      <c r="G14" s="11" t="s">
        <v>136</v>
      </c>
      <c r="H14" s="15" t="s">
        <v>35</v>
      </c>
      <c r="I14" s="10" t="s">
        <v>66</v>
      </c>
      <c r="J14" s="10" t="s">
        <v>80</v>
      </c>
      <c r="K14" s="13"/>
      <c r="L14" s="13" t="s">
        <v>28</v>
      </c>
      <c r="M14" s="14"/>
      <c r="N14" s="13"/>
      <c r="O14" s="13"/>
    </row>
    <row r="15" spans="1:15" ht="45.75" customHeight="1" x14ac:dyDescent="0.3">
      <c r="A15" s="10" t="s">
        <v>137</v>
      </c>
      <c r="B15" s="10" t="s">
        <v>133</v>
      </c>
      <c r="C15" s="11" t="s">
        <v>138</v>
      </c>
      <c r="D15" s="11" t="s">
        <v>101</v>
      </c>
      <c r="E15" s="11" t="s">
        <v>139</v>
      </c>
      <c r="F15" s="11" t="s">
        <v>92</v>
      </c>
      <c r="G15" s="11" t="s">
        <v>140</v>
      </c>
      <c r="H15" s="16" t="s">
        <v>37</v>
      </c>
      <c r="I15" s="10" t="s">
        <v>66</v>
      </c>
      <c r="J15" s="10" t="s">
        <v>67</v>
      </c>
      <c r="K15" s="13"/>
      <c r="L15" s="13" t="s">
        <v>28</v>
      </c>
      <c r="M15" s="14"/>
      <c r="N15" s="13"/>
      <c r="O15" s="13"/>
    </row>
    <row r="16" spans="1:15" ht="45.75" customHeight="1" x14ac:dyDescent="0.3">
      <c r="A16" s="10" t="s">
        <v>141</v>
      </c>
      <c r="B16" s="10" t="s">
        <v>133</v>
      </c>
      <c r="C16" s="11" t="s">
        <v>142</v>
      </c>
      <c r="D16" s="11" t="s">
        <v>101</v>
      </c>
      <c r="E16" s="11" t="s">
        <v>143</v>
      </c>
      <c r="F16" s="11" t="s">
        <v>92</v>
      </c>
      <c r="G16" s="11" t="s">
        <v>144</v>
      </c>
      <c r="H16" s="17" t="s">
        <v>39</v>
      </c>
      <c r="I16" s="10" t="s">
        <v>145</v>
      </c>
      <c r="J16" s="10" t="s">
        <v>80</v>
      </c>
      <c r="K16" s="13"/>
      <c r="L16" s="13" t="s">
        <v>28</v>
      </c>
      <c r="M16" s="14"/>
      <c r="N16" s="13"/>
      <c r="O16" s="13"/>
    </row>
    <row r="17" spans="1:15" ht="45.75" customHeight="1" x14ac:dyDescent="0.3">
      <c r="A17" s="10" t="s">
        <v>146</v>
      </c>
      <c r="B17" s="10" t="s">
        <v>147</v>
      </c>
      <c r="C17" s="11" t="s">
        <v>148</v>
      </c>
      <c r="D17" s="11" t="s">
        <v>149</v>
      </c>
      <c r="E17" s="11" t="s">
        <v>150</v>
      </c>
      <c r="F17" s="11" t="s">
        <v>151</v>
      </c>
      <c r="G17" s="11" t="s">
        <v>152</v>
      </c>
      <c r="H17" s="12" t="s">
        <v>33</v>
      </c>
      <c r="I17" s="10" t="s">
        <v>66</v>
      </c>
      <c r="J17" s="10" t="s">
        <v>80</v>
      </c>
      <c r="K17" s="13"/>
      <c r="L17" s="13" t="s">
        <v>28</v>
      </c>
      <c r="M17" s="14"/>
      <c r="N17" s="13"/>
      <c r="O17" s="13"/>
    </row>
    <row r="18" spans="1:15" ht="45.75" customHeight="1" x14ac:dyDescent="0.3">
      <c r="A18" s="10" t="s">
        <v>153</v>
      </c>
      <c r="B18" s="10" t="s">
        <v>147</v>
      </c>
      <c r="C18" s="11" t="s">
        <v>154</v>
      </c>
      <c r="D18" s="11" t="s">
        <v>155</v>
      </c>
      <c r="E18" s="11" t="s">
        <v>156</v>
      </c>
      <c r="F18" s="11" t="s">
        <v>92</v>
      </c>
      <c r="G18" s="11" t="s">
        <v>157</v>
      </c>
      <c r="H18" s="15" t="s">
        <v>35</v>
      </c>
      <c r="I18" s="10" t="s">
        <v>66</v>
      </c>
      <c r="J18" s="10" t="s">
        <v>67</v>
      </c>
      <c r="K18" s="13"/>
      <c r="L18" s="13" t="s">
        <v>28</v>
      </c>
      <c r="M18" s="14"/>
      <c r="N18" s="13"/>
      <c r="O18" s="13"/>
    </row>
    <row r="19" spans="1:15" ht="45.75" customHeight="1" x14ac:dyDescent="0.3">
      <c r="A19" s="10" t="s">
        <v>158</v>
      </c>
      <c r="B19" s="10" t="s">
        <v>147</v>
      </c>
      <c r="C19" s="11" t="s">
        <v>159</v>
      </c>
      <c r="D19" s="11" t="s">
        <v>160</v>
      </c>
      <c r="E19" s="11" t="s">
        <v>161</v>
      </c>
      <c r="F19" s="11" t="s">
        <v>92</v>
      </c>
      <c r="G19" s="11" t="s">
        <v>162</v>
      </c>
      <c r="H19" s="15" t="s">
        <v>35</v>
      </c>
      <c r="I19" s="10" t="s">
        <v>66</v>
      </c>
      <c r="J19" s="10" t="s">
        <v>80</v>
      </c>
      <c r="K19" s="13"/>
      <c r="L19" s="13" t="s">
        <v>28</v>
      </c>
      <c r="M19" s="14"/>
      <c r="N19" s="13"/>
      <c r="O19" s="13"/>
    </row>
    <row r="20" spans="1:15" ht="45.75" customHeight="1" x14ac:dyDescent="0.3">
      <c r="A20" s="10" t="s">
        <v>163</v>
      </c>
      <c r="B20" s="10" t="s">
        <v>147</v>
      </c>
      <c r="C20" s="11" t="s">
        <v>164</v>
      </c>
      <c r="D20" s="11" t="s">
        <v>165</v>
      </c>
      <c r="E20" s="11" t="s">
        <v>166</v>
      </c>
      <c r="F20" s="11" t="s">
        <v>92</v>
      </c>
      <c r="G20" s="11" t="s">
        <v>167</v>
      </c>
      <c r="H20" s="15" t="s">
        <v>35</v>
      </c>
      <c r="I20" s="10" t="s">
        <v>66</v>
      </c>
      <c r="J20" s="10" t="s">
        <v>80</v>
      </c>
      <c r="K20" s="13"/>
      <c r="L20" s="13" t="s">
        <v>28</v>
      </c>
      <c r="M20" s="14"/>
      <c r="N20" s="13"/>
      <c r="O20" s="13"/>
    </row>
    <row r="21" spans="1:15" ht="45.75" customHeight="1" x14ac:dyDescent="0.3">
      <c r="A21" s="10" t="s">
        <v>168</v>
      </c>
      <c r="B21" s="10" t="s">
        <v>147</v>
      </c>
      <c r="C21" s="11" t="s">
        <v>169</v>
      </c>
      <c r="D21" s="11" t="s">
        <v>170</v>
      </c>
      <c r="E21" s="11" t="s">
        <v>171</v>
      </c>
      <c r="F21" s="11" t="s">
        <v>172</v>
      </c>
      <c r="G21" s="11" t="s">
        <v>173</v>
      </c>
      <c r="H21" s="16" t="s">
        <v>37</v>
      </c>
      <c r="I21" s="10" t="s">
        <v>66</v>
      </c>
      <c r="J21" s="10" t="s">
        <v>80</v>
      </c>
      <c r="K21" s="13"/>
      <c r="L21" s="13" t="s">
        <v>28</v>
      </c>
      <c r="M21" s="14"/>
      <c r="N21" s="13"/>
      <c r="O21" s="13"/>
    </row>
    <row r="22" spans="1:15" ht="45.75" customHeight="1" x14ac:dyDescent="0.3">
      <c r="A22" s="10" t="s">
        <v>174</v>
      </c>
      <c r="B22" s="10" t="s">
        <v>175</v>
      </c>
      <c r="C22" s="11" t="s">
        <v>176</v>
      </c>
      <c r="D22" s="11" t="s">
        <v>177</v>
      </c>
      <c r="E22" s="11" t="s">
        <v>178</v>
      </c>
      <c r="F22" s="11" t="s">
        <v>179</v>
      </c>
      <c r="G22" s="11" t="s">
        <v>180</v>
      </c>
      <c r="H22" s="15" t="s">
        <v>35</v>
      </c>
      <c r="I22" s="10" t="s">
        <v>66</v>
      </c>
      <c r="J22" s="10" t="s">
        <v>80</v>
      </c>
      <c r="K22" s="13"/>
      <c r="L22" s="13" t="s">
        <v>28</v>
      </c>
      <c r="M22" s="14"/>
      <c r="N22" s="13"/>
      <c r="O22" s="13"/>
    </row>
    <row r="23" spans="1:15" ht="45.75" customHeight="1" x14ac:dyDescent="0.3">
      <c r="A23" s="10" t="s">
        <v>181</v>
      </c>
      <c r="B23" s="10" t="s">
        <v>175</v>
      </c>
      <c r="C23" s="11" t="s">
        <v>182</v>
      </c>
      <c r="D23" s="11" t="s">
        <v>183</v>
      </c>
      <c r="E23" s="11" t="s">
        <v>184</v>
      </c>
      <c r="F23" s="11" t="s">
        <v>185</v>
      </c>
      <c r="G23" s="11" t="s">
        <v>186</v>
      </c>
      <c r="H23" s="16" t="s">
        <v>37</v>
      </c>
      <c r="I23" s="10" t="s">
        <v>66</v>
      </c>
      <c r="J23" s="10" t="s">
        <v>80</v>
      </c>
      <c r="K23" s="13"/>
      <c r="L23" s="13" t="s">
        <v>28</v>
      </c>
      <c r="M23" s="14"/>
      <c r="N23" s="13"/>
      <c r="O23" s="13"/>
    </row>
    <row r="24" spans="1:15" ht="45.75" customHeight="1" x14ac:dyDescent="0.3">
      <c r="A24" s="10" t="s">
        <v>187</v>
      </c>
      <c r="B24" s="10" t="s">
        <v>175</v>
      </c>
      <c r="C24" s="11" t="s">
        <v>188</v>
      </c>
      <c r="D24" s="11" t="s">
        <v>183</v>
      </c>
      <c r="E24" s="11" t="s">
        <v>189</v>
      </c>
      <c r="F24" s="11" t="s">
        <v>92</v>
      </c>
      <c r="G24" s="11" t="s">
        <v>190</v>
      </c>
      <c r="H24" s="17" t="s">
        <v>39</v>
      </c>
      <c r="I24" s="10" t="s">
        <v>145</v>
      </c>
      <c r="J24" s="10" t="s">
        <v>80</v>
      </c>
      <c r="K24" s="13"/>
      <c r="L24" s="13" t="s">
        <v>28</v>
      </c>
      <c r="M24" s="14"/>
      <c r="N24" s="13"/>
      <c r="O24" s="13"/>
    </row>
    <row r="25" spans="1:15" ht="45.75" customHeight="1" x14ac:dyDescent="0.3">
      <c r="A25" s="10" t="s">
        <v>191</v>
      </c>
      <c r="B25" s="10" t="s">
        <v>175</v>
      </c>
      <c r="C25" s="11" t="s">
        <v>192</v>
      </c>
      <c r="D25" s="11" t="s">
        <v>193</v>
      </c>
      <c r="E25" s="11" t="s">
        <v>194</v>
      </c>
      <c r="F25" s="11" t="s">
        <v>92</v>
      </c>
      <c r="G25" s="11" t="s">
        <v>195</v>
      </c>
      <c r="H25" s="17" t="s">
        <v>39</v>
      </c>
      <c r="I25" s="10" t="s">
        <v>66</v>
      </c>
      <c r="J25" s="10" t="s">
        <v>80</v>
      </c>
      <c r="K25" s="13"/>
      <c r="L25" s="13" t="s">
        <v>28</v>
      </c>
      <c r="M25" s="14"/>
      <c r="N25" s="13"/>
      <c r="O25" s="13"/>
    </row>
    <row r="26" spans="1:15" ht="45.75" customHeight="1" x14ac:dyDescent="0.3">
      <c r="A26" s="10" t="s">
        <v>196</v>
      </c>
      <c r="B26" s="10" t="s">
        <v>175</v>
      </c>
      <c r="C26" s="11" t="s">
        <v>197</v>
      </c>
      <c r="D26" s="11" t="s">
        <v>92</v>
      </c>
      <c r="E26" s="11" t="s">
        <v>198</v>
      </c>
      <c r="F26" s="11" t="s">
        <v>199</v>
      </c>
      <c r="G26" s="11" t="s">
        <v>200</v>
      </c>
      <c r="H26" s="17" t="s">
        <v>39</v>
      </c>
      <c r="I26" s="10" t="s">
        <v>145</v>
      </c>
      <c r="J26" s="10" t="s">
        <v>80</v>
      </c>
      <c r="K26" s="13"/>
      <c r="L26" s="13" t="s">
        <v>28</v>
      </c>
      <c r="M26" s="14"/>
      <c r="N26" s="13"/>
      <c r="O26" s="13"/>
    </row>
    <row r="27" spans="1:15" ht="45.75" customHeight="1" x14ac:dyDescent="0.3">
      <c r="A27" s="10" t="s">
        <v>201</v>
      </c>
      <c r="B27" s="10" t="s">
        <v>202</v>
      </c>
      <c r="C27" s="11" t="s">
        <v>203</v>
      </c>
      <c r="D27" s="11" t="s">
        <v>101</v>
      </c>
      <c r="E27" s="11" t="s">
        <v>204</v>
      </c>
      <c r="F27" s="11" t="s">
        <v>205</v>
      </c>
      <c r="G27" s="11" t="s">
        <v>206</v>
      </c>
      <c r="H27" s="15" t="s">
        <v>35</v>
      </c>
      <c r="I27" s="10" t="s">
        <v>66</v>
      </c>
      <c r="J27" s="10" t="s">
        <v>80</v>
      </c>
      <c r="K27" s="13"/>
      <c r="L27" s="13" t="s">
        <v>28</v>
      </c>
      <c r="M27" s="14"/>
      <c r="N27" s="13"/>
      <c r="O27" s="13"/>
    </row>
    <row r="28" spans="1:15" ht="45.75" customHeight="1" x14ac:dyDescent="0.3">
      <c r="A28" s="10" t="s">
        <v>207</v>
      </c>
      <c r="B28" s="10" t="s">
        <v>202</v>
      </c>
      <c r="C28" s="11" t="s">
        <v>208</v>
      </c>
      <c r="D28" s="11" t="s">
        <v>92</v>
      </c>
      <c r="E28" s="11" t="s">
        <v>209</v>
      </c>
      <c r="F28" s="11" t="s">
        <v>210</v>
      </c>
      <c r="G28" s="11" t="s">
        <v>211</v>
      </c>
      <c r="H28" s="15" t="s">
        <v>35</v>
      </c>
      <c r="I28" s="10" t="s">
        <v>87</v>
      </c>
      <c r="J28" s="10" t="s">
        <v>80</v>
      </c>
      <c r="K28" s="13"/>
      <c r="L28" s="13" t="s">
        <v>28</v>
      </c>
      <c r="M28" s="14"/>
      <c r="N28" s="13"/>
      <c r="O28" s="13"/>
    </row>
    <row r="29" spans="1:15" ht="45.75" customHeight="1" x14ac:dyDescent="0.3">
      <c r="A29" s="10" t="s">
        <v>212</v>
      </c>
      <c r="B29" s="10" t="s">
        <v>202</v>
      </c>
      <c r="C29" s="11" t="s">
        <v>213</v>
      </c>
      <c r="D29" s="11" t="s">
        <v>92</v>
      </c>
      <c r="E29" s="11" t="s">
        <v>214</v>
      </c>
      <c r="F29" s="11" t="s">
        <v>215</v>
      </c>
      <c r="G29" s="11" t="s">
        <v>216</v>
      </c>
      <c r="H29" s="16" t="s">
        <v>37</v>
      </c>
      <c r="I29" s="10" t="s">
        <v>66</v>
      </c>
      <c r="J29" s="10" t="s">
        <v>80</v>
      </c>
      <c r="K29" s="13"/>
      <c r="L29" s="13" t="s">
        <v>28</v>
      </c>
      <c r="M29" s="14"/>
      <c r="N29" s="13"/>
      <c r="O29" s="13"/>
    </row>
    <row r="30" spans="1:15" ht="45.75" customHeight="1" x14ac:dyDescent="0.3">
      <c r="A30" s="10" t="s">
        <v>217</v>
      </c>
      <c r="B30" s="10" t="s">
        <v>202</v>
      </c>
      <c r="C30" s="11" t="s">
        <v>218</v>
      </c>
      <c r="D30" s="11" t="s">
        <v>219</v>
      </c>
      <c r="E30" s="11" t="s">
        <v>220</v>
      </c>
      <c r="F30" s="11" t="s">
        <v>92</v>
      </c>
      <c r="G30" s="11" t="s">
        <v>221</v>
      </c>
      <c r="H30" s="16" t="s">
        <v>37</v>
      </c>
      <c r="I30" s="10" t="s">
        <v>66</v>
      </c>
      <c r="J30" s="10" t="s">
        <v>80</v>
      </c>
      <c r="K30" s="13"/>
      <c r="L30" s="13" t="s">
        <v>28</v>
      </c>
      <c r="M30" s="14"/>
      <c r="N30" s="13"/>
      <c r="O30" s="13"/>
    </row>
    <row r="31" spans="1:15" ht="45.75" customHeight="1" x14ac:dyDescent="0.3">
      <c r="A31" s="10" t="s">
        <v>222</v>
      </c>
      <c r="B31" s="10" t="s">
        <v>223</v>
      </c>
      <c r="C31" s="11" t="s">
        <v>224</v>
      </c>
      <c r="D31" s="11" t="s">
        <v>225</v>
      </c>
      <c r="E31" s="11" t="s">
        <v>226</v>
      </c>
      <c r="F31" s="11" t="s">
        <v>92</v>
      </c>
      <c r="G31" s="11" t="s">
        <v>227</v>
      </c>
      <c r="H31" s="16" t="s">
        <v>37</v>
      </c>
      <c r="I31" s="10" t="s">
        <v>66</v>
      </c>
      <c r="J31" s="10" t="s">
        <v>80</v>
      </c>
      <c r="K31" s="13"/>
      <c r="L31" s="13" t="s">
        <v>28</v>
      </c>
      <c r="M31" s="14"/>
      <c r="N31" s="13"/>
      <c r="O31" s="13"/>
    </row>
    <row r="32" spans="1:15" ht="45.75" customHeight="1" x14ac:dyDescent="0.3">
      <c r="A32" s="10" t="s">
        <v>228</v>
      </c>
      <c r="B32" s="10" t="s">
        <v>223</v>
      </c>
      <c r="C32" s="11" t="s">
        <v>229</v>
      </c>
      <c r="D32" s="11" t="s">
        <v>101</v>
      </c>
      <c r="E32" s="11" t="s">
        <v>230</v>
      </c>
      <c r="F32" s="11" t="s">
        <v>92</v>
      </c>
      <c r="G32" s="11" t="s">
        <v>231</v>
      </c>
      <c r="H32" s="17" t="s">
        <v>39</v>
      </c>
      <c r="I32" s="10" t="s">
        <v>66</v>
      </c>
      <c r="J32" s="10" t="s">
        <v>80</v>
      </c>
      <c r="K32" s="13"/>
      <c r="L32" s="13" t="s">
        <v>28</v>
      </c>
      <c r="M32" s="14"/>
      <c r="N32" s="13"/>
      <c r="O32" s="13"/>
    </row>
    <row r="33" spans="1:15" ht="45.75" customHeight="1" x14ac:dyDescent="0.3">
      <c r="A33" s="10" t="s">
        <v>232</v>
      </c>
      <c r="B33" s="10" t="s">
        <v>233</v>
      </c>
      <c r="C33" s="11" t="s">
        <v>234</v>
      </c>
      <c r="D33" s="11" t="s">
        <v>235</v>
      </c>
      <c r="E33" s="11" t="s">
        <v>236</v>
      </c>
      <c r="F33" s="11" t="s">
        <v>237</v>
      </c>
      <c r="G33" s="11" t="s">
        <v>238</v>
      </c>
      <c r="H33" s="15" t="s">
        <v>35</v>
      </c>
      <c r="I33" s="10" t="s">
        <v>66</v>
      </c>
      <c r="J33" s="10" t="s">
        <v>80</v>
      </c>
      <c r="K33" s="13"/>
      <c r="L33" s="13" t="s">
        <v>28</v>
      </c>
      <c r="M33" s="14"/>
      <c r="N33" s="13"/>
      <c r="O33" s="13"/>
    </row>
    <row r="34" spans="1:15" ht="45.75" customHeight="1" x14ac:dyDescent="0.3">
      <c r="A34" s="10" t="s">
        <v>239</v>
      </c>
      <c r="B34" s="10" t="s">
        <v>233</v>
      </c>
      <c r="C34" s="11" t="s">
        <v>240</v>
      </c>
      <c r="D34" s="11" t="s">
        <v>241</v>
      </c>
      <c r="E34" s="11" t="s">
        <v>242</v>
      </c>
      <c r="F34" s="11" t="s">
        <v>92</v>
      </c>
      <c r="G34" s="11" t="s">
        <v>243</v>
      </c>
      <c r="H34" s="16" t="s">
        <v>37</v>
      </c>
      <c r="I34" s="10" t="s">
        <v>66</v>
      </c>
      <c r="J34" s="10" t="s">
        <v>80</v>
      </c>
      <c r="K34" s="13"/>
      <c r="L34" s="13" t="s">
        <v>28</v>
      </c>
      <c r="M34" s="14"/>
      <c r="N34" s="13"/>
      <c r="O34" s="13"/>
    </row>
    <row r="35" spans="1:15" ht="45.75" customHeight="1" x14ac:dyDescent="0.3">
      <c r="A35" s="10" t="s">
        <v>244</v>
      </c>
      <c r="B35" s="10" t="s">
        <v>245</v>
      </c>
      <c r="C35" s="11" t="s">
        <v>246</v>
      </c>
      <c r="D35" s="11" t="s">
        <v>101</v>
      </c>
      <c r="E35" s="11" t="s">
        <v>247</v>
      </c>
      <c r="F35" s="11" t="s">
        <v>92</v>
      </c>
      <c r="G35" s="11" t="s">
        <v>248</v>
      </c>
      <c r="H35" s="16" t="s">
        <v>37</v>
      </c>
      <c r="I35" s="10" t="s">
        <v>66</v>
      </c>
      <c r="J35" s="10" t="s">
        <v>80</v>
      </c>
      <c r="K35" s="13"/>
      <c r="L35" s="13" t="s">
        <v>28</v>
      </c>
      <c r="M35" s="14"/>
      <c r="N35" s="13"/>
      <c r="O35" s="13"/>
    </row>
    <row r="36" spans="1:15" ht="45.75" customHeight="1" x14ac:dyDescent="0.3">
      <c r="A36" s="10" t="s">
        <v>249</v>
      </c>
      <c r="B36" s="10" t="s">
        <v>245</v>
      </c>
      <c r="C36" s="11" t="s">
        <v>250</v>
      </c>
      <c r="D36" s="11" t="s">
        <v>101</v>
      </c>
      <c r="E36" s="11" t="s">
        <v>251</v>
      </c>
      <c r="F36" s="11" t="s">
        <v>92</v>
      </c>
      <c r="G36" s="11" t="s">
        <v>252</v>
      </c>
      <c r="H36" s="15" t="s">
        <v>35</v>
      </c>
      <c r="I36" s="10" t="s">
        <v>87</v>
      </c>
      <c r="J36" s="10" t="s">
        <v>80</v>
      </c>
      <c r="K36" s="13"/>
      <c r="L36" s="13" t="s">
        <v>28</v>
      </c>
      <c r="M36" s="14"/>
      <c r="N36" s="13"/>
      <c r="O36" s="13"/>
    </row>
    <row r="37" spans="1:15" ht="45.75" customHeight="1" x14ac:dyDescent="0.3">
      <c r="A37" s="10" t="s">
        <v>253</v>
      </c>
      <c r="B37" s="10" t="s">
        <v>254</v>
      </c>
      <c r="C37" s="11" t="s">
        <v>255</v>
      </c>
      <c r="D37" s="11" t="s">
        <v>107</v>
      </c>
      <c r="E37" s="11" t="s">
        <v>256</v>
      </c>
      <c r="F37" s="11" t="s">
        <v>92</v>
      </c>
      <c r="G37" s="11" t="s">
        <v>257</v>
      </c>
      <c r="H37" s="16" t="s">
        <v>37</v>
      </c>
      <c r="I37" s="10" t="s">
        <v>66</v>
      </c>
      <c r="J37" s="10" t="s">
        <v>80</v>
      </c>
      <c r="K37" s="13"/>
      <c r="L37" s="13" t="s">
        <v>28</v>
      </c>
      <c r="M37" s="14"/>
      <c r="N37" s="13"/>
      <c r="O37" s="13"/>
    </row>
    <row r="38" spans="1:15" ht="45.75" customHeight="1" x14ac:dyDescent="0.3">
      <c r="A38" s="10" t="s">
        <v>258</v>
      </c>
      <c r="B38" s="10" t="s">
        <v>254</v>
      </c>
      <c r="C38" s="11" t="s">
        <v>259</v>
      </c>
      <c r="D38" s="11" t="s">
        <v>260</v>
      </c>
      <c r="E38" s="11" t="s">
        <v>261</v>
      </c>
      <c r="F38" s="11" t="s">
        <v>92</v>
      </c>
      <c r="G38" s="11" t="s">
        <v>262</v>
      </c>
      <c r="H38" s="16" t="s">
        <v>37</v>
      </c>
      <c r="I38" s="10" t="s">
        <v>87</v>
      </c>
      <c r="J38" s="10" t="s">
        <v>80</v>
      </c>
      <c r="K38" s="13"/>
      <c r="L38" s="13" t="s">
        <v>28</v>
      </c>
      <c r="M38" s="14"/>
      <c r="N38" s="13"/>
      <c r="O38" s="13"/>
    </row>
    <row r="39" spans="1:15" ht="45.75" customHeight="1" x14ac:dyDescent="0.3">
      <c r="A39" s="10" t="s">
        <v>263</v>
      </c>
      <c r="B39" s="10" t="s">
        <v>264</v>
      </c>
      <c r="C39" s="11" t="s">
        <v>265</v>
      </c>
      <c r="D39" s="11" t="s">
        <v>266</v>
      </c>
      <c r="E39" s="11" t="s">
        <v>267</v>
      </c>
      <c r="F39" s="11" t="s">
        <v>92</v>
      </c>
      <c r="G39" s="11" t="s">
        <v>268</v>
      </c>
      <c r="H39" s="12" t="s">
        <v>33</v>
      </c>
      <c r="I39" s="10" t="s">
        <v>66</v>
      </c>
      <c r="J39" s="10" t="s">
        <v>80</v>
      </c>
      <c r="K39" s="13"/>
      <c r="L39" s="13" t="s">
        <v>28</v>
      </c>
      <c r="M39" s="14"/>
      <c r="N39" s="13"/>
      <c r="O39" s="13"/>
    </row>
    <row r="40" spans="1:15" ht="45.75" customHeight="1" x14ac:dyDescent="0.3">
      <c r="A40" s="10" t="s">
        <v>269</v>
      </c>
      <c r="B40" s="10" t="s">
        <v>264</v>
      </c>
      <c r="C40" s="11" t="s">
        <v>270</v>
      </c>
      <c r="D40" s="11" t="s">
        <v>271</v>
      </c>
      <c r="E40" s="11" t="s">
        <v>272</v>
      </c>
      <c r="F40" s="11" t="s">
        <v>92</v>
      </c>
      <c r="G40" s="11" t="s">
        <v>273</v>
      </c>
      <c r="H40" s="15" t="s">
        <v>35</v>
      </c>
      <c r="I40" s="10" t="s">
        <v>66</v>
      </c>
      <c r="J40" s="10" t="s">
        <v>80</v>
      </c>
      <c r="K40" s="13"/>
      <c r="L40" s="13" t="s">
        <v>28</v>
      </c>
      <c r="M40" s="14"/>
      <c r="N40" s="13"/>
      <c r="O40" s="13"/>
    </row>
    <row r="41" spans="1:15" ht="45.75" customHeight="1" x14ac:dyDescent="0.3">
      <c r="A41" s="10" t="s">
        <v>274</v>
      </c>
      <c r="B41" s="10" t="s">
        <v>87</v>
      </c>
      <c r="C41" s="11" t="s">
        <v>275</v>
      </c>
      <c r="D41" s="11" t="s">
        <v>128</v>
      </c>
      <c r="E41" s="11" t="s">
        <v>276</v>
      </c>
      <c r="F41" s="11" t="s">
        <v>277</v>
      </c>
      <c r="G41" s="11" t="s">
        <v>278</v>
      </c>
      <c r="H41" s="12" t="s">
        <v>33</v>
      </c>
      <c r="I41" s="10" t="s">
        <v>87</v>
      </c>
      <c r="J41" s="10" t="s">
        <v>80</v>
      </c>
      <c r="K41" s="13"/>
      <c r="L41" s="13" t="s">
        <v>28</v>
      </c>
      <c r="M41" s="14"/>
      <c r="N41" s="13"/>
      <c r="O41" s="13"/>
    </row>
    <row r="42" spans="1:15" ht="45.75" customHeight="1" x14ac:dyDescent="0.3">
      <c r="A42" s="10" t="s">
        <v>279</v>
      </c>
      <c r="B42" s="10" t="s">
        <v>87</v>
      </c>
      <c r="C42" s="11" t="s">
        <v>280</v>
      </c>
      <c r="D42" s="11" t="s">
        <v>281</v>
      </c>
      <c r="E42" s="11" t="s">
        <v>282</v>
      </c>
      <c r="F42" s="11" t="s">
        <v>283</v>
      </c>
      <c r="G42" s="11" t="s">
        <v>284</v>
      </c>
      <c r="H42" s="12" t="s">
        <v>33</v>
      </c>
      <c r="I42" s="10" t="s">
        <v>87</v>
      </c>
      <c r="J42" s="10" t="s">
        <v>80</v>
      </c>
      <c r="K42" s="13"/>
      <c r="L42" s="13" t="s">
        <v>28</v>
      </c>
      <c r="M42" s="14"/>
      <c r="N42" s="13"/>
      <c r="O42" s="13"/>
    </row>
    <row r="43" spans="1:15" ht="45.75" customHeight="1" x14ac:dyDescent="0.3">
      <c r="A43" s="10" t="s">
        <v>285</v>
      </c>
      <c r="B43" s="10" t="s">
        <v>286</v>
      </c>
      <c r="C43" s="11" t="s">
        <v>287</v>
      </c>
      <c r="D43" s="11" t="s">
        <v>92</v>
      </c>
      <c r="E43" s="11" t="s">
        <v>288</v>
      </c>
      <c r="F43" s="11" t="s">
        <v>92</v>
      </c>
      <c r="G43" s="11" t="s">
        <v>289</v>
      </c>
      <c r="H43" s="15" t="s">
        <v>35</v>
      </c>
      <c r="I43" s="10" t="s">
        <v>290</v>
      </c>
      <c r="J43" s="10" t="s">
        <v>80</v>
      </c>
      <c r="K43" s="13"/>
      <c r="L43" s="13" t="s">
        <v>28</v>
      </c>
      <c r="M43" s="14"/>
      <c r="N43" s="13"/>
      <c r="O43" s="13"/>
    </row>
    <row r="44" spans="1:15" ht="45.75" customHeight="1" x14ac:dyDescent="0.3">
      <c r="A44" s="10" t="s">
        <v>291</v>
      </c>
      <c r="B44" s="10" t="s">
        <v>286</v>
      </c>
      <c r="C44" s="11" t="s">
        <v>292</v>
      </c>
      <c r="D44" s="11" t="s">
        <v>92</v>
      </c>
      <c r="E44" s="11" t="s">
        <v>293</v>
      </c>
      <c r="F44" s="11" t="s">
        <v>92</v>
      </c>
      <c r="G44" s="11" t="s">
        <v>294</v>
      </c>
      <c r="H44" s="16" t="s">
        <v>37</v>
      </c>
      <c r="I44" s="10" t="s">
        <v>145</v>
      </c>
      <c r="J44" s="10" t="s">
        <v>80</v>
      </c>
      <c r="K44" s="13"/>
      <c r="L44" s="13" t="s">
        <v>28</v>
      </c>
      <c r="M44" s="14"/>
      <c r="N44" s="13"/>
      <c r="O44" s="13"/>
    </row>
    <row r="45" spans="1:15" ht="45.75" customHeight="1" x14ac:dyDescent="0.3">
      <c r="A45" s="10" t="s">
        <v>295</v>
      </c>
      <c r="B45" s="10" t="s">
        <v>296</v>
      </c>
      <c r="C45" s="11" t="s">
        <v>297</v>
      </c>
      <c r="D45" s="11" t="s">
        <v>92</v>
      </c>
      <c r="E45" s="11" t="s">
        <v>298</v>
      </c>
      <c r="F45" s="11" t="s">
        <v>92</v>
      </c>
      <c r="G45" s="11" t="s">
        <v>299</v>
      </c>
      <c r="H45" s="16" t="s">
        <v>37</v>
      </c>
      <c r="I45" s="10" t="s">
        <v>296</v>
      </c>
      <c r="J45" s="10" t="s">
        <v>80</v>
      </c>
      <c r="K45" s="13"/>
      <c r="L45" s="13" t="s">
        <v>28</v>
      </c>
      <c r="M45" s="14"/>
      <c r="N45" s="13"/>
      <c r="O45" s="13"/>
    </row>
  </sheetData>
  <autoFilter ref="A1:O45"/>
  <dataValidations count="3">
    <dataValidation type="list" allowBlank="1" sqref="L2:L500">
      <formula1>"Pass,Fail,Blocked,Not Run,N/A"</formula1>
      <formula2>0</formula2>
    </dataValidation>
    <dataValidation type="list" allowBlank="1" sqref="H2:H500">
      <formula1>"P1,P2,P3,P4"</formula1>
      <formula2>0</formula2>
    </dataValidation>
    <dataValidation type="list" allowBlank="1" sqref="J2:J500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5" customWidth="1"/>
    <col min="3" max="3" width="34" customWidth="1"/>
    <col min="4" max="4" width="18" customWidth="1"/>
    <col min="5" max="5" width="12" customWidth="1"/>
    <col min="6" max="6" width="10" customWidth="1"/>
    <col min="7" max="7" width="15" customWidth="1"/>
    <col min="8" max="8" width="40" customWidth="1"/>
    <col min="9" max="9" width="16" customWidth="1"/>
    <col min="10" max="12" width="14" customWidth="1"/>
    <col min="13" max="13" width="34" customWidth="1"/>
    <col min="14" max="14" width="14" customWidth="1"/>
  </cols>
  <sheetData>
    <row r="1" spans="1:14" ht="30" customHeight="1" x14ac:dyDescent="0.3">
      <c r="A1" s="9" t="s">
        <v>58</v>
      </c>
      <c r="B1" s="9" t="s">
        <v>300</v>
      </c>
      <c r="C1" s="9" t="s">
        <v>301</v>
      </c>
      <c r="D1" s="9" t="s">
        <v>46</v>
      </c>
      <c r="E1" s="9" t="s">
        <v>302</v>
      </c>
      <c r="F1" s="9" t="s">
        <v>52</v>
      </c>
      <c r="G1" s="9" t="s">
        <v>56</v>
      </c>
      <c r="H1" s="9" t="s">
        <v>303</v>
      </c>
      <c r="I1" s="9" t="s">
        <v>304</v>
      </c>
      <c r="J1" s="9" t="s">
        <v>305</v>
      </c>
      <c r="K1" s="9" t="s">
        <v>306</v>
      </c>
      <c r="L1" s="9" t="s">
        <v>307</v>
      </c>
      <c r="M1" s="9" t="s">
        <v>308</v>
      </c>
      <c r="N1" s="9" t="s">
        <v>309</v>
      </c>
    </row>
    <row r="2" spans="1:14" ht="39.75" customHeight="1" x14ac:dyDescent="0.3">
      <c r="A2" s="10" t="s">
        <v>310</v>
      </c>
      <c r="B2" s="10" t="s">
        <v>68</v>
      </c>
      <c r="C2" s="11" t="s">
        <v>311</v>
      </c>
      <c r="D2" s="10" t="s">
        <v>60</v>
      </c>
      <c r="E2" s="10" t="s">
        <v>312</v>
      </c>
      <c r="F2" s="10" t="s">
        <v>35</v>
      </c>
      <c r="G2" s="10" t="s">
        <v>313</v>
      </c>
      <c r="H2" s="11" t="s">
        <v>314</v>
      </c>
      <c r="I2" s="10" t="s">
        <v>315</v>
      </c>
      <c r="J2" s="10" t="s">
        <v>316</v>
      </c>
      <c r="K2" s="10" t="s">
        <v>317</v>
      </c>
      <c r="L2" s="10"/>
      <c r="M2" s="11" t="s">
        <v>318</v>
      </c>
      <c r="N2" s="10"/>
    </row>
    <row r="3" spans="1:14" ht="27.75" customHeight="1" x14ac:dyDescent="0.3">
      <c r="A3" s="10"/>
      <c r="B3" s="10"/>
      <c r="C3" s="11"/>
      <c r="D3" s="10"/>
      <c r="E3" s="10"/>
      <c r="F3" s="10"/>
      <c r="G3" s="10"/>
      <c r="H3" s="11"/>
      <c r="I3" s="10"/>
      <c r="J3" s="10"/>
      <c r="K3" s="10"/>
      <c r="L3" s="10"/>
      <c r="M3" s="11"/>
      <c r="N3" s="10"/>
    </row>
    <row r="4" spans="1:14" ht="27.75" customHeight="1" x14ac:dyDescent="0.3">
      <c r="A4" s="10"/>
      <c r="B4" s="10"/>
      <c r="C4" s="11"/>
      <c r="D4" s="10"/>
      <c r="E4" s="10"/>
      <c r="F4" s="10"/>
      <c r="G4" s="10"/>
      <c r="H4" s="11"/>
      <c r="I4" s="10"/>
      <c r="J4" s="10"/>
      <c r="K4" s="10"/>
      <c r="L4" s="10"/>
      <c r="M4" s="11"/>
      <c r="N4" s="10"/>
    </row>
    <row r="5" spans="1:14" ht="27.75" customHeight="1" x14ac:dyDescent="0.3">
      <c r="A5" s="10"/>
      <c r="B5" s="10"/>
      <c r="C5" s="11"/>
      <c r="D5" s="10"/>
      <c r="E5" s="10"/>
      <c r="F5" s="10"/>
      <c r="G5" s="10"/>
      <c r="H5" s="11"/>
      <c r="I5" s="10"/>
      <c r="J5" s="10"/>
      <c r="K5" s="10"/>
      <c r="L5" s="10"/>
      <c r="M5" s="11"/>
      <c r="N5" s="10"/>
    </row>
    <row r="6" spans="1:14" ht="27.75" customHeight="1" x14ac:dyDescent="0.3">
      <c r="A6" s="10"/>
      <c r="B6" s="10"/>
      <c r="C6" s="11"/>
      <c r="D6" s="10"/>
      <c r="E6" s="10"/>
      <c r="F6" s="10"/>
      <c r="G6" s="10"/>
      <c r="H6" s="11"/>
      <c r="I6" s="10"/>
      <c r="J6" s="10"/>
      <c r="K6" s="10"/>
      <c r="L6" s="10"/>
      <c r="M6" s="11"/>
      <c r="N6" s="10"/>
    </row>
    <row r="7" spans="1:14" ht="27.75" customHeight="1" x14ac:dyDescent="0.3">
      <c r="A7" s="10"/>
      <c r="B7" s="10"/>
      <c r="C7" s="11"/>
      <c r="D7" s="10"/>
      <c r="E7" s="10"/>
      <c r="F7" s="10"/>
      <c r="G7" s="10"/>
      <c r="H7" s="11"/>
      <c r="I7" s="10"/>
      <c r="J7" s="10"/>
      <c r="K7" s="10"/>
      <c r="L7" s="10"/>
      <c r="M7" s="11"/>
      <c r="N7" s="10"/>
    </row>
    <row r="8" spans="1:14" ht="27.75" customHeight="1" x14ac:dyDescent="0.3">
      <c r="A8" s="10"/>
      <c r="B8" s="10"/>
      <c r="C8" s="11"/>
      <c r="D8" s="10"/>
      <c r="E8" s="10"/>
      <c r="F8" s="10"/>
      <c r="G8" s="10"/>
      <c r="H8" s="11"/>
      <c r="I8" s="10"/>
      <c r="J8" s="10"/>
      <c r="K8" s="10"/>
      <c r="L8" s="10"/>
      <c r="M8" s="11"/>
      <c r="N8" s="10"/>
    </row>
    <row r="9" spans="1:14" ht="27.75" customHeight="1" x14ac:dyDescent="0.3">
      <c r="A9" s="10"/>
      <c r="B9" s="10"/>
      <c r="C9" s="11"/>
      <c r="D9" s="10"/>
      <c r="E9" s="10"/>
      <c r="F9" s="10"/>
      <c r="G9" s="10"/>
      <c r="H9" s="11"/>
      <c r="I9" s="10"/>
      <c r="J9" s="10"/>
      <c r="K9" s="10"/>
      <c r="L9" s="10"/>
      <c r="M9" s="11"/>
      <c r="N9" s="10"/>
    </row>
    <row r="10" spans="1:14" ht="27.75" customHeight="1" x14ac:dyDescent="0.3">
      <c r="A10" s="10"/>
      <c r="B10" s="10"/>
      <c r="C10" s="11"/>
      <c r="D10" s="10"/>
      <c r="E10" s="10"/>
      <c r="F10" s="10"/>
      <c r="G10" s="10"/>
      <c r="H10" s="11"/>
      <c r="I10" s="10"/>
      <c r="J10" s="10"/>
      <c r="K10" s="10"/>
      <c r="L10" s="10"/>
      <c r="M10" s="11"/>
      <c r="N10" s="10"/>
    </row>
    <row r="11" spans="1:14" ht="27.75" customHeight="1" x14ac:dyDescent="0.3">
      <c r="A11" s="10"/>
      <c r="B11" s="10"/>
      <c r="C11" s="11"/>
      <c r="D11" s="10"/>
      <c r="E11" s="10"/>
      <c r="F11" s="10"/>
      <c r="G11" s="10"/>
      <c r="H11" s="11"/>
      <c r="I11" s="10"/>
      <c r="J11" s="10"/>
      <c r="K11" s="10"/>
      <c r="L11" s="10"/>
      <c r="M11" s="11"/>
      <c r="N11" s="10"/>
    </row>
    <row r="12" spans="1:14" ht="27.75" customHeight="1" x14ac:dyDescent="0.3">
      <c r="A12" s="10"/>
      <c r="B12" s="10"/>
      <c r="C12" s="11"/>
      <c r="D12" s="10"/>
      <c r="E12" s="10"/>
      <c r="F12" s="10"/>
      <c r="G12" s="10"/>
      <c r="H12" s="11"/>
      <c r="I12" s="10"/>
      <c r="J12" s="10"/>
      <c r="K12" s="10"/>
      <c r="L12" s="10"/>
      <c r="M12" s="11"/>
      <c r="N12" s="10"/>
    </row>
    <row r="13" spans="1:14" ht="27.75" customHeight="1" x14ac:dyDescent="0.3">
      <c r="A13" s="10"/>
      <c r="B13" s="10"/>
      <c r="C13" s="11"/>
      <c r="D13" s="10"/>
      <c r="E13" s="10"/>
      <c r="F13" s="10"/>
      <c r="G13" s="10"/>
      <c r="H13" s="11"/>
      <c r="I13" s="10"/>
      <c r="J13" s="10"/>
      <c r="K13" s="10"/>
      <c r="L13" s="10"/>
      <c r="M13" s="11"/>
      <c r="N13" s="10"/>
    </row>
    <row r="14" spans="1:14" ht="27.75" customHeight="1" x14ac:dyDescent="0.3">
      <c r="A14" s="10"/>
      <c r="B14" s="10"/>
      <c r="C14" s="11"/>
      <c r="D14" s="10"/>
      <c r="E14" s="10"/>
      <c r="F14" s="10"/>
      <c r="G14" s="10"/>
      <c r="H14" s="11"/>
      <c r="I14" s="10"/>
      <c r="J14" s="10"/>
      <c r="K14" s="10"/>
      <c r="L14" s="10"/>
      <c r="M14" s="11"/>
      <c r="N14" s="10"/>
    </row>
    <row r="15" spans="1:14" ht="27.75" customHeight="1" x14ac:dyDescent="0.3">
      <c r="A15" s="10"/>
      <c r="B15" s="10"/>
      <c r="C15" s="11"/>
      <c r="D15" s="10"/>
      <c r="E15" s="10"/>
      <c r="F15" s="10"/>
      <c r="G15" s="10"/>
      <c r="H15" s="11"/>
      <c r="I15" s="10"/>
      <c r="J15" s="10"/>
      <c r="K15" s="10"/>
      <c r="L15" s="10"/>
      <c r="M15" s="11"/>
      <c r="N15" s="10"/>
    </row>
    <row r="16" spans="1:14" ht="27.75" customHeight="1" x14ac:dyDescent="0.3">
      <c r="A16" s="10"/>
      <c r="B16" s="10"/>
      <c r="C16" s="11"/>
      <c r="D16" s="10"/>
      <c r="E16" s="10"/>
      <c r="F16" s="10"/>
      <c r="G16" s="10"/>
      <c r="H16" s="11"/>
      <c r="I16" s="10"/>
      <c r="J16" s="10"/>
      <c r="K16" s="10"/>
      <c r="L16" s="10"/>
      <c r="M16" s="11"/>
      <c r="N16" s="10"/>
    </row>
    <row r="17" spans="1:14" ht="27.75" customHeight="1" x14ac:dyDescent="0.3">
      <c r="A17" s="10"/>
      <c r="B17" s="10"/>
      <c r="C17" s="11"/>
      <c r="D17" s="10"/>
      <c r="E17" s="10"/>
      <c r="F17" s="10"/>
      <c r="G17" s="10"/>
      <c r="H17" s="11"/>
      <c r="I17" s="10"/>
      <c r="J17" s="10"/>
      <c r="K17" s="10"/>
      <c r="L17" s="10"/>
      <c r="M17" s="11"/>
      <c r="N17" s="10"/>
    </row>
    <row r="18" spans="1:14" ht="27.75" customHeight="1" x14ac:dyDescent="0.3">
      <c r="A18" s="10"/>
      <c r="B18" s="10"/>
      <c r="C18" s="11"/>
      <c r="D18" s="10"/>
      <c r="E18" s="10"/>
      <c r="F18" s="10"/>
      <c r="G18" s="10"/>
      <c r="H18" s="11"/>
      <c r="I18" s="10"/>
      <c r="J18" s="10"/>
      <c r="K18" s="10"/>
      <c r="L18" s="10"/>
      <c r="M18" s="11"/>
      <c r="N18" s="10"/>
    </row>
    <row r="19" spans="1:14" ht="27.75" customHeight="1" x14ac:dyDescent="0.3">
      <c r="A19" s="10"/>
      <c r="B19" s="10"/>
      <c r="C19" s="11"/>
      <c r="D19" s="10"/>
      <c r="E19" s="10"/>
      <c r="F19" s="10"/>
      <c r="G19" s="10"/>
      <c r="H19" s="11"/>
      <c r="I19" s="10"/>
      <c r="J19" s="10"/>
      <c r="K19" s="10"/>
      <c r="L19" s="10"/>
      <c r="M19" s="11"/>
      <c r="N19" s="10"/>
    </row>
    <row r="20" spans="1:14" ht="27.75" customHeight="1" x14ac:dyDescent="0.3">
      <c r="A20" s="10"/>
      <c r="B20" s="10"/>
      <c r="C20" s="11"/>
      <c r="D20" s="10"/>
      <c r="E20" s="10"/>
      <c r="F20" s="10"/>
      <c r="G20" s="10"/>
      <c r="H20" s="11"/>
      <c r="I20" s="10"/>
      <c r="J20" s="10"/>
      <c r="K20" s="10"/>
      <c r="L20" s="10"/>
      <c r="M20" s="11"/>
      <c r="N20" s="10"/>
    </row>
    <row r="21" spans="1:14" ht="27.75" customHeight="1" x14ac:dyDescent="0.3">
      <c r="A21" s="10"/>
      <c r="B21" s="10"/>
      <c r="C21" s="11"/>
      <c r="D21" s="10"/>
      <c r="E21" s="10"/>
      <c r="F21" s="10"/>
      <c r="G21" s="10"/>
      <c r="H21" s="11"/>
      <c r="I21" s="10"/>
      <c r="J21" s="10"/>
      <c r="K21" s="10"/>
      <c r="L21" s="10"/>
      <c r="M21" s="11"/>
      <c r="N21" s="10"/>
    </row>
    <row r="22" spans="1:14" ht="27.75" customHeight="1" x14ac:dyDescent="0.3">
      <c r="A22" s="10"/>
      <c r="B22" s="10"/>
      <c r="C22" s="11"/>
      <c r="D22" s="10"/>
      <c r="E22" s="10"/>
      <c r="F22" s="10"/>
      <c r="G22" s="10"/>
      <c r="H22" s="11"/>
      <c r="I22" s="10"/>
      <c r="J22" s="10"/>
      <c r="K22" s="10"/>
      <c r="L22" s="10"/>
      <c r="M22" s="11"/>
      <c r="N22" s="10"/>
    </row>
    <row r="23" spans="1:14" ht="27.75" customHeight="1" x14ac:dyDescent="0.3">
      <c r="A23" s="10"/>
      <c r="B23" s="10"/>
      <c r="C23" s="11"/>
      <c r="D23" s="10"/>
      <c r="E23" s="10"/>
      <c r="F23" s="10"/>
      <c r="G23" s="10"/>
      <c r="H23" s="11"/>
      <c r="I23" s="10"/>
      <c r="J23" s="10"/>
      <c r="K23" s="10"/>
      <c r="L23" s="10"/>
      <c r="M23" s="11"/>
      <c r="N23" s="10"/>
    </row>
    <row r="24" spans="1:14" ht="27.75" customHeight="1" x14ac:dyDescent="0.3">
      <c r="A24" s="10"/>
      <c r="B24" s="10"/>
      <c r="C24" s="11"/>
      <c r="D24" s="10"/>
      <c r="E24" s="10"/>
      <c r="F24" s="10"/>
      <c r="G24" s="10"/>
      <c r="H24" s="11"/>
      <c r="I24" s="10"/>
      <c r="J24" s="10"/>
      <c r="K24" s="10"/>
      <c r="L24" s="10"/>
      <c r="M24" s="11"/>
      <c r="N24" s="10"/>
    </row>
    <row r="25" spans="1:14" ht="27.75" customHeight="1" x14ac:dyDescent="0.3">
      <c r="A25" s="10"/>
      <c r="B25" s="10"/>
      <c r="C25" s="11"/>
      <c r="D25" s="10"/>
      <c r="E25" s="10"/>
      <c r="F25" s="10"/>
      <c r="G25" s="10"/>
      <c r="H25" s="11"/>
      <c r="I25" s="10"/>
      <c r="J25" s="10"/>
      <c r="K25" s="10"/>
      <c r="L25" s="10"/>
      <c r="M25" s="11"/>
      <c r="N25" s="10"/>
    </row>
    <row r="26" spans="1:14" ht="27.75" customHeight="1" x14ac:dyDescent="0.3">
      <c r="A26" s="10"/>
      <c r="B26" s="10"/>
      <c r="C26" s="11"/>
      <c r="D26" s="10"/>
      <c r="E26" s="10"/>
      <c r="F26" s="10"/>
      <c r="G26" s="10"/>
      <c r="H26" s="11"/>
      <c r="I26" s="10"/>
      <c r="J26" s="10"/>
      <c r="K26" s="10"/>
      <c r="L26" s="10"/>
      <c r="M26" s="11"/>
      <c r="N26" s="10"/>
    </row>
    <row r="27" spans="1:14" ht="27.75" customHeight="1" x14ac:dyDescent="0.3">
      <c r="A27" s="10"/>
      <c r="B27" s="10"/>
      <c r="C27" s="11"/>
      <c r="D27" s="10"/>
      <c r="E27" s="10"/>
      <c r="F27" s="10"/>
      <c r="G27" s="10"/>
      <c r="H27" s="11"/>
      <c r="I27" s="10"/>
      <c r="J27" s="10"/>
      <c r="K27" s="10"/>
      <c r="L27" s="10"/>
      <c r="M27" s="11"/>
      <c r="N27" s="10"/>
    </row>
    <row r="28" spans="1:14" ht="27.75" customHeight="1" x14ac:dyDescent="0.3">
      <c r="A28" s="10"/>
      <c r="B28" s="10"/>
      <c r="C28" s="11"/>
      <c r="D28" s="10"/>
      <c r="E28" s="10"/>
      <c r="F28" s="10"/>
      <c r="G28" s="10"/>
      <c r="H28" s="11"/>
      <c r="I28" s="10"/>
      <c r="J28" s="10"/>
      <c r="K28" s="10"/>
      <c r="L28" s="10"/>
      <c r="M28" s="11"/>
      <c r="N28" s="10"/>
    </row>
    <row r="29" spans="1:14" ht="27.75" customHeight="1" x14ac:dyDescent="0.3">
      <c r="A29" s="10"/>
      <c r="B29" s="10"/>
      <c r="C29" s="11"/>
      <c r="D29" s="10"/>
      <c r="E29" s="10"/>
      <c r="F29" s="10"/>
      <c r="G29" s="10"/>
      <c r="H29" s="11"/>
      <c r="I29" s="10"/>
      <c r="J29" s="10"/>
      <c r="K29" s="10"/>
      <c r="L29" s="10"/>
      <c r="M29" s="11"/>
      <c r="N29" s="10"/>
    </row>
    <row r="30" spans="1:14" ht="27.75" customHeight="1" x14ac:dyDescent="0.3">
      <c r="A30" s="10"/>
      <c r="B30" s="10"/>
      <c r="C30" s="11"/>
      <c r="D30" s="10"/>
      <c r="E30" s="10"/>
      <c r="F30" s="10"/>
      <c r="G30" s="10"/>
      <c r="H30" s="11"/>
      <c r="I30" s="10"/>
      <c r="J30" s="10"/>
      <c r="K30" s="10"/>
      <c r="L30" s="10"/>
      <c r="M30" s="11"/>
      <c r="N30" s="10"/>
    </row>
    <row r="31" spans="1:14" ht="27.75" customHeight="1" x14ac:dyDescent="0.3">
      <c r="A31" s="10"/>
      <c r="B31" s="10"/>
      <c r="C31" s="11"/>
      <c r="D31" s="10"/>
      <c r="E31" s="10"/>
      <c r="F31" s="10"/>
      <c r="G31" s="10"/>
      <c r="H31" s="11"/>
      <c r="I31" s="10"/>
      <c r="J31" s="10"/>
      <c r="K31" s="10"/>
      <c r="L31" s="10"/>
      <c r="M31" s="11"/>
      <c r="N31" s="10"/>
    </row>
    <row r="32" spans="1:14" ht="27.75" customHeight="1" x14ac:dyDescent="0.3">
      <c r="A32" s="10"/>
      <c r="B32" s="10"/>
      <c r="C32" s="11"/>
      <c r="D32" s="10"/>
      <c r="E32" s="10"/>
      <c r="F32" s="10"/>
      <c r="G32" s="10"/>
      <c r="H32" s="11"/>
      <c r="I32" s="10"/>
      <c r="J32" s="10"/>
      <c r="K32" s="10"/>
      <c r="L32" s="10"/>
      <c r="M32" s="11"/>
      <c r="N32" s="10"/>
    </row>
    <row r="33" spans="1:14" ht="27.75" customHeight="1" x14ac:dyDescent="0.3">
      <c r="A33" s="10"/>
      <c r="B33" s="10"/>
      <c r="C33" s="11"/>
      <c r="D33" s="10"/>
      <c r="E33" s="10"/>
      <c r="F33" s="10"/>
      <c r="G33" s="10"/>
      <c r="H33" s="11"/>
      <c r="I33" s="10"/>
      <c r="J33" s="10"/>
      <c r="K33" s="10"/>
      <c r="L33" s="10"/>
      <c r="M33" s="11"/>
      <c r="N33" s="10"/>
    </row>
    <row r="34" spans="1:14" ht="27.75" customHeight="1" x14ac:dyDescent="0.3">
      <c r="A34" s="10"/>
      <c r="B34" s="10"/>
      <c r="C34" s="11"/>
      <c r="D34" s="10"/>
      <c r="E34" s="10"/>
      <c r="F34" s="10"/>
      <c r="G34" s="10"/>
      <c r="H34" s="11"/>
      <c r="I34" s="10"/>
      <c r="J34" s="10"/>
      <c r="K34" s="10"/>
      <c r="L34" s="10"/>
      <c r="M34" s="11"/>
      <c r="N34" s="10"/>
    </row>
    <row r="35" spans="1:14" ht="27.75" customHeight="1" x14ac:dyDescent="0.3">
      <c r="A35" s="10"/>
      <c r="B35" s="10"/>
      <c r="C35" s="11"/>
      <c r="D35" s="10"/>
      <c r="E35" s="10"/>
      <c r="F35" s="10"/>
      <c r="G35" s="10"/>
      <c r="H35" s="11"/>
      <c r="I35" s="10"/>
      <c r="J35" s="10"/>
      <c r="K35" s="10"/>
      <c r="L35" s="10"/>
      <c r="M35" s="11"/>
      <c r="N35" s="10"/>
    </row>
    <row r="36" spans="1:14" ht="27.75" customHeight="1" x14ac:dyDescent="0.3">
      <c r="A36" s="10"/>
      <c r="B36" s="10"/>
      <c r="C36" s="11"/>
      <c r="D36" s="10"/>
      <c r="E36" s="10"/>
      <c r="F36" s="10"/>
      <c r="G36" s="10"/>
      <c r="H36" s="11"/>
      <c r="I36" s="10"/>
      <c r="J36" s="10"/>
      <c r="K36" s="10"/>
      <c r="L36" s="10"/>
      <c r="M36" s="11"/>
      <c r="N36" s="10"/>
    </row>
    <row r="37" spans="1:14" ht="27.75" customHeight="1" x14ac:dyDescent="0.3">
      <c r="A37" s="10"/>
      <c r="B37" s="10"/>
      <c r="C37" s="11"/>
      <c r="D37" s="10"/>
      <c r="E37" s="10"/>
      <c r="F37" s="10"/>
      <c r="G37" s="10"/>
      <c r="H37" s="11"/>
      <c r="I37" s="10"/>
      <c r="J37" s="10"/>
      <c r="K37" s="10"/>
      <c r="L37" s="10"/>
      <c r="M37" s="11"/>
      <c r="N37" s="10"/>
    </row>
    <row r="38" spans="1:14" ht="27.75" customHeight="1" x14ac:dyDescent="0.3">
      <c r="A38" s="10"/>
      <c r="B38" s="10"/>
      <c r="C38" s="11"/>
      <c r="D38" s="10"/>
      <c r="E38" s="10"/>
      <c r="F38" s="10"/>
      <c r="G38" s="10"/>
      <c r="H38" s="11"/>
      <c r="I38" s="10"/>
      <c r="J38" s="10"/>
      <c r="K38" s="10"/>
      <c r="L38" s="10"/>
      <c r="M38" s="11"/>
      <c r="N38" s="10"/>
    </row>
    <row r="39" spans="1:14" ht="27.75" customHeight="1" x14ac:dyDescent="0.3">
      <c r="A39" s="10"/>
      <c r="B39" s="10"/>
      <c r="C39" s="11"/>
      <c r="D39" s="10"/>
      <c r="E39" s="10"/>
      <c r="F39" s="10"/>
      <c r="G39" s="10"/>
      <c r="H39" s="11"/>
      <c r="I39" s="10"/>
      <c r="J39" s="10"/>
      <c r="K39" s="10"/>
      <c r="L39" s="10"/>
      <c r="M39" s="11"/>
      <c r="N39" s="10"/>
    </row>
  </sheetData>
  <autoFilter ref="A1:N39"/>
  <dataValidations count="3">
    <dataValidation type="list" allowBlank="1" sqref="E2:E500">
      <formula1>"Critical,High,Medium,Low"</formula1>
      <formula2>0</formula2>
    </dataValidation>
    <dataValidation type="list" allowBlank="1" sqref="F2:F500">
      <formula1>"P1,P2,P3,P4"</formula1>
      <formula2>0</formula2>
    </dataValidation>
    <dataValidation type="list" allowBlank="1" sqref="G2:G500">
      <formula1>"Open,In Progress,Fixed - Retest,Closed,Deferred"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2" width="16" customWidth="1"/>
    <col min="3" max="3" width="14" customWidth="1"/>
  </cols>
  <sheetData>
    <row r="1" spans="1:3" ht="21.75" customHeight="1" x14ac:dyDescent="0.3">
      <c r="A1" s="6" t="s">
        <v>319</v>
      </c>
      <c r="B1" s="6"/>
      <c r="C1" s="6"/>
    </row>
    <row r="2" spans="1:3" x14ac:dyDescent="0.3">
      <c r="A2" s="3" t="s">
        <v>320</v>
      </c>
      <c r="B2" s="3"/>
      <c r="C2" s="3"/>
    </row>
    <row r="4" spans="1:3" ht="18" customHeight="1" x14ac:dyDescent="0.3">
      <c r="A4" s="5" t="s">
        <v>321</v>
      </c>
      <c r="B4" s="5"/>
      <c r="C4" s="5"/>
    </row>
    <row r="5" spans="1:3" x14ac:dyDescent="0.3">
      <c r="A5" s="9" t="s">
        <v>322</v>
      </c>
      <c r="B5" s="9" t="s">
        <v>323</v>
      </c>
      <c r="C5" s="9" t="s">
        <v>324</v>
      </c>
    </row>
    <row r="6" spans="1:3" x14ac:dyDescent="0.3">
      <c r="A6" s="18" t="s">
        <v>325</v>
      </c>
      <c r="B6" s="10">
        <f>COUNTA('Test Cases'!$A$2:$A$500)</f>
        <v>44</v>
      </c>
    </row>
    <row r="7" spans="1:3" x14ac:dyDescent="0.3">
      <c r="A7" s="19" t="s">
        <v>326</v>
      </c>
      <c r="B7" s="10">
        <f>COUNTIF('Test Cases'!$L$2:$L$500,"Pass")</f>
        <v>0</v>
      </c>
      <c r="C7" s="20">
        <f>IFERROR(B7/$B$6,0)</f>
        <v>0</v>
      </c>
    </row>
    <row r="8" spans="1:3" x14ac:dyDescent="0.3">
      <c r="A8" s="19" t="s">
        <v>327</v>
      </c>
      <c r="B8" s="10">
        <f>COUNTIF('Test Cases'!$L$2:$L$500,"Fail")</f>
        <v>0</v>
      </c>
      <c r="C8" s="20">
        <f>IFERROR(B8/$B$6,0)</f>
        <v>0</v>
      </c>
    </row>
    <row r="9" spans="1:3" x14ac:dyDescent="0.3">
      <c r="A9" s="19" t="s">
        <v>26</v>
      </c>
      <c r="B9" s="10">
        <f>COUNTIF('Test Cases'!$L$2:$L$500,"Blocked")</f>
        <v>0</v>
      </c>
      <c r="C9" s="20">
        <f>IFERROR(B9/$B$6,0)</f>
        <v>0</v>
      </c>
    </row>
    <row r="10" spans="1:3" x14ac:dyDescent="0.3">
      <c r="A10" s="19" t="s">
        <v>28</v>
      </c>
      <c r="B10" s="10">
        <f>COUNTIF('Test Cases'!$L$2:$L$500,"Not Run")</f>
        <v>44</v>
      </c>
      <c r="C10" s="20">
        <f>IFERROR(B10/$B$6,0)</f>
        <v>1</v>
      </c>
    </row>
    <row r="11" spans="1:3" x14ac:dyDescent="0.3">
      <c r="A11" s="19" t="s">
        <v>30</v>
      </c>
      <c r="B11" s="10">
        <f>COUNTIF('Test Cases'!$L$2:$L$500,"N/A")</f>
        <v>0</v>
      </c>
      <c r="C11" s="20">
        <f>IFERROR(B11/$B$6,0)</f>
        <v>0</v>
      </c>
    </row>
    <row r="12" spans="1:3" x14ac:dyDescent="0.3">
      <c r="A12" s="18" t="s">
        <v>328</v>
      </c>
      <c r="B12" s="10">
        <f>$B$6-$B$10-$B$11</f>
        <v>0</v>
      </c>
    </row>
    <row r="13" spans="1:3" x14ac:dyDescent="0.3">
      <c r="A13" s="18" t="s">
        <v>329</v>
      </c>
      <c r="B13" s="20">
        <f>IFERROR($B$7/$B$12,0)</f>
        <v>0</v>
      </c>
    </row>
    <row r="15" spans="1:3" ht="18" customHeight="1" x14ac:dyDescent="0.3">
      <c r="A15" s="5" t="s">
        <v>330</v>
      </c>
      <c r="B15" s="5"/>
      <c r="C15" s="5"/>
    </row>
    <row r="16" spans="1:3" x14ac:dyDescent="0.3">
      <c r="A16" s="9" t="s">
        <v>302</v>
      </c>
      <c r="B16" s="9" t="s">
        <v>323</v>
      </c>
      <c r="C16" s="9"/>
    </row>
    <row r="17" spans="1:3" x14ac:dyDescent="0.3">
      <c r="A17" s="19" t="s">
        <v>331</v>
      </c>
      <c r="B17" s="10">
        <f>COUNTIF('Defect Log'!$E$2:$E$500,"Critical")</f>
        <v>0</v>
      </c>
    </row>
    <row r="18" spans="1:3" x14ac:dyDescent="0.3">
      <c r="A18" s="19" t="s">
        <v>312</v>
      </c>
      <c r="B18" s="10">
        <f>COUNTIF('Defect Log'!$E$2:$E$500,"High")</f>
        <v>1</v>
      </c>
    </row>
    <row r="19" spans="1:3" x14ac:dyDescent="0.3">
      <c r="A19" s="19" t="s">
        <v>332</v>
      </c>
      <c r="B19" s="10">
        <f>COUNTIF('Defect Log'!$E$2:$E$500,"Medium")</f>
        <v>0</v>
      </c>
    </row>
    <row r="20" spans="1:3" x14ac:dyDescent="0.3">
      <c r="A20" s="19" t="s">
        <v>333</v>
      </c>
      <c r="B20" s="10">
        <f>COUNTIF('Defect Log'!$E$2:$E$500,"Low")</f>
        <v>0</v>
      </c>
    </row>
    <row r="21" spans="1:3" x14ac:dyDescent="0.3">
      <c r="A21" s="18" t="s">
        <v>334</v>
      </c>
      <c r="B21" s="10">
        <f>COUNTA('Defect Log'!$A$2:$A$500)</f>
        <v>1</v>
      </c>
    </row>
    <row r="22" spans="1:3" x14ac:dyDescent="0.3">
      <c r="A22" s="18" t="s">
        <v>335</v>
      </c>
      <c r="B22" s="10">
        <f>$B$21-COUNTIF('Defect Log'!$G$2:$G$500,"Closed")-COUNTIF('Defect Log'!$G$2:$G$500,"Deferred")</f>
        <v>1</v>
      </c>
    </row>
    <row r="24" spans="1:3" ht="18" customHeight="1" x14ac:dyDescent="0.3">
      <c r="A24" s="5" t="s">
        <v>336</v>
      </c>
      <c r="B24" s="5"/>
      <c r="C24" s="5"/>
    </row>
    <row r="25" spans="1:3" x14ac:dyDescent="0.3">
      <c r="A25" s="18" t="s">
        <v>56</v>
      </c>
      <c r="B25" s="2" t="str">
        <f>IF(AND($B$8=0,$B$17=0),"READY — no failed cases or critical defects","REVIEW REQUIRED — see failed cases / critical defects")</f>
        <v>READY — no failed cases or critical defects</v>
      </c>
      <c r="C25" s="2"/>
    </row>
    <row r="26" spans="1:3" ht="22.35" customHeight="1" x14ac:dyDescent="0.3">
      <c r="A26" s="19" t="s">
        <v>337</v>
      </c>
      <c r="B26" s="1" t="s">
        <v>338</v>
      </c>
      <c r="C26" s="1"/>
    </row>
  </sheetData>
  <mergeCells count="7">
    <mergeCell ref="B25:C25"/>
    <mergeCell ref="B26:C26"/>
    <mergeCell ref="A1:C1"/>
    <mergeCell ref="A2:C2"/>
    <mergeCell ref="A4:C4"/>
    <mergeCell ref="A15:C15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Test Cases</vt:lpstr>
      <vt:lpstr>Defect Log</vt:lpstr>
      <vt:lpstr>Run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Sarah Gamba</cp:lastModifiedBy>
  <cp:revision>0</cp:revision>
  <dcterms:created xsi:type="dcterms:W3CDTF">2026-07-15T11:51:40Z</dcterms:created>
  <dcterms:modified xsi:type="dcterms:W3CDTF">2026-07-15T11:58:45Z</dcterms:modified>
  <dc:language>en-US</dc:language>
</cp:coreProperties>
</file>