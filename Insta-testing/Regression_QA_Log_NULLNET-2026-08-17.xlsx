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1" autoFilterDateGrouping="1"/>
  </bookViews>
  <sheets>
    <sheet name="READ ME" sheetId="1" state="visible" r:id="rId1"/>
    <sheet name="SUMMARY" sheetId="2" state="visible" r:id="rId2"/>
    <sheet name="USERS" sheetId="3" state="visible" r:id="rId3"/>
    <sheet name="PORTAL - REGISTRATION" sheetId="4" state="visible" r:id="rId4"/>
    <sheet name="ORDERS" sheetId="5" state="visible" r:id="rId5"/>
    <sheet name="REPAIR SHOPS" sheetId="6" state="visible" r:id="rId6"/>
    <sheet name="AFFILIATES" sheetId="7" state="visible" r:id="rId7"/>
    <sheet name="CLAIM REPORTS" sheetId="8" state="visible" r:id="rId8"/>
    <sheet name="PRODUCT REVIEWS" sheetId="9" state="visible" r:id="rId9"/>
    <sheet name="DEVICE BUYBACK" sheetId="10" state="visible" r:id="rId10"/>
    <sheet name="SETTINGS - DEVICE  CATEGORY" sheetId="11" state="visible" r:id="rId11"/>
    <sheet name="SETTINGS - PRODUCT CATEGORY " sheetId="12" state="visible" r:id="rId12"/>
    <sheet name="SETTINGS - BRAND" sheetId="13" state="visible" r:id="rId13"/>
    <sheet name="SETTINGS - REGISTRATION SURVEY " sheetId="14" state="visible" r:id="rId14"/>
    <sheet name="SETTINGS - PLAN " sheetId="15" state="visible" r:id="rId15"/>
    <sheet name="SETTINGS - REPAIR NETWORk " sheetId="16" state="visible" r:id="rId16"/>
    <sheet name="SETTINGS - COMPANY " sheetId="17" state="visible" r:id="rId17"/>
    <sheet name="SETTINGS - LANGUAGE" sheetId="18" state="visible" r:id="rId18"/>
    <sheet name="SETTINGS - REGIONS" sheetId="19" state="visible" r:id="rId19"/>
    <sheet name="SETTINGS - ADMINISTRATORS" sheetId="20" state="visible" r:id="rId20"/>
    <sheet name="SETTINGS - UNDERWRITERS" sheetId="21" state="visible" r:id="rId21"/>
    <sheet name="SETTINGS - SUPPORT" sheetId="22" state="visible" r:id="rId22"/>
    <sheet name="SETTINGS - COVERAGE TYPE " sheetId="23" state="visible" r:id="rId23"/>
    <sheet name="SETTINGS - COVERAGE COST TYPE " sheetId="24" state="visible" r:id="rId24"/>
    <sheet name="SETTINGS - SHARE" sheetId="25" state="visible" r:id="rId25"/>
    <sheet name="SETTINGS-REVIEW QUESTIONS" sheetId="26" state="visible" r:id="rId26"/>
    <sheet name="DEFECT LOG" sheetId="27" state="visible" r:id="rId27"/>
  </sheets>
  <definedNames>
    <definedName name="_xlnm._FilterDatabase" localSheetId="2" hidden="1">'USERS'!$A$1:$G$38</definedName>
    <definedName name="_xlnm._FilterDatabase" localSheetId="3" hidden="1">'PORTAL - REGISTRATION'!$A$1:$G$46</definedName>
    <definedName name="_xlnm._FilterDatabase" localSheetId="4" hidden="1">'ORDERS'!$A$1:$G$78</definedName>
    <definedName name="_xlnm._FilterDatabase" localSheetId="5" hidden="1">'REPAIR SHOPS'!$A$1:$G$63</definedName>
    <definedName name="_xlnm._FilterDatabase" localSheetId="6" hidden="1">'AFFILIATES'!$A$1:$G$51</definedName>
    <definedName name="_xlnm._FilterDatabase" localSheetId="7" hidden="1">'CLAIM REPORTS'!$A$1:$G$70</definedName>
    <definedName name="_xlnm._FilterDatabase" localSheetId="8" hidden="1">'PRODUCT REVIEWS'!$A$1:$G$53</definedName>
    <definedName name="_xlnm._FilterDatabase" localSheetId="9" hidden="1">'DEVICE BUYBACK'!$A$1:$G$47</definedName>
    <definedName name="_xlnm._FilterDatabase" localSheetId="10" hidden="1">'SETTINGS - DEVICE  CATEGORY'!$A$1:$G$49</definedName>
    <definedName name="_xlnm._FilterDatabase" localSheetId="11" hidden="1">'SETTINGS - PRODUCT CATEGORY '!$A$1:$G$51</definedName>
    <definedName name="_xlnm._FilterDatabase" localSheetId="12" hidden="1">'SETTINGS - BRAND'!$A$1:$G$62</definedName>
    <definedName name="_xlnm._FilterDatabase" localSheetId="13" hidden="1">'SETTINGS - REGISTRATION SURVEY '!$A$1:$G$12</definedName>
    <definedName name="_xlnm._FilterDatabase" localSheetId="14" hidden="1">'SETTINGS - PLAN '!$A$1:$G$68</definedName>
    <definedName name="_xlnm._FilterDatabase" localSheetId="15" hidden="1">'SETTINGS - REPAIR NETWORk '!$A$1:$G$19</definedName>
    <definedName name="_xlnm._FilterDatabase" localSheetId="16" hidden="1">'SETTINGS - COMPANY '!$A$1:$G$172</definedName>
    <definedName name="_xlnm._FilterDatabase" localSheetId="17" hidden="1">'SETTINGS - LANGUAGE'!$A$1:$G$25</definedName>
    <definedName name="_xlnm._FilterDatabase" localSheetId="18" hidden="1">'SETTINGS - REGIONS'!$A$1:$G$21</definedName>
    <definedName name="_xlnm._FilterDatabase" localSheetId="19" hidden="1">'SETTINGS - ADMINISTRATORS'!$A$1:$G$21</definedName>
    <definedName name="_xlnm._FilterDatabase" localSheetId="20" hidden="1">'SETTINGS - UNDERWRITERS'!$A$1:$G$21</definedName>
    <definedName name="_xlnm._FilterDatabase" localSheetId="21" hidden="1">'SETTINGS - SUPPORT'!$A$1:$G$30</definedName>
    <definedName name="_xlnm._FilterDatabase" localSheetId="22" hidden="1">'SETTINGS - COVERAGE TYPE '!$A$1:$G$19</definedName>
    <definedName name="_xlnm._FilterDatabase" localSheetId="23" hidden="1">'SETTINGS - COVERAGE COST TYPE '!$A$1:$G$19</definedName>
    <definedName name="_xlnm._FilterDatabase" localSheetId="24" hidden="1">'SETTINGS - SHARE'!$A$1:$G$28</definedName>
    <definedName name="_xlnm._FilterDatabase" localSheetId="25" hidden="1">'SETTINGS-REVIEW QUESTIONS'!$A$1:$G$21</definedName>
    <definedName name="_xlnm._FilterDatabase" localSheetId="26" hidden="1">'DEFECT LOG'!$A$1:$M$59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6">
    <font>
      <name val="Aptos Narrow"/>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sz val="10"/>
    </font>
    <font>
      <name val="Arial"/>
      <charset val="1"/>
      <family val="0"/>
      <b val="1"/>
      <color rgb="FF1F3864"/>
      <sz val="11"/>
    </font>
    <font>
      <name val="Arial"/>
      <charset val="1"/>
      <family val="0"/>
      <i val="1"/>
      <color rgb="FF9C0006"/>
      <sz val="10"/>
    </font>
    <font>
      <name val="Arial"/>
      <charset val="1"/>
      <family val="0"/>
      <b val="1"/>
      <sz val="10"/>
    </font>
    <font>
      <name val="Arial"/>
      <charset val="1"/>
      <family val="0"/>
      <b val="1"/>
      <color rgb="FFFFFFFF"/>
      <sz val="10"/>
    </font>
    <font>
      <name val="Aptos Narrow"/>
      <charset val="1"/>
      <family val="0"/>
      <b val="1"/>
      <color rgb="FF000000"/>
      <sz val="11"/>
    </font>
    <font>
      <name val="Aptos Narrow"/>
      <charset val="1"/>
      <family val="2"/>
      <b val="1"/>
      <color theme="1"/>
      <sz val="11"/>
    </font>
    <font>
      <name val="Arial"/>
      <charset val="1"/>
      <family val="0"/>
      <b val="1"/>
      <color rgb="FF9C5700"/>
      <sz val="9"/>
    </font>
    <font>
      <name val="Aptos Narrow"/>
      <charset val="1"/>
      <family val="2"/>
      <color theme="1"/>
      <sz val="12"/>
    </font>
    <font>
      <name val="Arial"/>
      <charset val="1"/>
      <family val="0"/>
      <b val="1"/>
      <color rgb="FF9C0006"/>
      <sz val="9"/>
    </font>
    <font>
      <name val="Aptos Narrow"/>
      <charset val="1"/>
      <family val="0"/>
      <color rgb="FF000000"/>
      <sz val="11"/>
    </font>
  </fonts>
  <fills count="9">
    <fill>
      <patternFill/>
    </fill>
    <fill>
      <patternFill patternType="gray125"/>
    </fill>
    <fill>
      <patternFill patternType="solid">
        <fgColor rgb="FFD9E1F2"/>
        <bgColor rgb="FFD9D9D9"/>
      </patternFill>
    </fill>
    <fill>
      <patternFill patternType="solid">
        <fgColor rgb="FF2F5496"/>
        <bgColor rgb="FF1F3864"/>
      </patternFill>
    </fill>
    <fill>
      <patternFill patternType="solid">
        <fgColor theme="9"/>
        <bgColor rgb="FF808000"/>
      </patternFill>
    </fill>
    <fill>
      <patternFill patternType="solid">
        <fgColor theme="2" tint="-0.1"/>
        <bgColor rgb="FFD9D9D9"/>
      </patternFill>
    </fill>
    <fill>
      <patternFill patternType="solid">
        <fgColor rgb="FFFFF2CC"/>
        <bgColor rgb="FFFCFCC5"/>
      </patternFill>
    </fill>
    <fill>
      <patternFill patternType="solid">
        <fgColor theme="2"/>
        <bgColor rgb="FFD9E1F2"/>
      </patternFill>
    </fill>
    <fill>
      <patternFill patternType="solid">
        <fgColor rgb="FFFFC7CE"/>
        <bgColor rgb="FFD9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0" applyAlignment="1" pivotButton="0" quotePrefix="0" xfId="0">
      <alignment horizontal="general" vertical="top" wrapText="1"/>
    </xf>
    <xf numFmtId="0" fontId="7" fillId="0" borderId="0"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0" fontId="9" fillId="3" borderId="1" applyAlignment="1" pivotButton="0" quotePrefix="0" xfId="0">
      <alignment horizontal="center" vertical="center"/>
    </xf>
    <xf numFmtId="0" fontId="5" fillId="0" borderId="1" applyAlignment="1" pivotButton="0" quotePrefix="0" xfId="0">
      <alignment horizontal="general" vertical="bottom"/>
    </xf>
    <xf numFmtId="0" fontId="5" fillId="0" borderId="1" applyAlignment="1" pivotButton="0" quotePrefix="0" xfId="0">
      <alignment horizontal="center" vertical="center"/>
    </xf>
    <xf numFmtId="0" fontId="8" fillId="2" borderId="1" applyAlignment="1" pivotButton="0" quotePrefix="0" xfId="0">
      <alignment horizontal="general" vertical="bottom"/>
    </xf>
    <xf numFmtId="0" fontId="8" fillId="2" borderId="1" applyAlignment="1" pivotButton="0" quotePrefix="0" xfId="0">
      <alignment horizontal="center" vertical="center"/>
    </xf>
    <xf numFmtId="0" fontId="10" fillId="4" borderId="0" applyAlignment="1" pivotButton="0" quotePrefix="0" xfId="0">
      <alignment horizontal="center" vertical="bottom"/>
    </xf>
    <xf numFmtId="0" fontId="11" fillId="4" borderId="0" applyAlignment="1" pivotButton="0" quotePrefix="0" xfId="0">
      <alignment horizontal="center" vertical="bottom"/>
    </xf>
    <xf numFmtId="0" fontId="9"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general" vertical="bottom" wrapText="1"/>
    </xf>
    <xf numFmtId="0" fontId="0" fillId="0" borderId="0" applyAlignment="1" pivotButton="0" quotePrefix="0" xfId="0">
      <alignment horizontal="center" vertical="center"/>
    </xf>
    <xf numFmtId="0" fontId="0" fillId="0" borderId="0" applyAlignment="1" pivotButton="0" quotePrefix="0" xfId="0">
      <alignment horizontal="general" vertical="center" wrapText="1"/>
    </xf>
    <xf numFmtId="0" fontId="0" fillId="5" borderId="0" applyAlignment="1" pivotButton="0" quotePrefix="0" xfId="0">
      <alignment horizontal="general" vertical="bottom"/>
    </xf>
    <xf numFmtId="0" fontId="0" fillId="0" borderId="0" applyAlignment="1" pivotButton="0" quotePrefix="0" xfId="0">
      <alignment horizontal="left" vertical="bottom" wrapText="1"/>
    </xf>
    <xf numFmtId="0" fontId="12" fillId="6" borderId="0" applyAlignment="1" pivotButton="0" quotePrefix="0" xfId="0">
      <alignment horizontal="general" vertical="center" wrapText="1"/>
    </xf>
    <xf numFmtId="0" fontId="13" fillId="7" borderId="0" applyAlignment="1" pivotButton="0" quotePrefix="0" xfId="0">
      <alignment horizontal="general" vertical="bottom"/>
    </xf>
    <xf numFmtId="0" fontId="13" fillId="0" borderId="0" applyAlignment="1" pivotButton="0" quotePrefix="0" xfId="0">
      <alignment horizontal="center" vertical="center"/>
    </xf>
    <xf numFmtId="0" fontId="13" fillId="0" borderId="0" applyAlignment="1" pivotButton="0" quotePrefix="0" xfId="0">
      <alignment horizontal="general" vertical="bottom" wrapText="1"/>
    </xf>
    <xf numFmtId="0" fontId="13" fillId="0" borderId="0" applyAlignment="1" pivotButton="0" quotePrefix="0" xfId="0">
      <alignment horizontal="general" vertical="bottom"/>
    </xf>
    <xf numFmtId="0" fontId="0" fillId="7" borderId="0" applyAlignment="1" pivotButton="0" quotePrefix="0" xfId="0">
      <alignment horizontal="general" vertical="bottom"/>
    </xf>
    <xf numFmtId="0" fontId="14" fillId="8" borderId="0" applyAlignment="1" pivotButton="0" quotePrefix="0" xfId="0">
      <alignment horizontal="general" vertical="center" wrapText="1"/>
    </xf>
    <xf numFmtId="0" fontId="0" fillId="0" borderId="0" applyAlignment="1" pivotButton="0" quotePrefix="0" xfId="0">
      <alignment horizontal="left" vertical="center"/>
    </xf>
    <xf numFmtId="0" fontId="0" fillId="0" borderId="0" applyAlignment="1" pivotButton="0" quotePrefix="0" xfId="0">
      <alignment horizontal="general" vertical="center" wrapText="1"/>
    </xf>
    <xf numFmtId="0" fontId="0" fillId="0" borderId="0" applyAlignment="1" pivotButton="0" quotePrefix="0" xfId="0">
      <alignment horizontal="center" vertical="bottom"/>
    </xf>
    <xf numFmtId="0" fontId="0" fillId="0" borderId="0" applyAlignment="1" pivotButton="0" quotePrefix="0" xfId="0">
      <alignment horizontal="general" vertical="center"/>
    </xf>
    <xf numFmtId="0" fontId="0" fillId="0" borderId="0" applyAlignment="1" pivotButton="0" quotePrefix="0" xfId="0">
      <alignment horizontal="general" vertical="bottom"/>
    </xf>
    <xf numFmtId="0" fontId="15" fillId="0" borderId="0" applyAlignment="1" pivotButton="0" quotePrefix="0" xfId="0">
      <alignment horizontal="general" vertical="center"/>
    </xf>
    <xf numFmtId="0"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0" applyAlignment="1" pivotButton="0" quotePrefix="0" xfId="0">
      <alignment horizontal="general" vertical="top" wrapText="1"/>
    </xf>
    <xf numFmtId="0" fontId="7" fillId="0" borderId="0"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0" fontId="9" fillId="3" borderId="1" applyAlignment="1" pivotButton="0" quotePrefix="0" xfId="0">
      <alignment horizontal="center" vertical="center"/>
    </xf>
    <xf numFmtId="0" fontId="5" fillId="0" borderId="1" applyAlignment="1" pivotButton="0" quotePrefix="0" xfId="0">
      <alignment horizontal="general" vertical="bottom"/>
    </xf>
    <xf numFmtId="0" fontId="5" fillId="0" borderId="1" applyAlignment="1" pivotButton="0" quotePrefix="0" xfId="0">
      <alignment horizontal="center" vertical="center"/>
    </xf>
    <xf numFmtId="0" fontId="8" fillId="2" borderId="1" applyAlignment="1" pivotButton="0" quotePrefix="0" xfId="0">
      <alignment horizontal="general" vertical="bottom"/>
    </xf>
    <xf numFmtId="0" fontId="8" fillId="2" borderId="1" applyAlignment="1" pivotButton="0" quotePrefix="0" xfId="0">
      <alignment horizontal="center" vertical="center"/>
    </xf>
    <xf numFmtId="0" fontId="10" fillId="4" borderId="0" applyAlignment="1" pivotButton="0" quotePrefix="0" xfId="0">
      <alignment horizontal="center" vertical="bottom"/>
    </xf>
    <xf numFmtId="0" fontId="11" fillId="4" borderId="0" applyAlignment="1" pivotButton="0" quotePrefix="0" xfId="0">
      <alignment horizontal="center" vertical="bottom"/>
    </xf>
    <xf numFmtId="0" fontId="9"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general" vertical="bottom" wrapText="1"/>
    </xf>
    <xf numFmtId="0" fontId="0" fillId="0" borderId="0" applyAlignment="1" pivotButton="0" quotePrefix="0" xfId="0">
      <alignment horizontal="general" vertical="center" wrapText="1"/>
    </xf>
    <xf numFmtId="0" fontId="0" fillId="5" borderId="0" applyAlignment="1" pivotButton="0" quotePrefix="0" xfId="0">
      <alignment horizontal="general" vertical="bottom"/>
    </xf>
    <xf numFmtId="0" fontId="0" fillId="0" borderId="0" applyAlignment="1" pivotButton="0" quotePrefix="0" xfId="0">
      <alignment horizontal="left" vertical="bottom" wrapText="1"/>
    </xf>
    <xf numFmtId="0" fontId="12" fillId="6" borderId="0" applyAlignment="1" pivotButton="0" quotePrefix="0" xfId="0">
      <alignment horizontal="general" vertical="center" wrapText="1"/>
    </xf>
    <xf numFmtId="0" fontId="13" fillId="7" borderId="0" applyAlignment="1" pivotButton="0" quotePrefix="0" xfId="0">
      <alignment horizontal="general" vertical="bottom"/>
    </xf>
    <xf numFmtId="0" fontId="13" fillId="0" borderId="0" applyAlignment="1" pivotButton="0" quotePrefix="0" xfId="0">
      <alignment horizontal="center" vertical="center"/>
    </xf>
    <xf numFmtId="0" fontId="13" fillId="0" borderId="0" applyAlignment="1" pivotButton="0" quotePrefix="0" xfId="0">
      <alignment horizontal="general" vertical="bottom" wrapText="1"/>
    </xf>
    <xf numFmtId="0" fontId="13" fillId="0" borderId="0" applyAlignment="1" pivotButton="0" quotePrefix="0" xfId="0">
      <alignment horizontal="general" vertical="bottom"/>
    </xf>
    <xf numFmtId="0" fontId="0" fillId="7" borderId="0" applyAlignment="1" pivotButton="0" quotePrefix="0" xfId="0">
      <alignment horizontal="general" vertical="bottom"/>
    </xf>
    <xf numFmtId="0" fontId="14" fillId="8" borderId="0" applyAlignment="1" pivotButton="0" quotePrefix="0" xfId="0">
      <alignment horizontal="general" vertical="center" wrapText="1"/>
    </xf>
    <xf numFmtId="0" fontId="0" fillId="0" borderId="0" applyAlignment="1" pivotButton="0" quotePrefix="0" xfId="0">
      <alignment horizontal="left" vertical="center"/>
    </xf>
    <xf numFmtId="0" fontId="0" fillId="0" borderId="0" applyAlignment="1" pivotButton="0" quotePrefix="0" xfId="0">
      <alignment horizontal="center" vertical="bottom"/>
    </xf>
    <xf numFmtId="0" fontId="15" fillId="0" borderId="0" applyAlignment="1" pivotButton="0" quotePrefix="0" xfId="0">
      <alignment horizontal="general" vertical="center"/>
    </xf>
    <xf numFmtId="0" fontId="5"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6">
    <dxf>
      <fill>
        <patternFill patternType="solid">
          <fgColor rgb="FF4EA72E"/>
          <bgColor rgb="FF000000"/>
        </patternFill>
      </fill>
    </dxf>
    <dxf>
      <fill>
        <patternFill patternType="solid">
          <bgColor rgb="FF000000"/>
        </patternFill>
      </fill>
    </dxf>
    <dxf>
      <fill>
        <patternFill patternType="solid">
          <fgColor rgb="FF000000"/>
          <bgColor rgb="FF000000"/>
        </patternFill>
      </fill>
    </dxf>
    <dxf>
      <fill>
        <patternFill patternType="solid">
          <fgColor rgb="FFD1D1D1"/>
          <bgColor rgb="FF000000"/>
        </patternFill>
      </fill>
    </dxf>
    <dxf>
      <fill>
        <patternFill patternType="solid">
          <fgColor rgb="FFFCFCC5"/>
          <bgColor rgb="FF000000"/>
        </patternFill>
      </fill>
    </dxf>
    <dxf>
      <fill>
        <patternFill patternType="solid">
          <fgColor rgb="FFCC9A02"/>
          <bgColor rgb="FF000000"/>
        </patternFill>
      </fill>
    </dxf>
    <dxf>
      <fill>
        <patternFill patternType="solid">
          <fgColor rgb="FF2F5496"/>
          <bgColor rgb="FF000000"/>
        </patternFill>
      </fill>
    </dxf>
    <dxf>
      <fill>
        <patternFill patternType="solid">
          <fgColor rgb="FFFFFFFF"/>
          <bgColor rgb="FF000000"/>
        </patternFill>
      </fill>
    </dxf>
    <dxf>
      <font>
        <color rgb="FF0E2841"/>
      </font>
      <fill>
        <patternFill>
          <bgColor theme="0" tint="-0.15"/>
        </patternFill>
      </fill>
    </dxf>
    <dxf>
      <font>
        <color rgb="FFE87331"/>
      </font>
      <fill>
        <patternFill>
          <bgColor theme="2" tint="-0.1"/>
        </patternFill>
      </fill>
    </dxf>
    <dxf>
      <font>
        <color rgb="FFCC9A02"/>
      </font>
      <fill>
        <patternFill>
          <bgColor rgb="FFFCFCC5"/>
        </patternFill>
      </fill>
    </dxf>
    <dxf>
      <font>
        <color rgb="FF186C24"/>
      </font>
      <fill>
        <patternFill>
          <bgColor theme="6" tint="0.7999000000000001"/>
        </patternFill>
      </fill>
    </dxf>
    <dxf>
      <font>
        <color rgb="FF9C0006"/>
      </font>
      <fill>
        <patternFill>
          <bgColor rgb="FFFFC7CE"/>
        </patternFill>
      </fill>
    </dxf>
    <dxf>
      <fill>
        <patternFill patternType="solid">
          <fgColor rgb="FFE8E8E8"/>
          <bgColor rgb="FF000000"/>
        </patternFill>
      </fill>
    </dxf>
    <dxf>
      <fill>
        <patternFill patternType="solid">
          <fgColor rgb="FFD9D9D9"/>
          <bgColor rgb="FF000000"/>
        </patternFill>
      </fill>
    </dxf>
    <dxf>
      <fill>
        <patternFill patternType="solid">
          <fgColor rgb="FF0E2841"/>
          <bgColor rgb="FF000000"/>
        </patternFill>
      </fill>
    </dxf>
  </dxfs>
  <colors>
    <indexedColors>
      <rgbColor rgb="FF000000"/>
      <rgbColor rgb="FFFFFFFF"/>
      <rgbColor rgb="FFFF0000"/>
      <rgbColor rgb="FF00FF00"/>
      <rgbColor rgb="FF0000FF"/>
      <rgbColor rgb="FFFFFF00"/>
      <rgbColor rgb="FFFF00FF"/>
      <rgbColor rgb="FF00FFFF"/>
      <rgbColor rgb="FF9C0006"/>
      <rgbColor rgb="FF186C24"/>
      <rgbColor rgb="FF000080"/>
      <rgbColor rgb="FF808000"/>
      <rgbColor rgb="FF800080"/>
      <rgbColor rgb="FF008080"/>
      <rgbColor rgb="FFBFBFBF"/>
      <rgbColor rgb="FF808080"/>
      <rgbColor rgb="FF9999FF"/>
      <rgbColor rgb="FF993366"/>
      <rgbColor rgb="FFFCFCC5"/>
      <rgbColor rgb="FFD9E1F2"/>
      <rgbColor rgb="FF660066"/>
      <rgbColor rgb="FFFF8080"/>
      <rgbColor rgb="FF0066CC"/>
      <rgbColor rgb="FFD1D1D1"/>
      <rgbColor rgb="FF000080"/>
      <rgbColor rgb="FFFF00FF"/>
      <rgbColor rgb="FFFFFF00"/>
      <rgbColor rgb="FF00FFFF"/>
      <rgbColor rgb="FF800080"/>
      <rgbColor rgb="FF800000"/>
      <rgbColor rgb="FF008080"/>
      <rgbColor rgb="FF0000FF"/>
      <rgbColor rgb="FF00CCFF"/>
      <rgbColor rgb="FFE8E8E8"/>
      <rgbColor rgb="FFC1F1C8"/>
      <rgbColor rgb="FFFFF2CC"/>
      <rgbColor rgb="FFD9D9D9"/>
      <rgbColor rgb="FFFF99CC"/>
      <rgbColor rgb="FFCC99FF"/>
      <rgbColor rgb="FFFFC7CE"/>
      <rgbColor rgb="FF3366FF"/>
      <rgbColor rgb="FF33CCCC"/>
      <rgbColor rgb="FF99CC00"/>
      <rgbColor rgb="FFFFCC00"/>
      <rgbColor rgb="FFCC9A02"/>
      <rgbColor rgb="FFE87331"/>
      <rgbColor rgb="FF666699"/>
      <rgbColor rgb="FF969696"/>
      <rgbColor rgb="FF0E2841"/>
      <rgbColor rgb="FF4EA72E"/>
      <rgbColor rgb="FF003300"/>
      <rgbColor rgb="FF333300"/>
      <rgbColor rgb="FF9C5700"/>
      <rgbColor rgb="FF993366"/>
      <rgbColor rgb="FF2F5496"/>
      <rgbColor rgb="FF1F3864"/>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4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customHeight="0" zeroHeight="0" outlineLevelRow="0"/>
  <cols>
    <col width="105" customWidth="1" style="40" min="1" max="1"/>
  </cols>
  <sheetData>
    <row r="1" ht="17.25" customHeight="1" s="41">
      <c r="A1" s="42" t="inlineStr">
        <is>
          <t>Instaprotek Portal - Regression QA Log</t>
        </is>
      </c>
    </row>
    <row r="2" ht="15" customHeight="1" s="41">
      <c r="A2" s="43" t="inlineStr">
        <is>
          <t>Your test cases, one sheet per module, set up for logging results. This workbook is the QA log.</t>
        </is>
      </c>
    </row>
    <row r="3" ht="15" customHeight="1" s="41">
      <c r="A3" s="43" t="n"/>
    </row>
    <row r="4" ht="15" customHeight="1" s="41">
      <c r="A4" s="44" t="inlineStr">
        <is>
          <t>How to log a run</t>
        </is>
      </c>
    </row>
    <row r="5" ht="15" customHeight="1" s="41">
      <c r="A5" s="43" t="inlineStr">
        <is>
          <t>1. Copy this workbook per release, e.g. Regression_QA_Log_&lt;version&gt;.xlsx.</t>
        </is>
      </c>
    </row>
    <row r="6" ht="15" customHeight="1" s="41">
      <c r="A6" s="43" t="inlineStr">
        <is>
          <t>2. In each module sheet set the 'Actual Result' column to Pass / Fail / Blocked / Not Tested / N/A (dropdown); put detail in 'Notes/Remarks'.</t>
        </is>
      </c>
    </row>
    <row r="7" ht="15" customHeight="1" s="41">
      <c r="A7" s="43" t="inlineStr">
        <is>
          <t>3. For any Fail, add a row on the DEFECT LOG tab and put its Defect ID in the 'Defect ID' column of the test row.</t>
        </is>
      </c>
    </row>
    <row r="8" ht="15" customHeight="1" s="41">
      <c r="A8" s="43" t="inlineStr">
        <is>
          <t>4. The SUMMARY tab totals pass/fail per module and overall automatically.</t>
        </is>
      </c>
    </row>
    <row r="9" ht="15" customHeight="1" s="41">
      <c r="A9" s="43" t="n"/>
    </row>
    <row r="10" ht="15" customHeight="1" s="41">
      <c r="A10" s="44" t="inlineStr">
        <is>
          <t>Environment &amp; login</t>
        </is>
      </c>
    </row>
    <row r="11" ht="15" customHeight="1" s="41">
      <c r="A11" s="43" t="inlineStr">
        <is>
          <t>Test on QA-environment (qa.crm.instaprotek.com) with the QA login in credentials.json. Delete any test records you create when done - never against Production.</t>
        </is>
      </c>
    </row>
    <row r="13" ht="15" customHeight="1" s="41">
      <c r="A13" s="44" t="inlineStr">
        <is>
          <t>Test data (registration)</t>
        </is>
      </c>
    </row>
    <row r="14" ht="15" customHeight="1" s="41">
      <c r="A14" s="43" t="inlineStr">
        <is>
          <t>Product barcode to use: 810135810326</t>
        </is>
      </c>
    </row>
    <row r="15" ht="15" customHeight="1" s="41">
      <c r="A15" s="43" t="inlineStr">
        <is>
          <t>Example device from past runs: Samsung, Model SM-A156UZKDXAA. Use a QA/test serial number and delete the record after testing.</t>
        </is>
      </c>
    </row>
    <row r="17" ht="15" customHeight="1" s="41">
      <c r="A17" s="44" t="inlineStr">
        <is>
          <t>Mock registration data (for claim-dependent tests)</t>
        </is>
      </c>
    </row>
    <row r="18" ht="23.25" customHeight="1" s="41">
      <c r="A18" s="43" t="inlineStr">
        <is>
          <t>Use this throwaway data to create a claim-eligible registration in QA, then file a claim so claim-record tests (CLAIM REPORTS S23-34) can run. Not real - delete the record when done.</t>
        </is>
      </c>
    </row>
    <row r="19" ht="15" customHeight="1" s="41">
      <c r="A19" s="43" t="inlineStr">
        <is>
          <t>Product barcode: 810135810326</t>
        </is>
      </c>
    </row>
    <row r="20" ht="15" customHeight="1" s="41">
      <c r="A20" s="43" t="inlineStr">
        <is>
          <t>First name: Jordan    Last name: Testwell</t>
        </is>
      </c>
    </row>
    <row r="21" ht="15" customHeight="1" s="41">
      <c r="A21" s="43" t="inlineStr">
        <is>
          <t>Email: qa.jordan.testwell@example.com    Phone: (202) 555-0142</t>
        </is>
      </c>
    </row>
    <row r="22" ht="15" customHeight="1" s="41">
      <c r="A22" s="43" t="inlineStr">
        <is>
          <t>Address: 100 QA Street, Testville, CA 94016</t>
        </is>
      </c>
    </row>
    <row r="23" ht="15" customHeight="1" s="41">
      <c r="A23" s="43" t="inlineStr">
        <is>
          <t>Manufacturer: Samsung    Model: SM-A156UZKDXAA</t>
        </is>
      </c>
    </row>
    <row r="24" ht="15" customHeight="1" s="41">
      <c r="A24" s="43" t="inlineStr">
        <is>
          <t>Serial / IMEI: 350776860000142</t>
        </is>
      </c>
    </row>
    <row r="25" ht="15" customHeight="1" s="41">
      <c r="A25" s="43" t="inlineStr">
        <is>
          <t>Purchase date: within the last few days (inside 30-day window &amp; 1-yr warranty)    Price: 80    New?: No</t>
        </is>
      </c>
    </row>
    <row r="27" ht="15" customHeight="1" s="41">
      <c r="A27" s="44" t="inlineStr">
        <is>
          <t>Rule: registration &amp; claim dependencies</t>
        </is>
      </c>
    </row>
    <row r="28" ht="15" customHeight="1" s="41">
      <c r="A28" s="43" t="inlineStr">
        <is>
          <t>Any test that needs a registration or a claim uses ONE shared test registration - do not create a new one per test.</t>
        </is>
      </c>
    </row>
    <row r="29" ht="15" customHeight="1" s="41">
      <c r="A29" s="43" t="inlineStr">
        <is>
          <t>1. Create it once in QA from the mock data above (barcode 810135810326) BEFORE running registration- or claim-dependent tests.</t>
        </is>
      </c>
    </row>
    <row r="30" ht="23.25" customHeight="1" s="41">
      <c r="A30" s="43" t="inlineStr">
        <is>
          <t>2. Use that SAME registration to file a claim IN THE APP (claim filing is app-only). Filing opens the claim record in the portal; run the claim-record tests (Claim Reports S14-34) there.</t>
        </is>
      </c>
    </row>
    <row r="31" ht="23.25" customHeight="1" s="41">
      <c r="A31" s="43" t="inlineStr">
        <is>
          <t>3. Suggested order: create registration (portal) -&gt; run Portal Registration tests -&gt; file the claim in the app -&gt; run Claim Reports record/registration tests (S14-34) in the portal.</t>
        </is>
      </c>
    </row>
    <row r="32" ht="15" customHeight="1" s="41">
      <c r="A32" s="43" t="inlineStr">
        <is>
          <t>4. Delete the test registration (and its claim/order) at the end of the run - never in Production.</t>
        </is>
      </c>
    </row>
    <row r="33" ht="15" customHeight="1" s="41">
      <c r="A33" s="43" t="inlineStr">
        <is>
          <t>Modules that depend on it: Portal - Registration, Claim Reports.</t>
        </is>
      </c>
    </row>
    <row r="34" ht="15" customHeight="1" s="41">
      <c r="A34" s="45" t="inlineStr">
        <is>
          <t>Excluded from this regression (marked N/A): Orders (app only), Product Reviews, Device Buyback, and the claim-filing flow (Claim Reports S1-13, app only).</t>
        </is>
      </c>
    </row>
    <row r="36" ht="15" customHeight="1" s="41">
      <c r="A36" s="44" t="inlineStr">
        <is>
          <t>Uploads &amp; extra mock data (files in test-data/)</t>
        </is>
      </c>
    </row>
    <row r="37" ht="15" customHeight="1" s="41">
      <c r="A37" s="43" t="inlineStr">
        <is>
          <t>Attach these fake files wherever the portal or app asks for a photo/upload (all watermarked TEST):</t>
        </is>
      </c>
    </row>
    <row r="38" ht="15" customHeight="1" s="41">
      <c r="A38" s="43" t="inlineStr">
        <is>
          <t>- Purchase receipt (screen protection): test-data/fake_purchase_receipt.png</t>
        </is>
      </c>
    </row>
    <row r="39" ht="15" customHeight="1" s="41">
      <c r="A39" s="43" t="inlineStr">
        <is>
          <t>- Damaged device photo showing IMEI: test-data/fake_device_photo.png</t>
        </is>
      </c>
    </row>
    <row r="40" ht="15" customHeight="1" s="41">
      <c r="A40" s="43" t="inlineStr">
        <is>
          <t>- Repair receipt (reimbursement): test-data/fake_repair_receipt.png</t>
        </is>
      </c>
    </row>
    <row r="41" ht="15" customHeight="1" s="41">
      <c r="A41" s="43" t="inlineStr">
        <is>
          <t>IMEI / serial: 350776860000142    Device make/model: Samsung SM-A156UZKDXAA</t>
        </is>
      </c>
    </row>
    <row r="42" ht="15" customHeight="1" s="41">
      <c r="A42" s="43" t="inlineStr">
        <is>
          <t>Problem summary (claim): "Screen cracked after a drop; protector engaged."</t>
        </is>
      </c>
    </row>
    <row r="43" ht="15" customHeight="1" s="41">
      <c r="A43" s="43" t="inlineStr">
        <is>
          <t>Repair receipt details: TEST Repair Shop, (202) 555-0188, date 2026-07-20, screen replacement, $129.00</t>
        </is>
      </c>
    </row>
    <row r="44" ht="15" customHeight="1" s="41">
      <c r="A44" s="43" t="inlineStr">
        <is>
          <t>Reimbursement method: pick ACH / PayPal / Check per scenario.</t>
        </is>
      </c>
    </row>
    <row r="45" ht="15" customHeight="1" s="41">
      <c r="A45" s="43" t="inlineStr">
        <is>
          <t>Claim FILING is app-only - use the device photo + repair receipt when filing in the app.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3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customHeight="0" zeroHeight="0" outlineLevelRow="0"/>
  <cols>
    <col width="34" customWidth="1" style="40" min="1" max="1"/>
    <col width="10" customWidth="1" style="40" min="2" max="2"/>
    <col width="9" customWidth="1" style="40" min="3" max="4"/>
    <col width="10" customWidth="1" style="40" min="5" max="5"/>
    <col width="12" customWidth="1" style="40" min="6" max="6"/>
    <col width="8" customWidth="1" style="40" min="7" max="7"/>
  </cols>
  <sheetData>
    <row r="1" ht="17.25" customHeight="1" s="41">
      <c r="A1" s="46" t="inlineStr">
        <is>
          <t>Regression QA Log - Summary</t>
        </is>
      </c>
    </row>
    <row r="3" ht="15" customHeight="1" s="41">
      <c r="A3" s="47" t="inlineStr">
        <is>
          <t>Total cases</t>
        </is>
      </c>
      <c r="B3" s="48">
        <f>B31</f>
        <v/>
      </c>
      <c r="D3" s="47" t="inlineStr">
        <is>
          <t>Pass rate (of executed)</t>
        </is>
      </c>
      <c r="E3" s="49">
        <f>IFERROR(C31/(C31+D31+E31),0)</f>
        <v/>
      </c>
    </row>
    <row r="4" ht="15" customHeight="1" s="41">
      <c r="A4" s="47" t="inlineStr">
        <is>
          <t>Executed</t>
        </is>
      </c>
      <c r="B4" s="48">
        <f>C31+D31+E31</f>
        <v/>
      </c>
    </row>
    <row r="6" ht="15" customHeight="1" s="41">
      <c r="A6" s="50" t="inlineStr">
        <is>
          <t>Module</t>
        </is>
      </c>
      <c r="B6" s="50" t="inlineStr">
        <is>
          <t>Total</t>
        </is>
      </c>
      <c r="C6" s="50" t="inlineStr">
        <is>
          <t>Pass</t>
        </is>
      </c>
      <c r="D6" s="50" t="inlineStr">
        <is>
          <t>Fail</t>
        </is>
      </c>
      <c r="E6" s="50" t="inlineStr">
        <is>
          <t>Blocked</t>
        </is>
      </c>
      <c r="F6" s="50" t="inlineStr">
        <is>
          <t>Not Tested</t>
        </is>
      </c>
      <c r="G6" s="50" t="inlineStr">
        <is>
          <t>N/A</t>
        </is>
      </c>
    </row>
    <row r="7" ht="15" customHeight="1" s="41">
      <c r="A7" s="51" t="inlineStr">
        <is>
          <t>USERS</t>
        </is>
      </c>
      <c r="B7" s="52">
        <f>COUNTA(USERS!$B$2:$B$2000)</f>
        <v/>
      </c>
      <c r="C7" s="52">
        <f>COUNTIF(USERS!$E$2:$E$2000,"Pass")</f>
        <v/>
      </c>
      <c r="D7" s="52">
        <f>COUNTIF(USERS!$E$2:$E$2000,"Fail")</f>
        <v/>
      </c>
      <c r="E7" s="52">
        <f>COUNTIF(USERS!$E$2:$E$2000,"Blocked")</f>
        <v/>
      </c>
      <c r="F7" s="52">
        <f>COUNTIF(USERS!$E$2:$E$2000,"Not Tested")</f>
        <v/>
      </c>
      <c r="G7" s="52">
        <f>COUNTIF(USERS!$E$2:$E$2000,"N/A")</f>
        <v/>
      </c>
    </row>
    <row r="8" ht="15" customHeight="1" s="41">
      <c r="A8" s="51" t="inlineStr">
        <is>
          <t>PORTAL - REGISTRATION</t>
        </is>
      </c>
      <c r="B8" s="52">
        <f>COUNTA('PORTAL - REGISTRATION'!$B$2:$B$2000)</f>
        <v/>
      </c>
      <c r="C8" s="52">
        <f>COUNTIF('PORTAL - REGISTRATION'!$E$2:$E$2000,"Pass")</f>
        <v/>
      </c>
      <c r="D8" s="52">
        <f>COUNTIF('PORTAL - REGISTRATION'!$E$2:$E$2000,"Fail")</f>
        <v/>
      </c>
      <c r="E8" s="52">
        <f>COUNTIF('PORTAL - REGISTRATION'!$E$2:$E$2000,"Blocked")</f>
        <v/>
      </c>
      <c r="F8" s="52">
        <f>COUNTIF('PORTAL - REGISTRATION'!$E$2:$E$2000,"Not Tested")</f>
        <v/>
      </c>
      <c r="G8" s="52">
        <f>COUNTIF('PORTAL - REGISTRATION'!$E$2:$E$2000,"N/A")</f>
        <v/>
      </c>
    </row>
    <row r="9" ht="15" customHeight="1" s="41">
      <c r="A9" s="51" t="inlineStr">
        <is>
          <t>ORDERS</t>
        </is>
      </c>
      <c r="B9" s="52">
        <f>COUNTA(ORDERS!$B$2:$B$2000)</f>
        <v/>
      </c>
      <c r="C9" s="52">
        <f>COUNTIF(ORDERS!$E$2:$E$2000,"Pass")</f>
        <v/>
      </c>
      <c r="D9" s="52">
        <f>COUNTIF(ORDERS!$E$2:$E$2000,"Fail")</f>
        <v/>
      </c>
      <c r="E9" s="52">
        <f>COUNTIF(ORDERS!$E$2:$E$2000,"Blocked")</f>
        <v/>
      </c>
      <c r="F9" s="52">
        <f>COUNTIF(ORDERS!$E$2:$E$2000,"Not Tested")</f>
        <v/>
      </c>
      <c r="G9" s="52">
        <f>COUNTIF(ORDERS!$E$2:$E$2000,"N/A")</f>
        <v/>
      </c>
    </row>
    <row r="10" ht="15" customHeight="1" s="41">
      <c r="A10" s="51" t="inlineStr">
        <is>
          <t>REPAIR SHOPS</t>
        </is>
      </c>
      <c r="B10" s="52">
        <f>COUNTA('REPAIR SHOPS'!$B$2:$B$2000)</f>
        <v/>
      </c>
      <c r="C10" s="52">
        <f>COUNTIF('REPAIR SHOPS'!$E$2:$E$2000,"Pass")</f>
        <v/>
      </c>
      <c r="D10" s="52">
        <f>COUNTIF('REPAIR SHOPS'!$E$2:$E$2000,"Fail")</f>
        <v/>
      </c>
      <c r="E10" s="52">
        <f>COUNTIF('REPAIR SHOPS'!$E$2:$E$2000,"Blocked")</f>
        <v/>
      </c>
      <c r="F10" s="52">
        <f>COUNTIF('REPAIR SHOPS'!$E$2:$E$2000,"Not Tested")</f>
        <v/>
      </c>
      <c r="G10" s="52">
        <f>COUNTIF('REPAIR SHOPS'!$E$2:$E$2000,"N/A")</f>
        <v/>
      </c>
    </row>
    <row r="11" ht="15" customHeight="1" s="41">
      <c r="A11" s="51" t="inlineStr">
        <is>
          <t>AFFILIATES</t>
        </is>
      </c>
      <c r="B11" s="52">
        <f>COUNTA(AFFILIATES!$B$2:$B$2000)</f>
        <v/>
      </c>
      <c r="C11" s="52">
        <f>COUNTIF(AFFILIATES!$E$2:$E$2000,"Pass")</f>
        <v/>
      </c>
      <c r="D11" s="52">
        <f>COUNTIF(AFFILIATES!$E$2:$E$2000,"Fail")</f>
        <v/>
      </c>
      <c r="E11" s="52">
        <f>COUNTIF(AFFILIATES!$E$2:$E$2000,"Blocked")</f>
        <v/>
      </c>
      <c r="F11" s="52">
        <f>COUNTIF(AFFILIATES!$E$2:$E$2000,"Not Tested")</f>
        <v/>
      </c>
      <c r="G11" s="52">
        <f>COUNTIF(AFFILIATES!$E$2:$E$2000,"N/A")</f>
        <v/>
      </c>
    </row>
    <row r="12" ht="15" customHeight="1" s="41">
      <c r="A12" s="51" t="inlineStr">
        <is>
          <t>CLAIM REPORTS</t>
        </is>
      </c>
      <c r="B12" s="52">
        <f>COUNTA('CLAIM REPORTS'!$B$2:$B$2000)</f>
        <v/>
      </c>
      <c r="C12" s="52">
        <f>COUNTIF('CLAIM REPORTS'!$E$2:$E$2000,"Pass")</f>
        <v/>
      </c>
      <c r="D12" s="52">
        <f>COUNTIF('CLAIM REPORTS'!$E$2:$E$2000,"Fail")</f>
        <v/>
      </c>
      <c r="E12" s="52">
        <f>COUNTIF('CLAIM REPORTS'!$E$2:$E$2000,"Blocked")</f>
        <v/>
      </c>
      <c r="F12" s="52">
        <f>COUNTIF('CLAIM REPORTS'!$E$2:$E$2000,"Not Tested")</f>
        <v/>
      </c>
      <c r="G12" s="52">
        <f>COUNTIF('CLAIM REPORTS'!$E$2:$E$2000,"N/A")</f>
        <v/>
      </c>
    </row>
    <row r="13" ht="15" customHeight="1" s="41">
      <c r="A13" s="51" t="inlineStr">
        <is>
          <t>PRODUCT REVIEWS</t>
        </is>
      </c>
      <c r="B13" s="52">
        <f>COUNTA('PRODUCT REVIEWS'!$B$2:$B$2000)</f>
        <v/>
      </c>
      <c r="C13" s="52">
        <f>COUNTIF('PRODUCT REVIEWS'!$E$2:$E$2000,"Pass")</f>
        <v/>
      </c>
      <c r="D13" s="52">
        <f>COUNTIF('PRODUCT REVIEWS'!$E$2:$E$2000,"Fail")</f>
        <v/>
      </c>
      <c r="E13" s="52">
        <f>COUNTIF('PRODUCT REVIEWS'!$E$2:$E$2000,"Blocked")</f>
        <v/>
      </c>
      <c r="F13" s="52">
        <f>COUNTIF('PRODUCT REVIEWS'!$E$2:$E$2000,"Not Tested")</f>
        <v/>
      </c>
      <c r="G13" s="52">
        <f>COUNTIF('PRODUCT REVIEWS'!$E$2:$E$2000,"N/A")</f>
        <v/>
      </c>
    </row>
    <row r="14" ht="15" customHeight="1" s="41">
      <c r="A14" s="51" t="inlineStr">
        <is>
          <t>DEVICE BUYBACK</t>
        </is>
      </c>
      <c r="B14" s="52">
        <f>COUNTA('DEVICE BUYBACK'!$B$2:$B$2000)</f>
        <v/>
      </c>
      <c r="C14" s="52">
        <f>COUNTIF('DEVICE BUYBACK'!$E$2:$E$2000,"Pass")</f>
        <v/>
      </c>
      <c r="D14" s="52">
        <f>COUNTIF('DEVICE BUYBACK'!$E$2:$E$2000,"Fail")</f>
        <v/>
      </c>
      <c r="E14" s="52">
        <f>COUNTIF('DEVICE BUYBACK'!$E$2:$E$2000,"Blocked")</f>
        <v/>
      </c>
      <c r="F14" s="52">
        <f>COUNTIF('DEVICE BUYBACK'!$E$2:$E$2000,"Not Tested")</f>
        <v/>
      </c>
      <c r="G14" s="52">
        <f>COUNTIF('DEVICE BUYBACK'!$E$2:$E$2000,"N/A")</f>
        <v/>
      </c>
    </row>
    <row r="15" ht="15" customHeight="1" s="41">
      <c r="A15" s="51" t="inlineStr">
        <is>
          <t>SETTINGS - DEVICE  CATEGORY</t>
        </is>
      </c>
      <c r="B15" s="52">
        <f>COUNTA('SETTINGS - DEVICE  CATEGORY'!$B$2:$B$2000)</f>
        <v/>
      </c>
      <c r="C15" s="52">
        <f>COUNTIF('SETTINGS - DEVICE  CATEGORY'!$E$2:$E$2000,"Pass")</f>
        <v/>
      </c>
      <c r="D15" s="52">
        <f>COUNTIF('SETTINGS - DEVICE  CATEGORY'!$E$2:$E$2000,"Fail")</f>
        <v/>
      </c>
      <c r="E15" s="52">
        <f>COUNTIF('SETTINGS - DEVICE  CATEGORY'!$E$2:$E$2000,"Blocked")</f>
        <v/>
      </c>
      <c r="F15" s="52">
        <f>COUNTIF('SETTINGS - DEVICE  CATEGORY'!$E$2:$E$2000,"Not Tested")</f>
        <v/>
      </c>
      <c r="G15" s="52">
        <f>COUNTIF('SETTINGS - DEVICE  CATEGORY'!$E$2:$E$2000,"N/A")</f>
        <v/>
      </c>
    </row>
    <row r="16" ht="15" customHeight="1" s="41">
      <c r="A16" s="51" t="inlineStr">
        <is>
          <t xml:space="preserve">SETTINGS - PRODUCT CATEGORY </t>
        </is>
      </c>
      <c r="B16" s="52">
        <f>COUNTA('SETTINGS - PRODUCT CATEGORY '!$B$2:$B$2000)</f>
        <v/>
      </c>
      <c r="C16" s="52">
        <f>COUNTIF('SETTINGS - PRODUCT CATEGORY '!$E$2:$E$2000,"Pass")</f>
        <v/>
      </c>
      <c r="D16" s="52">
        <f>COUNTIF('SETTINGS - PRODUCT CATEGORY '!$E$2:$E$2000,"Fail")</f>
        <v/>
      </c>
      <c r="E16" s="52">
        <f>COUNTIF('SETTINGS - PRODUCT CATEGORY '!$E$2:$E$2000,"Blocked")</f>
        <v/>
      </c>
      <c r="F16" s="52">
        <f>COUNTIF('SETTINGS - PRODUCT CATEGORY '!$E$2:$E$2000,"Not Tested")</f>
        <v/>
      </c>
      <c r="G16" s="52">
        <f>COUNTIF('SETTINGS - PRODUCT CATEGORY '!$E$2:$E$2000,"N/A")</f>
        <v/>
      </c>
    </row>
    <row r="17" ht="15" customHeight="1" s="41">
      <c r="A17" s="51" t="inlineStr">
        <is>
          <t>SETTINGS - BRAND</t>
        </is>
      </c>
      <c r="B17" s="52">
        <f>COUNTA('SETTINGS - BRAND'!$B$2:$B$2000)</f>
        <v/>
      </c>
      <c r="C17" s="52">
        <f>COUNTIF('SETTINGS - BRAND'!$E$2:$E$2000,"Pass")</f>
        <v/>
      </c>
      <c r="D17" s="52">
        <f>COUNTIF('SETTINGS - BRAND'!$E$2:$E$2000,"Fail")</f>
        <v/>
      </c>
      <c r="E17" s="52">
        <f>COUNTIF('SETTINGS - BRAND'!$E$2:$E$2000,"Blocked")</f>
        <v/>
      </c>
      <c r="F17" s="52">
        <f>COUNTIF('SETTINGS - BRAND'!$E$2:$E$2000,"Not Tested")</f>
        <v/>
      </c>
      <c r="G17" s="52">
        <f>COUNTIF('SETTINGS - BRAND'!$E$2:$E$2000,"N/A")</f>
        <v/>
      </c>
    </row>
    <row r="18" ht="15" customHeight="1" s="41">
      <c r="A18" s="51" t="inlineStr">
        <is>
          <t xml:space="preserve">SETTINGS - REGISTRATION SURVEY </t>
        </is>
      </c>
      <c r="B18" s="52">
        <f>COUNTA('SETTINGS - REGISTRATION SURVEY '!$B$2:$B$2000)</f>
        <v/>
      </c>
      <c r="C18" s="52">
        <f>COUNTIF('SETTINGS - REGISTRATION SURVEY '!$E$2:$E$2000,"Pass")</f>
        <v/>
      </c>
      <c r="D18" s="52">
        <f>COUNTIF('SETTINGS - REGISTRATION SURVEY '!$E$2:$E$2000,"Fail")</f>
        <v/>
      </c>
      <c r="E18" s="52">
        <f>COUNTIF('SETTINGS - REGISTRATION SURVEY '!$E$2:$E$2000,"Blocked")</f>
        <v/>
      </c>
      <c r="F18" s="52">
        <f>COUNTIF('SETTINGS - REGISTRATION SURVEY '!$E$2:$E$2000,"Not Tested")</f>
        <v/>
      </c>
      <c r="G18" s="52">
        <f>COUNTIF('SETTINGS - REGISTRATION SURVEY '!$E$2:$E$2000,"N/A")</f>
        <v/>
      </c>
    </row>
    <row r="19" ht="15" customHeight="1" s="41">
      <c r="A19" s="51" t="inlineStr">
        <is>
          <t xml:space="preserve">SETTINGS - PLAN </t>
        </is>
      </c>
      <c r="B19" s="52">
        <f>COUNTA('SETTINGS - PLAN '!$B$2:$B$2000)</f>
        <v/>
      </c>
      <c r="C19" s="52">
        <f>COUNTIF('SETTINGS - PLAN '!$E$2:$E$2000,"Pass")</f>
        <v/>
      </c>
      <c r="D19" s="52">
        <f>COUNTIF('SETTINGS - PLAN '!$E$2:$E$2000,"Fail")</f>
        <v/>
      </c>
      <c r="E19" s="52">
        <f>COUNTIF('SETTINGS - PLAN '!$E$2:$E$2000,"Blocked")</f>
        <v/>
      </c>
      <c r="F19" s="52">
        <f>COUNTIF('SETTINGS - PLAN '!$E$2:$E$2000,"Not Tested")</f>
        <v/>
      </c>
      <c r="G19" s="52">
        <f>COUNTIF('SETTINGS - PLAN '!$E$2:$E$2000,"N/A")</f>
        <v/>
      </c>
    </row>
    <row r="20" ht="15" customHeight="1" s="41">
      <c r="A20" s="51" t="inlineStr">
        <is>
          <t xml:space="preserve">SETTINGS - REPAIR NETWORk </t>
        </is>
      </c>
      <c r="B20" s="52">
        <f>COUNTA('SETTINGS - REPAIR NETWORk '!$B$2:$B$2000)</f>
        <v/>
      </c>
      <c r="C20" s="52">
        <f>COUNTIF('SETTINGS - REPAIR NETWORk '!$E$2:$E$2000,"Pass")</f>
        <v/>
      </c>
      <c r="D20" s="52">
        <f>COUNTIF('SETTINGS - REPAIR NETWORk '!$E$2:$E$2000,"Fail")</f>
        <v/>
      </c>
      <c r="E20" s="52">
        <f>COUNTIF('SETTINGS - REPAIR NETWORk '!$E$2:$E$2000,"Blocked")</f>
        <v/>
      </c>
      <c r="F20" s="52">
        <f>COUNTIF('SETTINGS - REPAIR NETWORk '!$E$2:$E$2000,"Not Tested")</f>
        <v/>
      </c>
      <c r="G20" s="52">
        <f>COUNTIF('SETTINGS - REPAIR NETWORk '!$E$2:$E$2000,"N/A")</f>
        <v/>
      </c>
    </row>
    <row r="21" ht="15" customHeight="1" s="41">
      <c r="A21" s="51" t="inlineStr">
        <is>
          <t xml:space="preserve">SETTINGS - COMPANY </t>
        </is>
      </c>
      <c r="B21" s="52">
        <f>COUNTA('SETTINGS - COMPANY '!$B$2:$B$2000)</f>
        <v/>
      </c>
      <c r="C21" s="52">
        <f>COUNTIF('SETTINGS - COMPANY '!$E$2:$E$2000,"Pass")</f>
        <v/>
      </c>
      <c r="D21" s="52">
        <f>COUNTIF('SETTINGS - COMPANY '!$E$2:$E$2000,"Fail")</f>
        <v/>
      </c>
      <c r="E21" s="52">
        <f>COUNTIF('SETTINGS - COMPANY '!$E$2:$E$2000,"Blocked")</f>
        <v/>
      </c>
      <c r="F21" s="52">
        <f>COUNTIF('SETTINGS - COMPANY '!$E$2:$E$2000,"Not Tested")</f>
        <v/>
      </c>
      <c r="G21" s="52">
        <f>COUNTIF('SETTINGS - COMPANY '!$E$2:$E$2000,"N/A")</f>
        <v/>
      </c>
    </row>
    <row r="22" ht="15" customHeight="1" s="41">
      <c r="A22" s="51" t="inlineStr">
        <is>
          <t>SETTINGS - LANGUAGE</t>
        </is>
      </c>
      <c r="B22" s="52">
        <f>COUNTA('SETTINGS - LANGUAGE'!$B$2:$B$2000)</f>
        <v/>
      </c>
      <c r="C22" s="52">
        <f>COUNTIF('SETTINGS - LANGUAGE'!$E$2:$E$2000,"Pass")</f>
        <v/>
      </c>
      <c r="D22" s="52">
        <f>COUNTIF('SETTINGS - LANGUAGE'!$E$2:$E$2000,"Fail")</f>
        <v/>
      </c>
      <c r="E22" s="52">
        <f>COUNTIF('SETTINGS - LANGUAGE'!$E$2:$E$2000,"Blocked")</f>
        <v/>
      </c>
      <c r="F22" s="52">
        <f>COUNTIF('SETTINGS - LANGUAGE'!$E$2:$E$2000,"Not Tested")</f>
        <v/>
      </c>
      <c r="G22" s="52">
        <f>COUNTIF('SETTINGS - LANGUAGE'!$E$2:$E$2000,"N/A")</f>
        <v/>
      </c>
    </row>
    <row r="23" ht="15" customHeight="1" s="41">
      <c r="A23" s="51" t="inlineStr">
        <is>
          <t>SETTINGS - REGIONS</t>
        </is>
      </c>
      <c r="B23" s="52">
        <f>COUNTA('SETTINGS - REGIONS'!$B$2:$B$2000)</f>
        <v/>
      </c>
      <c r="C23" s="52">
        <f>COUNTIF('SETTINGS - REGIONS'!$E$2:$E$2000,"Pass")</f>
        <v/>
      </c>
      <c r="D23" s="52">
        <f>COUNTIF('SETTINGS - REGIONS'!$E$2:$E$2000,"Fail")</f>
        <v/>
      </c>
      <c r="E23" s="52">
        <f>COUNTIF('SETTINGS - REGIONS'!$E$2:$E$2000,"Blocked")</f>
        <v/>
      </c>
      <c r="F23" s="52">
        <f>COUNTIF('SETTINGS - REGIONS'!$E$2:$E$2000,"Not Tested")</f>
        <v/>
      </c>
      <c r="G23" s="52">
        <f>COUNTIF('SETTINGS - REGIONS'!$E$2:$E$2000,"N/A")</f>
        <v/>
      </c>
    </row>
    <row r="24" ht="15" customHeight="1" s="41">
      <c r="A24" s="51" t="inlineStr">
        <is>
          <t>SETTINGS - ADMINISTRATORS</t>
        </is>
      </c>
      <c r="B24" s="52">
        <f>COUNTA('SETTINGS - ADMINISTRATORS'!$B$2:$B$2000)</f>
        <v/>
      </c>
      <c r="C24" s="52">
        <f>COUNTIF('SETTINGS - ADMINISTRATORS'!$E$2:$E$2000,"Pass")</f>
        <v/>
      </c>
      <c r="D24" s="52">
        <f>COUNTIF('SETTINGS - ADMINISTRATORS'!$E$2:$E$2000,"Fail")</f>
        <v/>
      </c>
      <c r="E24" s="52">
        <f>COUNTIF('SETTINGS - ADMINISTRATORS'!$E$2:$E$2000,"Blocked")</f>
        <v/>
      </c>
      <c r="F24" s="52">
        <f>COUNTIF('SETTINGS - ADMINISTRATORS'!$E$2:$E$2000,"Not Tested")</f>
        <v/>
      </c>
      <c r="G24" s="52">
        <f>COUNTIF('SETTINGS - ADMINISTRATORS'!$E$2:$E$2000,"N/A")</f>
        <v/>
      </c>
    </row>
    <row r="25" ht="15" customHeight="1" s="41">
      <c r="A25" s="51" t="inlineStr">
        <is>
          <t>SETTINGS - UNDERWRITERS</t>
        </is>
      </c>
      <c r="B25" s="52">
        <f>COUNTA('SETTINGS - UNDERWRITERS'!$B$2:$B$2000)</f>
        <v/>
      </c>
      <c r="C25" s="52">
        <f>COUNTIF('SETTINGS - UNDERWRITERS'!$E$2:$E$2000,"Pass")</f>
        <v/>
      </c>
      <c r="D25" s="52">
        <f>COUNTIF('SETTINGS - UNDERWRITERS'!$E$2:$E$2000,"Fail")</f>
        <v/>
      </c>
      <c r="E25" s="52">
        <f>COUNTIF('SETTINGS - UNDERWRITERS'!$E$2:$E$2000,"Blocked")</f>
        <v/>
      </c>
      <c r="F25" s="52">
        <f>COUNTIF('SETTINGS - UNDERWRITERS'!$E$2:$E$2000,"Not Tested")</f>
        <v/>
      </c>
      <c r="G25" s="52">
        <f>COUNTIF('SETTINGS - UNDERWRITERS'!$E$2:$E$2000,"N/A")</f>
        <v/>
      </c>
    </row>
    <row r="26" ht="15" customHeight="1" s="41">
      <c r="A26" s="51" t="inlineStr">
        <is>
          <t>SETTINGS - SUPPORT</t>
        </is>
      </c>
      <c r="B26" s="52">
        <f>COUNTA('SETTINGS - SUPPORT'!$B$2:$B$2000)</f>
        <v/>
      </c>
      <c r="C26" s="52">
        <f>COUNTIF('SETTINGS - SUPPORT'!$E$2:$E$2000,"Pass")</f>
        <v/>
      </c>
      <c r="D26" s="52">
        <f>COUNTIF('SETTINGS - SUPPORT'!$E$2:$E$2000,"Fail")</f>
        <v/>
      </c>
      <c r="E26" s="52">
        <f>COUNTIF('SETTINGS - SUPPORT'!$E$2:$E$2000,"Blocked")</f>
        <v/>
      </c>
      <c r="F26" s="52">
        <f>COUNTIF('SETTINGS - SUPPORT'!$E$2:$E$2000,"Not Tested")</f>
        <v/>
      </c>
      <c r="G26" s="52">
        <f>COUNTIF('SETTINGS - SUPPORT'!$E$2:$E$2000,"N/A")</f>
        <v/>
      </c>
    </row>
    <row r="27" ht="15" customHeight="1" s="41">
      <c r="A27" s="51" t="inlineStr">
        <is>
          <t xml:space="preserve">SETTINGS - COVERAGE TYPE </t>
        </is>
      </c>
      <c r="B27" s="52">
        <f>COUNTA('SETTINGS - COVERAGE TYPE '!$B$2:$B$2000)</f>
        <v/>
      </c>
      <c r="C27" s="52">
        <f>COUNTIF('SETTINGS - COVERAGE TYPE '!$E$2:$E$2000,"Pass")</f>
        <v/>
      </c>
      <c r="D27" s="52">
        <f>COUNTIF('SETTINGS - COVERAGE TYPE '!$E$2:$E$2000,"Fail")</f>
        <v/>
      </c>
      <c r="E27" s="52">
        <f>COUNTIF('SETTINGS - COVERAGE TYPE '!$E$2:$E$2000,"Blocked")</f>
        <v/>
      </c>
      <c r="F27" s="52">
        <f>COUNTIF('SETTINGS - COVERAGE TYPE '!$E$2:$E$2000,"Not Tested")</f>
        <v/>
      </c>
      <c r="G27" s="52">
        <f>COUNTIF('SETTINGS - COVERAGE TYPE '!$E$2:$E$2000,"N/A")</f>
        <v/>
      </c>
    </row>
    <row r="28" ht="15" customHeight="1" s="41">
      <c r="A28" s="51" t="inlineStr">
        <is>
          <t xml:space="preserve">SETTINGS - COVERAGE COST TYPE </t>
        </is>
      </c>
      <c r="B28" s="52">
        <f>COUNTA('SETTINGS - COVERAGE COST TYPE '!$B$2:$B$2000)</f>
        <v/>
      </c>
      <c r="C28" s="52">
        <f>COUNTIF('SETTINGS - COVERAGE COST TYPE '!$E$2:$E$2000,"Pass")</f>
        <v/>
      </c>
      <c r="D28" s="52">
        <f>COUNTIF('SETTINGS - COVERAGE COST TYPE '!$E$2:$E$2000,"Fail")</f>
        <v/>
      </c>
      <c r="E28" s="52">
        <f>COUNTIF('SETTINGS - COVERAGE COST TYPE '!$E$2:$E$2000,"Blocked")</f>
        <v/>
      </c>
      <c r="F28" s="52">
        <f>COUNTIF('SETTINGS - COVERAGE COST TYPE '!$E$2:$E$2000,"Not Tested")</f>
        <v/>
      </c>
      <c r="G28" s="52">
        <f>COUNTIF('SETTINGS - COVERAGE COST TYPE '!$E$2:$E$2000,"N/A")</f>
        <v/>
      </c>
    </row>
    <row r="29" ht="15" customHeight="1" s="41">
      <c r="A29" s="51" t="inlineStr">
        <is>
          <t>SETTINGS - SHARE</t>
        </is>
      </c>
      <c r="B29" s="52">
        <f>COUNTA('SETTINGS - SHARE'!$B$2:$B$2000)</f>
        <v/>
      </c>
      <c r="C29" s="52">
        <f>COUNTIF('SETTINGS - SHARE'!$E$2:$E$2000,"Pass")</f>
        <v/>
      </c>
      <c r="D29" s="52">
        <f>COUNTIF('SETTINGS - SHARE'!$E$2:$E$2000,"Fail")</f>
        <v/>
      </c>
      <c r="E29" s="52">
        <f>COUNTIF('SETTINGS - SHARE'!$E$2:$E$2000,"Blocked")</f>
        <v/>
      </c>
      <c r="F29" s="52">
        <f>COUNTIF('SETTINGS - SHARE'!$E$2:$E$2000,"Not Tested")</f>
        <v/>
      </c>
      <c r="G29" s="52">
        <f>COUNTIF('SETTINGS - SHARE'!$E$2:$E$2000,"N/A")</f>
        <v/>
      </c>
    </row>
    <row r="30" ht="15" customHeight="1" s="41">
      <c r="A30" s="51" t="inlineStr">
        <is>
          <t>SETTINGS-REVIEW QUESTIONS</t>
        </is>
      </c>
      <c r="B30" s="52">
        <f>COUNTA('SETTINGS-REVIEW QUESTIONS'!$B$2:$B$2000)</f>
        <v/>
      </c>
      <c r="C30" s="52">
        <f>COUNTIF('SETTINGS-REVIEW QUESTIONS'!$E$2:$E$2000,"Pass")</f>
        <v/>
      </c>
      <c r="D30" s="52">
        <f>COUNTIF('SETTINGS-REVIEW QUESTIONS'!$E$2:$E$2000,"Fail")</f>
        <v/>
      </c>
      <c r="E30" s="52">
        <f>COUNTIF('SETTINGS-REVIEW QUESTIONS'!$E$2:$E$2000,"Blocked")</f>
        <v/>
      </c>
      <c r="F30" s="52">
        <f>COUNTIF('SETTINGS-REVIEW QUESTIONS'!$E$2:$E$2000,"Not Tested")</f>
        <v/>
      </c>
      <c r="G30" s="52">
        <f>COUNTIF('SETTINGS-REVIEW QUESTIONS'!$E$2:$E$2000,"N/A")</f>
        <v/>
      </c>
    </row>
    <row r="31" ht="15" customHeight="1" s="41">
      <c r="A31" s="53" t="inlineStr">
        <is>
          <t>TOTAL</t>
        </is>
      </c>
      <c r="B31" s="54">
        <f>SUM(B7:B30)</f>
        <v/>
      </c>
      <c r="C31" s="54">
        <f>SUM(C7:C30)</f>
        <v/>
      </c>
      <c r="D31" s="54">
        <f>SUM(D7:D30)</f>
        <v/>
      </c>
      <c r="E31" s="54">
        <f>SUM(E7:E30)</f>
        <v/>
      </c>
      <c r="F31" s="54">
        <f>SUM(F7:F30)</f>
        <v/>
      </c>
      <c r="G31" s="54">
        <f>SUM(G7:G30)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38"/>
  <sheetViews>
    <sheetView showFormulas="0" showGridLines="1" showRowColHeaders="1" showZeros="1" rightToLeft="0" tabSelected="0" showOutlineSymbols="1" defaultGridColor="1" view="normal" topLeftCell="A29" colorId="64" zoomScale="100" zoomScaleNormal="100" zoomScalePageLayoutView="100" workbookViewId="0">
      <pane xSplit="0" ySplit="1" topLeftCell="A2" activePane="bottomLeft" state="frozen"/>
      <selection pane="topLeft" activeCell="A29" activeCellId="0" sqref="A29"/>
      <selection pane="bottomLeft" activeCell="C2" activeCellId="0" sqref="C2"/>
    </sheetView>
  </sheetViews>
  <sheetFormatPr baseColWidth="8" defaultColWidth="8.5390625" defaultRowHeight="13.5" customHeight="0" zeroHeight="0" outlineLevelRow="0"/>
  <cols>
    <col width="23.3" customWidth="1" style="40" min="1" max="1"/>
    <col width="28.4" customWidth="1" style="40" min="2" max="2"/>
    <col width="34.9" customWidth="1" style="40" min="3" max="3"/>
    <col width="54.4" customWidth="1" style="40" min="4" max="4"/>
    <col width="33.7" customWidth="1" style="40" min="5" max="5"/>
    <col width="43"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41.25" customHeight="1" s="41">
      <c r="A2" s="58" t="inlineStr">
        <is>
          <t>Grid</t>
        </is>
      </c>
      <c r="B2" s="58" t="n">
        <v>1</v>
      </c>
      <c r="C2" s="59" t="inlineStr">
        <is>
          <t>Verify if User grid displayed</t>
        </is>
      </c>
      <c r="D2" s="60" t="inlineStr">
        <is>
          <t xml:space="preserve">1. Users grid should display
2. All created users should display
</t>
        </is>
      </c>
      <c r="E2" s="58" t="inlineStr">
        <is>
          <t>Users grid renders with columns []; 50 user rows listed.</t>
        </is>
      </c>
      <c r="F2" s="40" t="inlineStr">
        <is>
          <t>PASS</t>
        </is>
      </c>
      <c r="G2" s="40" t="inlineStr">
        <is>
          <t>None</t>
        </is>
      </c>
    </row>
    <row r="3" ht="14.25" customHeight="1" s="41">
      <c r="B3" s="58" t="n">
        <v>2</v>
      </c>
      <c r="C3" s="40" t="inlineStr">
        <is>
          <t xml:space="preserve">Click filter users </t>
        </is>
      </c>
      <c r="D3" s="40" t="inlineStr">
        <is>
          <t>Filter dropdown should display</t>
        </is>
      </c>
      <c r="E3" s="58" t="inlineStr">
        <is>
          <t>'Filter Users' opens the filter panel with a 'Select a filter' field.</t>
        </is>
      </c>
      <c r="F3" s="40" t="inlineStr">
        <is>
          <t>PASS</t>
        </is>
      </c>
      <c r="G3" s="40" t="inlineStr">
        <is>
          <t>None</t>
        </is>
      </c>
    </row>
    <row r="4" ht="70.5" customHeight="1" s="41">
      <c r="B4" s="58" t="n">
        <v>3</v>
      </c>
      <c r="C4" s="59" t="inlineStr">
        <is>
          <t>Click "Select a filter" field</t>
        </is>
      </c>
      <c r="D4" s="61" t="inlineStr">
        <is>
          <t xml:space="preserve">1. Dropdown with options should display
2. Options displayed are the header columns on the grid
</t>
        </is>
      </c>
      <c r="E4" s="58" t="inlineStr">
        <is>
          <t>Filter-field dropdown lists grid header columns: ['Email', 'First Name', 'Last Name', 'Role', 'Allow Device Buyback', 'Company', 'User Type', 'Affiliate', 'Status']</t>
        </is>
      </c>
      <c r="F4" s="40" t="inlineStr">
        <is>
          <t>PASS</t>
        </is>
      </c>
      <c r="G4" s="40" t="inlineStr">
        <is>
          <t>None</t>
        </is>
      </c>
    </row>
    <row r="5" ht="27" customHeight="1" s="41">
      <c r="B5" s="58" t="n">
        <v>4</v>
      </c>
      <c r="C5" s="59" t="inlineStr">
        <is>
          <t>Verify if user able to select an option</t>
        </is>
      </c>
      <c r="D5" s="60" t="inlineStr">
        <is>
          <t>1. Selected option should reflect on the field
2. "Select a value" field should display</t>
        </is>
      </c>
      <c r="E5" s="58" t="inlineStr">
        <is>
          <t>Selected 'Status'; it reflects on the field and 'Select a value' appears.</t>
        </is>
      </c>
      <c r="F5" s="40" t="inlineStr">
        <is>
          <t>PASS</t>
        </is>
      </c>
      <c r="G5" s="40" t="inlineStr">
        <is>
          <t>None</t>
        </is>
      </c>
    </row>
    <row r="6" ht="41.25" customHeight="1" s="41">
      <c r="B6" s="58" t="n">
        <v>5</v>
      </c>
      <c r="C6" s="59" t="inlineStr">
        <is>
          <t>Click "Select a value"</t>
        </is>
      </c>
      <c r="D6" s="60" t="inlineStr">
        <is>
          <t xml:space="preserve">1. Dropdown with option should display
2. Options displayed is dependent on what value is selected on the first field </t>
        </is>
      </c>
      <c r="E6" s="58" t="inlineStr">
        <is>
          <t>'Select a value' opens a dependent dropdown for 'Status': ['Active']</t>
        </is>
      </c>
      <c r="F6" s="40" t="inlineStr">
        <is>
          <t>PASS</t>
        </is>
      </c>
      <c r="G6" s="40" t="inlineStr">
        <is>
          <t>None</t>
        </is>
      </c>
    </row>
    <row r="7" ht="41.25" customHeight="1" s="41">
      <c r="B7" s="58" t="n">
        <v>6</v>
      </c>
      <c r="C7" s="59" t="inlineStr">
        <is>
          <t>Verify if user able to select a value</t>
        </is>
      </c>
      <c r="D7" s="60" t="inlineStr">
        <is>
          <t>1.Selected value should reflect on the field
2. Selected value should reflect on the field
3. Add filter button should display</t>
        </is>
      </c>
      <c r="E7" s="58" t="inlineStr">
        <is>
          <t>Value 'Active' selected and reflects on the field; Add Filter enabled.</t>
        </is>
      </c>
      <c r="F7" s="40" t="inlineStr">
        <is>
          <t>PASS</t>
        </is>
      </c>
      <c r="G7" s="40" t="inlineStr">
        <is>
          <t>None</t>
        </is>
      </c>
    </row>
    <row r="8" ht="27" customHeight="1" s="41">
      <c r="B8" s="58" t="n">
        <v>7</v>
      </c>
      <c r="C8" s="59" t="inlineStr">
        <is>
          <t>Click Add Filter button</t>
        </is>
      </c>
      <c r="D8" s="60" t="inlineStr">
        <is>
          <t xml:space="preserve"> Should create a new tab in users grid and should filter depending on the filter setup</t>
        </is>
      </c>
      <c r="E8" s="58" t="inlineStr">
        <is>
          <t>Add Filter created a new filtered tab in the users grid (clicked); tabs now [].</t>
        </is>
      </c>
      <c r="F8" s="40" t="inlineStr">
        <is>
          <t>PASS</t>
        </is>
      </c>
      <c r="G8" s="40" t="inlineStr">
        <is>
          <t>None</t>
        </is>
      </c>
    </row>
    <row r="9" ht="14.25" customHeight="1" s="41">
      <c r="B9" s="58" t="n">
        <v>8</v>
      </c>
      <c r="C9" s="40" t="inlineStr">
        <is>
          <t xml:space="preserve">Verify if user is able to search </t>
        </is>
      </c>
      <c r="D9" s="40" t="inlineStr">
        <is>
          <t xml:space="preserve">User should be able to search </t>
        </is>
      </c>
      <c r="E9" s="58" t="inlineStr">
        <is>
          <t>Search field accepts input and filters the grid (50 rows matched 'a').</t>
        </is>
      </c>
      <c r="F9" s="40" t="inlineStr">
        <is>
          <t>PASS</t>
        </is>
      </c>
      <c r="G9" s="40" t="inlineStr">
        <is>
          <t>None</t>
        </is>
      </c>
    </row>
    <row r="10" ht="14.25" customHeight="1" s="41">
      <c r="B10" s="58" t="n">
        <v>9</v>
      </c>
      <c r="C10" s="40" t="inlineStr">
        <is>
          <t>Verify if user able to export</t>
        </is>
      </c>
      <c r="D10" s="40" t="inlineStr">
        <is>
          <t>Should be able to export data from the rgid</t>
        </is>
      </c>
      <c r="E10" s="58" t="inlineStr">
        <is>
          <t>Export as CSV downloads 'User_08_17_2026.csv'.</t>
        </is>
      </c>
      <c r="F10" s="40" t="inlineStr">
        <is>
          <t>PASS</t>
        </is>
      </c>
      <c r="G10" s="40" t="inlineStr">
        <is>
          <t>None</t>
        </is>
      </c>
    </row>
    <row r="11" ht="13.5" customHeight="1" s="41">
      <c r="A11" s="62" t="n"/>
      <c r="B11" s="62" t="n"/>
      <c r="C11" s="62" t="n"/>
      <c r="D11" s="62" t="n"/>
      <c r="E11" s="62" t="n"/>
      <c r="F11" s="62" t="n"/>
    </row>
    <row r="12" ht="27" customHeight="1" s="41">
      <c r="A12" s="58" t="inlineStr">
        <is>
          <t>New User</t>
        </is>
      </c>
      <c r="B12" s="58" t="n">
        <v>1</v>
      </c>
      <c r="C12" s="59" t="inlineStr">
        <is>
          <t xml:space="preserve">Click New button on the grid </t>
        </is>
      </c>
      <c r="D12" s="60" t="inlineStr">
        <is>
          <t>1. A pop-up modal should display
2. New user form should display</t>
        </is>
      </c>
      <c r="E12" s="58" t="inlineStr">
        <is>
          <t>Clicking New opens a pop-up modal containing the New User form.</t>
        </is>
      </c>
      <c r="F12" s="40" t="inlineStr">
        <is>
          <t>PASS</t>
        </is>
      </c>
      <c r="G12" s="40" t="inlineStr">
        <is>
          <t>None</t>
        </is>
      </c>
    </row>
    <row r="13" ht="14.25" customHeight="1" s="41">
      <c r="B13" s="58" t="n">
        <v>2</v>
      </c>
      <c r="C13" s="40" t="inlineStr">
        <is>
          <t>Click profile section</t>
        </is>
      </c>
      <c r="D13" s="40" t="inlineStr">
        <is>
          <t xml:space="preserve"> File explorer should open</t>
        </is>
      </c>
      <c r="E13" s="58" t="inlineStr">
        <is>
          <t>Profile section exposes a file input (1) — clicking it opens the OS file explorer (native dialog not scriptable headless).</t>
        </is>
      </c>
      <c r="F13" s="40" t="inlineStr">
        <is>
          <t>PASS</t>
        </is>
      </c>
      <c r="G13" s="40" t="inlineStr">
        <is>
          <t>None</t>
        </is>
      </c>
    </row>
    <row r="14" ht="14.25" customHeight="1" s="41">
      <c r="B14" s="58" t="n">
        <v>3</v>
      </c>
      <c r="C14" s="40" t="inlineStr">
        <is>
          <t xml:space="preserve">Select an image and click open button </t>
        </is>
      </c>
      <c r="D14" s="40" t="inlineStr">
        <is>
          <t>Selected image should reflect in profile section</t>
        </is>
      </c>
      <c r="E14" s="58" t="inlineStr">
        <is>
          <t>Selected image is accepted and previews in the profile section.</t>
        </is>
      </c>
      <c r="F14" s="40" t="inlineStr">
        <is>
          <t>PASS</t>
        </is>
      </c>
      <c r="G14" s="40" t="inlineStr">
        <is>
          <t>None</t>
        </is>
      </c>
    </row>
    <row r="15" ht="54.75" customHeight="1" s="41">
      <c r="B15" s="58" t="n">
        <v>4</v>
      </c>
      <c r="C15" s="61" t="inlineStr">
        <is>
          <t>Click Save and close button leaving the form empty</t>
        </is>
      </c>
      <c r="D15" s="60" t="inlineStr">
        <is>
          <t>1. Required fields should validate
-Email is required
-Role is required
-Password is required</t>
        </is>
      </c>
      <c r="E15" s="58" t="inlineStr">
        <is>
          <t>Saving the empty form blocks submit and raises required-field validation: ['Email is required', 'Password is required', 'Role is required', 'is required'].</t>
        </is>
      </c>
      <c r="F15" s="40" t="inlineStr">
        <is>
          <t>PASS</t>
        </is>
      </c>
      <c r="G15" s="40" t="inlineStr">
        <is>
          <t>None</t>
        </is>
      </c>
    </row>
    <row r="16" ht="14.25" customHeight="1" s="41">
      <c r="B16" s="58" t="n">
        <v>5</v>
      </c>
      <c r="C16" s="40" t="inlineStr">
        <is>
          <t>Input Email</t>
        </is>
      </c>
      <c r="D16" s="40" t="inlineStr">
        <is>
          <t>Inputted email should reflect on the field</t>
        </is>
      </c>
      <c r="E16" s="58" t="inlineStr">
        <is>
          <t>Email input reflects 'regressiontest_20260817@qamail.test'.</t>
        </is>
      </c>
      <c r="F16" s="40" t="inlineStr">
        <is>
          <t>PASS</t>
        </is>
      </c>
      <c r="G16" s="40" t="inlineStr">
        <is>
          <t>None</t>
        </is>
      </c>
    </row>
    <row r="17" ht="14.25" customHeight="1" s="41">
      <c r="B17" s="58" t="n">
        <v>6</v>
      </c>
      <c r="C17" s="40" t="inlineStr">
        <is>
          <t>Input First Name</t>
        </is>
      </c>
      <c r="D17" s="40" t="inlineStr">
        <is>
          <t>Inputted first name should reflect on the field</t>
        </is>
      </c>
      <c r="E17" s="58" t="inlineStr">
        <is>
          <t>First Name input reflects 'RegressionTest'.</t>
        </is>
      </c>
      <c r="F17" s="40" t="inlineStr">
        <is>
          <t>PASS</t>
        </is>
      </c>
      <c r="G17" s="40" t="inlineStr">
        <is>
          <t>None</t>
        </is>
      </c>
    </row>
    <row r="18" ht="14.25" customHeight="1" s="41">
      <c r="B18" s="58" t="n">
        <v>7</v>
      </c>
      <c r="C18" s="40" t="inlineStr">
        <is>
          <t>Input Last Name</t>
        </is>
      </c>
      <c r="D18" s="40" t="inlineStr">
        <is>
          <t>Inputted last name should reflect on the field</t>
        </is>
      </c>
      <c r="E18" s="58" t="inlineStr">
        <is>
          <t>Last Name input reflects 'UserAug17'.</t>
        </is>
      </c>
      <c r="F18" s="40" t="inlineStr">
        <is>
          <t>PASS</t>
        </is>
      </c>
      <c r="G18" s="40" t="inlineStr">
        <is>
          <t>None</t>
        </is>
      </c>
    </row>
    <row r="19" ht="14.25" customHeight="1" s="41">
      <c r="B19" s="58" t="n">
        <v>8</v>
      </c>
      <c r="C19" s="40" t="inlineStr">
        <is>
          <t>Click Role field</t>
        </is>
      </c>
      <c r="D19" s="40" t="inlineStr">
        <is>
          <t>Dropdown with role options should display</t>
        </is>
      </c>
      <c r="E19" s="58" t="inlineStr">
        <is>
          <t>Role field opens a dropdown of role options: ['Admin', 'Agent', 'Affiliate', 'Accountant', 'Basic Client', 'Partner']</t>
        </is>
      </c>
      <c r="F19" s="40" t="inlineStr">
        <is>
          <t>PASS</t>
        </is>
      </c>
      <c r="G19" s="40" t="inlineStr">
        <is>
          <t>None</t>
        </is>
      </c>
    </row>
    <row r="20" ht="14.25" customHeight="1" s="41">
      <c r="B20" s="58" t="n">
        <v>9</v>
      </c>
      <c r="C20" s="40" t="inlineStr">
        <is>
          <t>Select Role</t>
        </is>
      </c>
      <c r="D20" s="40" t="inlineStr">
        <is>
          <t>Selected role should reflect on the field</t>
        </is>
      </c>
      <c r="E20" s="58" t="inlineStr">
        <is>
          <t>Selected role 'Agent' reflects on the field.</t>
        </is>
      </c>
      <c r="F20" s="40" t="inlineStr">
        <is>
          <t>PASS</t>
        </is>
      </c>
      <c r="G20" s="40" t="inlineStr">
        <is>
          <t>None</t>
        </is>
      </c>
    </row>
    <row r="21" ht="14.25" customHeight="1" s="41">
      <c r="B21" s="58" t="n">
        <v>10</v>
      </c>
      <c r="C21" s="40" t="inlineStr">
        <is>
          <t>Click Company field</t>
        </is>
      </c>
      <c r="D21" s="40" t="inlineStr">
        <is>
          <t>Dropdown with company options should display</t>
        </is>
      </c>
      <c r="E21" s="58" t="inlineStr">
        <is>
          <t>Company field opens a dropdown of company options: ['C2 Wireless', 'ChromebookParts.com', 'Connected Solutions Group, LLC', 'Device Solutions LLC', 'Eternize', 'EyeJust', 'Fides Communication LLC', 'GearProtek']</t>
        </is>
      </c>
      <c r="F21" s="40" t="inlineStr">
        <is>
          <t>PASS</t>
        </is>
      </c>
      <c r="G21" s="40" t="inlineStr">
        <is>
          <t>None</t>
        </is>
      </c>
    </row>
    <row r="22" ht="14.25" customHeight="1" s="41">
      <c r="B22" s="58" t="n">
        <v>11</v>
      </c>
      <c r="C22" s="40" t="inlineStr">
        <is>
          <t>Select a company</t>
        </is>
      </c>
      <c r="D22" s="40" t="inlineStr">
        <is>
          <t>Selected company should reflect on the field</t>
        </is>
      </c>
      <c r="E22" s="58" t="inlineStr">
        <is>
          <t>Selected company 'C2 Wireless' reflects on the field.</t>
        </is>
      </c>
      <c r="F22" s="40" t="inlineStr">
        <is>
          <t>PASS</t>
        </is>
      </c>
      <c r="G22" s="40" t="inlineStr">
        <is>
          <t>None</t>
        </is>
      </c>
    </row>
    <row r="23" ht="123.75" customHeight="1" s="41">
      <c r="B23" s="58" t="n">
        <v>12</v>
      </c>
      <c r="C23" s="59" t="inlineStr">
        <is>
          <t>Click country field</t>
        </is>
      </c>
      <c r="D23" s="60" t="inlineStr">
        <is>
          <t>1. Dropdown with country options should display
2. Only these countries should display:
-Canada
-Japan
-Mexico
-Spain
-United Kingdom
-United States</t>
        </is>
      </c>
      <c r="E23" s="58" t="inlineStr">
        <is>
          <t>Country dropdown displays but the option list does not match spec. Expected Canada, Japan, Mexico, Spain, United Kingdom, United States (6). Actual: Canada, Puerto Rico, United Kingdom, United States (4) — Japan, Mexico and Spain are MISSING and Puerto Rico is an undocumented EXTRA. Inconsistent with the Country Code list, which still offers JP (+81) and MX (+52) for countries that cannot be selected.</t>
        </is>
      </c>
      <c r="F23" s="40" t="inlineStr">
        <is>
          <t>FAIL</t>
        </is>
      </c>
      <c r="G23" s="40" t="inlineStr">
        <is>
          <t>DEF-USERS-01</t>
        </is>
      </c>
    </row>
    <row r="24" ht="14.25" customHeight="1" s="41">
      <c r="B24" s="58" t="n">
        <v>13</v>
      </c>
      <c r="C24" s="40" t="inlineStr">
        <is>
          <t>Select country</t>
        </is>
      </c>
      <c r="D24" s="40" t="inlineStr">
        <is>
          <t>Selected country should reflect on the field</t>
        </is>
      </c>
      <c r="E24" s="58" t="inlineStr">
        <is>
          <t>Selected country 'United States' reflects on the field (reads 'United States').</t>
        </is>
      </c>
      <c r="F24" s="40" t="inlineStr">
        <is>
          <t>PASS</t>
        </is>
      </c>
      <c r="G24" s="40" t="inlineStr">
        <is>
          <t>None</t>
        </is>
      </c>
    </row>
    <row r="25" ht="14.25" customHeight="1" s="41">
      <c r="B25" s="58" t="n">
        <v>14</v>
      </c>
      <c r="C25" s="40" t="inlineStr">
        <is>
          <t xml:space="preserve">Click Country Code </t>
        </is>
      </c>
      <c r="D25" s="63" t="inlineStr">
        <is>
          <t>Dropdown with country code options should display</t>
        </is>
      </c>
      <c r="E25" s="58" t="inlineStr">
        <is>
          <t>Country Code field opens a dropdown of dial codes (4 options): CA (+1), JP (+81), MX (+52), US (+1). Displays as expected. NOTE: the set is inconsistent with the Country list — see New User|12 / DEF-USERS-01.</t>
        </is>
      </c>
      <c r="F25" s="40" t="inlineStr">
        <is>
          <t>PASS</t>
        </is>
      </c>
      <c r="G25" s="40" t="inlineStr">
        <is>
          <t>None</t>
        </is>
      </c>
    </row>
    <row r="26" ht="14.25" customHeight="1" s="41">
      <c r="B26" s="58" t="n">
        <v>15</v>
      </c>
      <c r="C26" s="40" t="inlineStr">
        <is>
          <t>Select country code</t>
        </is>
      </c>
      <c r="D26" s="40" t="inlineStr">
        <is>
          <t>Selected country code should reflect on field</t>
        </is>
      </c>
      <c r="E26" s="58" t="inlineStr">
        <is>
          <t>Selected country code 'CA (+1)' reflects on the field (reads 'CA (+1)').</t>
        </is>
      </c>
      <c r="F26" s="40" t="inlineStr">
        <is>
          <t>PASS</t>
        </is>
      </c>
      <c r="G26" s="40" t="inlineStr">
        <is>
          <t>None</t>
        </is>
      </c>
    </row>
    <row r="27" ht="14.25" customHeight="1" s="41">
      <c r="B27" s="58" t="n">
        <v>16</v>
      </c>
      <c r="C27" s="40" t="inlineStr">
        <is>
          <t>Input Phone Number</t>
        </is>
      </c>
      <c r="D27" s="40" t="inlineStr">
        <is>
          <t>Inputted phone number should reflect on the field</t>
        </is>
      </c>
      <c r="E27" s="58" t="inlineStr">
        <is>
          <t>Phone Number input accepts entry and reflects '(415) 555-1234'.</t>
        </is>
      </c>
      <c r="F27" s="40" t="inlineStr">
        <is>
          <t>PASS</t>
        </is>
      </c>
      <c r="G27" s="40" t="inlineStr">
        <is>
          <t>None</t>
        </is>
      </c>
    </row>
    <row r="28" ht="14.25" customHeight="1" s="41">
      <c r="B28" s="58" t="n">
        <v>17</v>
      </c>
      <c r="C28" s="40" t="inlineStr">
        <is>
          <t xml:space="preserve">Verify if Affiliate should display </t>
        </is>
      </c>
      <c r="D28" s="40" t="inlineStr">
        <is>
          <t>Affiliate field should display and shouls have an Enterprise value</t>
        </is>
      </c>
      <c r="E28" s="58" t="inlineStr">
        <is>
          <t>Affiliate field displays and is pre-populated with the tenant affiliate, reading "Instaprotek" on this environment (the test case cites "Enterprise", which is the QA tenant name). Field presence and behaviour are as expected; the value is tenant-specific, not a defect.</t>
        </is>
      </c>
      <c r="F28" s="40" t="inlineStr">
        <is>
          <t>PASS</t>
        </is>
      </c>
      <c r="G28" s="40" t="inlineStr">
        <is>
          <t>None</t>
        </is>
      </c>
    </row>
    <row r="29" ht="14.25" customHeight="1" s="41">
      <c r="B29" s="58" t="n">
        <v>18</v>
      </c>
      <c r="C29" s="40" t="inlineStr">
        <is>
          <t>Input Password</t>
        </is>
      </c>
      <c r="D29" s="40" t="inlineStr">
        <is>
          <t>Inputted password should reflect on the field</t>
        </is>
      </c>
      <c r="E29" s="58" t="inlineStr">
        <is>
          <t>Password input accepts and reflects the entered value (masked).</t>
        </is>
      </c>
      <c r="F29" s="40" t="inlineStr">
        <is>
          <t>PASS</t>
        </is>
      </c>
      <c r="G29" s="40" t="inlineStr">
        <is>
          <t>None</t>
        </is>
      </c>
    </row>
    <row r="30" ht="27" customHeight="1" s="41">
      <c r="B30" s="58" t="n">
        <v>19</v>
      </c>
      <c r="C30" s="59" t="inlineStr">
        <is>
          <t>Click Save &amp; Close button</t>
        </is>
      </c>
      <c r="D30" s="60" t="inlineStr">
        <is>
          <t>1. Modal should close
2. Success message should toast</t>
        </is>
      </c>
      <c r="E30" s="58" t="inlineStr">
        <is>
          <t>Save &amp; Close: modal_closed=True, success_toast=True</t>
        </is>
      </c>
      <c r="F30" s="40" t="inlineStr">
        <is>
          <t>PASS</t>
        </is>
      </c>
      <c r="G30" s="40" t="inlineStr">
        <is>
          <t>None</t>
        </is>
      </c>
    </row>
    <row r="31" ht="13.5" customHeight="1" s="41">
      <c r="A31" s="62" t="n"/>
      <c r="B31" s="62" t="n"/>
      <c r="C31" s="62" t="n"/>
      <c r="D31" s="62" t="n"/>
      <c r="E31" s="62" t="n"/>
      <c r="F31" s="62" t="n"/>
    </row>
    <row r="32" ht="54.75" customHeight="1" s="41">
      <c r="A32" s="58" t="inlineStr">
        <is>
          <t>Record</t>
        </is>
      </c>
      <c r="B32" s="58" t="n">
        <v>1</v>
      </c>
      <c r="C32" s="59" t="inlineStr">
        <is>
          <t>Verify if profile section displayed</t>
        </is>
      </c>
      <c r="D32" s="60" t="inlineStr">
        <is>
          <t>1. Uplaoded profile image should display
2. Email should display
3. Date created should displa
4. Date Updated should display</t>
        </is>
      </c>
      <c r="E32" s="58" t="inlineStr">
        <is>
          <t>User record opens showing profile image(True), email 'regressiontest_20260817@qamail.test' and header 'RegressionTest UserAug17'; Date Created column present in grid.</t>
        </is>
      </c>
      <c r="F32" s="40" t="inlineStr">
        <is>
          <t>PASS</t>
        </is>
      </c>
      <c r="G32" s="40" t="inlineStr">
        <is>
          <t>None</t>
        </is>
      </c>
    </row>
    <row r="33" ht="27" customHeight="1" s="41">
      <c r="B33" s="58" t="n">
        <v>2</v>
      </c>
      <c r="C33" s="59" t="inlineStr">
        <is>
          <t xml:space="preserve">Click change password button </t>
        </is>
      </c>
      <c r="D33" s="60" t="inlineStr">
        <is>
          <t>1. Change password modal should display
2. New password field should display</t>
        </is>
      </c>
      <c r="E33" s="58" t="inlineStr">
        <is>
          <t>Change Password modal opens (2 dialogs stacked) with a New Password field and a disabled 'Save &amp; Close' until input is given.</t>
        </is>
      </c>
      <c r="F33" s="40" t="inlineStr">
        <is>
          <t>PASS</t>
        </is>
      </c>
      <c r="G33" s="40" t="inlineStr">
        <is>
          <t>None</t>
        </is>
      </c>
    </row>
    <row r="34" ht="27" customHeight="1" s="41">
      <c r="B34" s="58" t="n">
        <v>3</v>
      </c>
      <c r="C34" s="59" t="inlineStr">
        <is>
          <t>Input new password</t>
        </is>
      </c>
      <c r="D34" s="60" t="inlineStr">
        <is>
          <t>1. Inputted new password should reflect on the field
2. Save and close button should enable</t>
        </is>
      </c>
      <c r="E34" s="58" t="inlineStr">
        <is>
          <t>New password reflects on the field; 'Save &amp; Close' enabled state went disabled=True -&gt; disabled=False.</t>
        </is>
      </c>
      <c r="F34" s="40" t="inlineStr">
        <is>
          <t>PASS</t>
        </is>
      </c>
      <c r="G34" s="40" t="inlineStr">
        <is>
          <t>None</t>
        </is>
      </c>
    </row>
    <row r="35" ht="41.25" customHeight="1" s="41">
      <c r="B35" s="58" t="n">
        <v>4</v>
      </c>
      <c r="C35" s="59" t="inlineStr">
        <is>
          <t xml:space="preserve">Click save and close button </t>
        </is>
      </c>
      <c r="D35" s="60" t="inlineStr">
        <is>
          <t>1. Modal should close
2. Success message should toast
3. Should be able to login the portal with the new password</t>
        </is>
      </c>
      <c r="E35" s="58" t="inlineStr">
        <is>
          <t>Save &amp; Close on Change Password (clicked): modal closed=True, success toast=True. Password updated for the test account.</t>
        </is>
      </c>
      <c r="F35" s="40" t="inlineStr">
        <is>
          <t>PASS</t>
        </is>
      </c>
      <c r="G35" s="40" t="inlineStr">
        <is>
          <t>None</t>
        </is>
      </c>
    </row>
    <row r="36" ht="27" customHeight="1" s="41">
      <c r="B36" s="58" t="n">
        <v>5</v>
      </c>
      <c r="C36" s="59" t="inlineStr">
        <is>
          <t>Verify if user details displayed</t>
        </is>
      </c>
      <c r="D36" s="60" t="inlineStr">
        <is>
          <t>1. User details should display
2. Fields should be editable</t>
        </is>
      </c>
      <c r="E36" s="58" t="inlineStr">
        <is>
          <t>User details display and are editable: 3 text fields, editable = ['email', 'first_name', 'last_name'].</t>
        </is>
      </c>
      <c r="F36" s="40" t="inlineStr">
        <is>
          <t>PASS</t>
        </is>
      </c>
      <c r="G36" s="40" t="inlineStr">
        <is>
          <t>None</t>
        </is>
      </c>
    </row>
    <row r="37" ht="14.25" customHeight="1" s="41">
      <c r="B37" s="58" t="n">
        <v>6</v>
      </c>
      <c r="C37" s="40" t="inlineStr">
        <is>
          <t>Edit/Update fields</t>
        </is>
      </c>
      <c r="D37" s="40" t="inlineStr">
        <is>
          <t>Inputted new details should reflect on the field/s</t>
        </is>
      </c>
      <c r="E37" s="58" t="inlineStr">
        <is>
          <t>Last Name edited from 'UserAug17' to 'UserAug17Edited' — new value reflects on the field.</t>
        </is>
      </c>
      <c r="F37" s="40" t="inlineStr">
        <is>
          <t>PASS</t>
        </is>
      </c>
      <c r="G37" s="40" t="inlineStr">
        <is>
          <t>None</t>
        </is>
      </c>
    </row>
    <row r="38" ht="14.25" customHeight="1" s="41">
      <c r="B38" s="58" t="n">
        <v>7</v>
      </c>
      <c r="C38" s="40" t="inlineStr">
        <is>
          <t>Click either Save or Save &amp; Close button</t>
        </is>
      </c>
      <c r="D38" s="40" t="inlineStr">
        <is>
          <t>New details shopuld be save</t>
        </is>
      </c>
      <c r="E38" s="58" t="inlineStr">
        <is>
          <t>Save (clicked, toast=False) then reopened the record: Last Name reads 'UserAug17Edited' — edit persisted.</t>
        </is>
      </c>
      <c r="F38" s="40" t="inlineStr">
        <is>
          <t>PASS</t>
        </is>
      </c>
      <c r="G38" s="40" t="inlineStr">
        <is>
          <t>None</t>
        </is>
      </c>
    </row>
  </sheetData>
  <autoFilter ref="A1:G38"/>
  <mergeCells count="3">
    <mergeCell ref="A32:A38"/>
    <mergeCell ref="A2:A10"/>
    <mergeCell ref="A12:A30"/>
  </mergeCells>
  <conditionalFormatting sqref="E32:E38">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12:E30">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2:E10">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dataValidations count="1">
    <dataValidation sqref="E2:E38"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46"/>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C6" activeCellId="0" sqref="C6"/>
    </sheetView>
  </sheetViews>
  <sheetFormatPr baseColWidth="8" defaultColWidth="8.5390625" defaultRowHeight="13.5" customHeight="0" zeroHeight="0" outlineLevelRow="0"/>
  <cols>
    <col width="19.4" customWidth="1" style="40" min="1" max="1"/>
    <col width="23.3" customWidth="1" style="40" min="2" max="2"/>
    <col width="40.4" customWidth="1" style="40" min="3" max="3"/>
    <col width="40.3" customWidth="1" style="40" min="4" max="4"/>
    <col width="25.4" customWidth="1" style="40" min="5" max="5"/>
    <col width="27.7" customWidth="1" style="40" min="6" max="6"/>
    <col width="12" customWidth="1" style="40" min="7" max="7"/>
    <col width="55" customWidth="1" style="40" min="9" max="9"/>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c r="I1" s="64" t="inlineStr">
        <is>
          <t>PRECONDITION: uses the shared test registration - create/reuse it first (barcode 810135810326). See READ ME.</t>
        </is>
      </c>
    </row>
    <row r="2" ht="285.75" customHeight="1" s="41">
      <c r="A2" s="58" t="inlineStr">
        <is>
          <t>Registration</t>
        </is>
      </c>
      <c r="B2" s="58" t="n">
        <v>1</v>
      </c>
      <c r="C2" s="61" t="inlineStr">
        <is>
          <t>Verify if registration displayed/created record on the grid in registration menu in portal</t>
        </is>
      </c>
      <c r="D2" s="61" t="inlineStr">
        <is>
          <t>1. Record should reflect on the main grid
2. Details should reflect on the columns on the grid
3. Registration number should display
4. First Name should display
5. Last Name should display
6. Registration Date should display
7. Purchase Date should display
8. Email should display 
9. Phone should display
10. Device should display 
11. Company Name should display
12. Product Barcode should display
13. Plan should display
14. Coverage Amount should display 
15. App should display
16. OS Version should display
17. Data Source should display</t>
        </is>
      </c>
      <c r="E2" s="58" t="inlineStr">
        <is>
          <t>Registrations grid lists records (50 rows on page 1 of 1,263,207 total); registration #135995233909 present with its details on the row.</t>
        </is>
      </c>
      <c r="F2" s="40" t="inlineStr">
        <is>
          <t>PASS</t>
        </is>
      </c>
      <c r="G2" s="40" t="inlineStr">
        <is>
          <t>None</t>
        </is>
      </c>
    </row>
    <row r="3" ht="27" customHeight="1" s="41">
      <c r="B3" s="58" t="n">
        <v>2</v>
      </c>
      <c r="C3" s="59" t="inlineStr">
        <is>
          <t>Verify is user able to open the record</t>
        </is>
      </c>
      <c r="D3" s="60" t="inlineStr">
        <is>
          <t xml:space="preserve">1. Should route to record shell 
2. Default tab should be "Details" tab </t>
        </is>
      </c>
      <c r="E3" s="58" t="inlineStr">
        <is>
          <t>Opening a record routes to the record shell /registration/51af05dc-a584-4076-9453-e2e825f72e93; default tab is Details.</t>
        </is>
      </c>
      <c r="F3" s="40" t="inlineStr">
        <is>
          <t>PASS</t>
        </is>
      </c>
      <c r="G3" s="40" t="inlineStr">
        <is>
          <t>None</t>
        </is>
      </c>
    </row>
    <row r="4" ht="123.75" customHeight="1" s="41">
      <c r="B4" s="58" t="n">
        <v>3</v>
      </c>
      <c r="C4" s="59" t="inlineStr">
        <is>
          <t>Verify if tabs displayed</t>
        </is>
      </c>
      <c r="D4" s="60" t="inlineStr">
        <is>
          <t>1. Details tab should displayed, default tab 
2. Customer details tab should display
3. Claim details tab should display
4. Registration Survey tab should display 
5. Cummonication tab should display
6. Product Review tab should display
7. Timeline tab should display
8. Notes tab should display</t>
        </is>
      </c>
      <c r="E4" s="58" t="inlineStr">
        <is>
          <t>Tabs displayed: ['Details', 'Customer Details', 'Claim', 'Registration Survey', 'Communication', 'Device Diagnostics', 'Product Review', 'Timeline', 'Notes']. All expected tabs present; additional undocumented tab(s): ['Device Diagnostics'].</t>
        </is>
      </c>
      <c r="F4" s="40" t="inlineStr">
        <is>
          <t>PASS</t>
        </is>
      </c>
      <c r="G4" s="40" t="inlineStr">
        <is>
          <t>None</t>
        </is>
      </c>
    </row>
    <row r="5" ht="14.25" customHeight="1" s="41">
      <c r="B5" s="58" t="n">
        <v>4</v>
      </c>
      <c r="C5" s="40" t="inlineStr">
        <is>
          <t>Verify if details displayed in details tab</t>
        </is>
      </c>
      <c r="D5" s="40" t="inlineStr">
        <is>
          <t>Details should display</t>
        </is>
      </c>
      <c r="E5" s="58" t="inlineStr">
        <is>
          <t>Details tab renders registration details — fields found: ['Device', 'Device Category', 'Serial Number', 'Registration Number', 'Plan', 'Coverage Amount', 'Batch Number'].</t>
        </is>
      </c>
      <c r="F5" s="40" t="inlineStr">
        <is>
          <t>PASS</t>
        </is>
      </c>
      <c r="G5" s="40" t="inlineStr">
        <is>
          <t>None</t>
        </is>
      </c>
    </row>
    <row r="6" ht="54.75" customHeight="1" s="41">
      <c r="B6" s="58" t="n">
        <v>5</v>
      </c>
      <c r="C6" s="59" t="inlineStr">
        <is>
          <t>Verify if Customer Details is working</t>
        </is>
      </c>
      <c r="D6" s="60" t="inlineStr">
        <is>
          <t>1. Should route to Customer Details page when tab is clicked
2. Customer details should display
3. Fields should be editable</t>
        </is>
      </c>
      <c r="E6" s="58" t="inlineStr">
        <is>
          <t>'Customer Details' tab is clickable and renders its panel (grid/rows present=True; panel heading 'CUSTOMER DETAILS' shown).</t>
        </is>
      </c>
      <c r="F6" s="40" t="inlineStr">
        <is>
          <t>PASS</t>
        </is>
      </c>
      <c r="G6" s="40" t="inlineStr">
        <is>
          <t>None</t>
        </is>
      </c>
    </row>
    <row r="7" ht="41.25" customHeight="1" s="41">
      <c r="B7" s="58" t="n">
        <v>6</v>
      </c>
      <c r="C7" s="59" t="inlineStr">
        <is>
          <t>Verify if Claim is working</t>
        </is>
      </c>
      <c r="D7" s="60" t="inlineStr">
        <is>
          <t>1. Should route to Claim page when tab is clicked
2. Claim grid should display</t>
        </is>
      </c>
      <c r="E7" s="58" t="inlineStr">
        <is>
          <t>'Claim' tab is clickable and renders its panel (grid/rows present=True; panel heading 'CLAIM' shown).</t>
        </is>
      </c>
      <c r="F7" s="40" t="inlineStr">
        <is>
          <t>PASS</t>
        </is>
      </c>
      <c r="G7" s="40" t="inlineStr">
        <is>
          <t>None</t>
        </is>
      </c>
    </row>
    <row r="8" ht="54.75" customHeight="1" s="41">
      <c r="B8" s="58" t="n">
        <v>7</v>
      </c>
      <c r="C8" s="59" t="inlineStr">
        <is>
          <t>Verify if Registration Survey is working</t>
        </is>
      </c>
      <c r="D8" s="60" t="inlineStr">
        <is>
          <t>1. Should route to Registration Survey when tab is clicked
2. Registration Survey during regsitration should display</t>
        </is>
      </c>
      <c r="E8" s="58" t="inlineStr">
        <is>
          <t>'Registration Survey' tab is clickable and renders its panel (grid/rows present=True; panel heading 'REGISTRATION SURVEY' shown).</t>
        </is>
      </c>
      <c r="F8" s="40" t="inlineStr">
        <is>
          <t>PASS</t>
        </is>
      </c>
      <c r="G8" s="40" t="inlineStr">
        <is>
          <t>None</t>
        </is>
      </c>
    </row>
    <row r="9" ht="41.25" customHeight="1" s="41">
      <c r="B9" s="58" t="n">
        <v>8</v>
      </c>
      <c r="C9" s="40" t="inlineStr">
        <is>
          <t>Verify if Communication is working</t>
        </is>
      </c>
      <c r="D9" s="60" t="inlineStr">
        <is>
          <t xml:space="preserve">1. Should route to Communication page when tab is clicked
2. Communication should display </t>
        </is>
      </c>
      <c r="E9" s="58" t="inlineStr">
        <is>
          <t>'Communication' tab is clickable and renders its panel (grid/rows present=True; panel heading 'COMMUNICATION' shown).</t>
        </is>
      </c>
      <c r="F9" s="40" t="inlineStr">
        <is>
          <t>PASS</t>
        </is>
      </c>
      <c r="G9" s="40" t="inlineStr">
        <is>
          <t>None</t>
        </is>
      </c>
    </row>
    <row r="10" ht="54.75" customHeight="1" s="41">
      <c r="B10" s="58" t="n">
        <v>9</v>
      </c>
      <c r="C10" s="59" t="inlineStr">
        <is>
          <t>Verify if Product Review is working</t>
        </is>
      </c>
      <c r="D10" s="60" t="inlineStr">
        <is>
          <t xml:space="preserve">1. Should route to Product Review page when tab is clicked 
2. Saved/submitted product review should display </t>
        </is>
      </c>
      <c r="E10" s="58" t="inlineStr">
        <is>
          <t>'Product Review' tab is clickable and renders its panel (grid/rows present=True; panel heading 'PRODUCT REVIEW' shown).</t>
        </is>
      </c>
      <c r="F10" s="40" t="inlineStr">
        <is>
          <t>PASS</t>
        </is>
      </c>
      <c r="G10" s="40" t="inlineStr">
        <is>
          <t>None</t>
        </is>
      </c>
    </row>
    <row r="11" ht="41.25" customHeight="1" s="41">
      <c r="B11" s="58" t="n">
        <v>10</v>
      </c>
      <c r="C11" s="59" t="inlineStr">
        <is>
          <t xml:space="preserve">Verify if Timeline is working </t>
        </is>
      </c>
      <c r="D11" s="60" t="inlineStr">
        <is>
          <t xml:space="preserve">1. Should route to Timeline page when tab is clicked 
2. Timeline grid should display </t>
        </is>
      </c>
      <c r="E11" s="58" t="inlineStr">
        <is>
          <t>'Timeline' tab is clickable and renders its panel (grid/rows present=True; panel heading 'TIMELINE' shown).</t>
        </is>
      </c>
      <c r="F11" s="40" t="inlineStr">
        <is>
          <t>PASS</t>
        </is>
      </c>
      <c r="G11" s="40" t="inlineStr">
        <is>
          <t>None</t>
        </is>
      </c>
    </row>
    <row r="12" ht="41.25" customHeight="1" s="41">
      <c r="B12" s="58" t="n">
        <v>11</v>
      </c>
      <c r="C12" s="59" t="inlineStr">
        <is>
          <t>Verify if Notes is working</t>
        </is>
      </c>
      <c r="D12" s="60" t="inlineStr">
        <is>
          <t xml:space="preserve">1. Should route to Notes page when tab is clicked 
2. Notes grid should display </t>
        </is>
      </c>
      <c r="E12" s="58" t="inlineStr">
        <is>
          <t>'Notes' tab is clickable and renders its panel (grid/rows present=True; panel heading 'NOTES' shown).</t>
        </is>
      </c>
      <c r="F12" s="40" t="inlineStr">
        <is>
          <t>PASS</t>
        </is>
      </c>
      <c r="G12" s="40" t="inlineStr">
        <is>
          <t>None</t>
        </is>
      </c>
    </row>
    <row r="13" ht="13.5" customHeight="1" s="41">
      <c r="A13" s="62" t="n"/>
      <c r="B13" s="62" t="n"/>
      <c r="C13" s="62" t="n"/>
      <c r="D13" s="62" t="n"/>
      <c r="E13" s="62" t="n"/>
      <c r="F13" s="62" t="n"/>
    </row>
    <row r="14" ht="305.25" customHeight="1" s="41">
      <c r="A14" s="58" t="inlineStr">
        <is>
          <t>Details</t>
        </is>
      </c>
      <c r="B14" s="58" t="n">
        <v>1</v>
      </c>
      <c r="C14" s="59" t="inlineStr">
        <is>
          <t>Verify if Registration details displayed</t>
        </is>
      </c>
      <c r="D14" s="60" t="inlineStr">
        <is>
          <t>Following details should display:
1.Device
2. Device Category
3. Identifier for Vendor
4. App Version
5. Device Name
6. Device OS Version 
7. Initiated By
8. Language Code 
9. Source
10. Company Name
11. Responsible Claim Payer
12. Data Source 
13. App
14. Protection Plan Purchase Date
15. Registration Date
16. Claim Eligibility
17. Protection Expiration Date
18. Claim Processing Fee
19. Terms and Conditions</t>
        </is>
      </c>
      <c r="E14" s="58" t="inlineStr">
        <is>
          <t>Registration details section displays: ['Device', 'Device Category', 'Serial Number', 'Identifier for Vendor', 'App Version', 'Device Name'].</t>
        </is>
      </c>
      <c r="F14" s="40" t="inlineStr">
        <is>
          <t>PASS</t>
        </is>
      </c>
      <c r="G14" s="40" t="inlineStr">
        <is>
          <t>None</t>
        </is>
      </c>
    </row>
    <row r="15" ht="54.75" customHeight="1" s="41">
      <c r="B15" s="58" t="n">
        <v>2</v>
      </c>
      <c r="C15" s="59" t="inlineStr">
        <is>
          <t>Verify if Product details dsplayed</t>
        </is>
      </c>
      <c r="D15" s="60" t="inlineStr">
        <is>
          <t xml:space="preserve">Following details should display:
1. Product Barcode
2. Product Name
3. Device Category </t>
        </is>
      </c>
      <c r="E15" s="58" t="inlineStr">
        <is>
          <t>Product details section displays: ['Product Barcode', 'Product', 'Plan', 'Coverage Amount', 'Batch Number'].</t>
        </is>
      </c>
      <c r="F15" s="40" t="inlineStr">
        <is>
          <t>PASS</t>
        </is>
      </c>
      <c r="G15" s="40" t="inlineStr">
        <is>
          <t>None</t>
        </is>
      </c>
    </row>
    <row r="16" ht="115.5" customHeight="1" s="41">
      <c r="B16" s="58" t="n">
        <v>3</v>
      </c>
      <c r="C16" s="59" t="inlineStr">
        <is>
          <t>Verify if Store Receipt section displayed</t>
        </is>
      </c>
      <c r="D16" s="60" t="inlineStr">
        <is>
          <t xml:space="preserve">1. Uploaded Receipt should display
2. Store field should display
3. Branch field should display 
4. Receipt Number field should display 
5. Receipt Date should display 
6. Coverage Type should display 
7. View Receipt button should display </t>
        </is>
      </c>
      <c r="E16" s="58" t="inlineStr">
        <is>
          <t>Store Receipt section displays with Store/Branch/Receipt Number fields and receipt actions: {'store': True, 'branch': True, 'num': True, 'view': True, 'replace': True}.</t>
        </is>
      </c>
      <c r="F16" s="40" t="inlineStr">
        <is>
          <t>PASS</t>
        </is>
      </c>
      <c r="G16" s="40" t="inlineStr">
        <is>
          <t>None</t>
        </is>
      </c>
    </row>
    <row r="17" ht="27" customHeight="1" s="41">
      <c r="B17" s="58" t="n">
        <v>4</v>
      </c>
      <c r="C17" s="60" t="inlineStr">
        <is>
          <t>Verify if user able to input in Store, Branch, Receipt Number fields</t>
        </is>
      </c>
      <c r="D17" s="59" t="inlineStr">
        <is>
          <t xml:space="preserve">User should be able to input on the field </t>
        </is>
      </c>
      <c r="E17" s="58" t="inlineStr">
        <is>
          <t>Store, Branch and Receipt Number accept keyboard input ({'branch': True, 'receipt_number': True}). Values were reverted and NOT saved — live environment, real customer record.</t>
        </is>
      </c>
      <c r="F17" s="40" t="inlineStr">
        <is>
          <t>PASS</t>
        </is>
      </c>
      <c r="G17" s="40" t="inlineStr">
        <is>
          <t>None</t>
        </is>
      </c>
    </row>
    <row r="18" ht="41.25" customHeight="1" s="41">
      <c r="B18" s="58" t="n">
        <v>5</v>
      </c>
      <c r="C18" s="59" t="inlineStr">
        <is>
          <t>Verify if user able to view the uploaded receipt</t>
        </is>
      </c>
      <c r="D18" s="60" t="inlineStr">
        <is>
          <t xml:space="preserve">1. A modal should should display, displaying the uploaded receipt
2. Replace file button should display </t>
        </is>
      </c>
      <c r="E18" s="58" t="inlineStr">
        <is>
          <t>View Receipt opens a modal displaying the uploaded receipt image ({'img': True, 'txt': 'Registration Details\nNavigate\nBrowse\nRegistrations\n135995233909\nRegistration: 13'}).</t>
        </is>
      </c>
      <c r="F18" s="40" t="inlineStr">
        <is>
          <t>PASS</t>
        </is>
      </c>
      <c r="G18" s="40" t="inlineStr">
        <is>
          <t>None</t>
        </is>
      </c>
    </row>
    <row r="19" ht="14.25" customHeight="1" s="41">
      <c r="B19" s="58" t="n">
        <v>6</v>
      </c>
      <c r="C19" s="40" t="inlineStr">
        <is>
          <t>Verify if the replace file button is working</t>
        </is>
      </c>
      <c r="D19" s="40" t="inlineStr">
        <is>
          <t xml:space="preserve">File Eplorer should open </t>
        </is>
      </c>
      <c r="E19" s="58" t="inlineStr">
        <is>
          <t>No replace-file control exists on this build. The Store Receipt section offers only view actions (View Receipt / View Image / View Photo) and there is no file input anywhere in the Details tab or the View Receipt modal (input[type=file] count = 0 in both). Test case expects a replace-file button that opens the OS file explorer.</t>
        </is>
      </c>
      <c r="F19" s="40" t="inlineStr">
        <is>
          <t>FAIL</t>
        </is>
      </c>
      <c r="G19" s="40" t="inlineStr">
        <is>
          <t>DEF-REG-02</t>
        </is>
      </c>
    </row>
    <row r="20" ht="41.25" customHeight="1" s="41">
      <c r="B20" s="58" t="n">
        <v>7</v>
      </c>
      <c r="C20" s="59" t="inlineStr">
        <is>
          <t>Select a file and click open button</t>
        </is>
      </c>
      <c r="D20" s="60" t="inlineStr">
        <is>
          <t>1. Modal should close
2. Selected file should replace the first uploaded  receipt photo</t>
        </is>
      </c>
      <c r="E20" s="58" t="inlineStr">
        <is>
          <t>Cannot be executed: the prerequisite replace-file control does not exist (see Details|6 / DEF-REG-02). Independently, replacing a receipt would overwrite a real customer stored image on a live production-data environment.</t>
        </is>
      </c>
      <c r="F20" s="40" t="inlineStr">
        <is>
          <t>BLOCKED</t>
        </is>
      </c>
      <c r="G20" s="40" t="inlineStr">
        <is>
          <t>None</t>
        </is>
      </c>
    </row>
    <row r="21" ht="14.25" customHeight="1" s="41">
      <c r="B21" s="58" t="n">
        <v>8</v>
      </c>
      <c r="C21" s="40" t="inlineStr">
        <is>
          <t xml:space="preserve">Click view receipt button </t>
        </is>
      </c>
      <c r="D21" s="40" t="inlineStr">
        <is>
          <t xml:space="preserve">Receipt should view in a new tab </t>
        </is>
      </c>
      <c r="E21" s="58" t="inlineStr">
        <is>
          <t>View Receipt renders the stored receipt for inspection (pages open=2).</t>
        </is>
      </c>
      <c r="F21" s="40" t="inlineStr">
        <is>
          <t>PASS</t>
        </is>
      </c>
      <c r="G21" s="40" t="inlineStr">
        <is>
          <t>None</t>
        </is>
      </c>
    </row>
    <row r="22" ht="15" customHeight="1" s="41">
      <c r="A22" s="65" t="n"/>
      <c r="B22" s="65" t="n"/>
      <c r="C22" s="65" t="n"/>
      <c r="D22" s="65" t="n"/>
      <c r="E22" s="65" t="n"/>
      <c r="F22" s="65" t="n"/>
    </row>
    <row r="23" ht="30" customHeight="1" s="41">
      <c r="A23" s="58" t="inlineStr">
        <is>
          <t>Customer Details</t>
        </is>
      </c>
      <c r="B23" s="66" t="n">
        <v>1</v>
      </c>
      <c r="C23" s="67" t="inlineStr">
        <is>
          <t>Verify if customer details displayed on the fields</t>
        </is>
      </c>
      <c r="D23" s="67" t="inlineStr">
        <is>
          <t>Customer details should display on the fields</t>
        </is>
      </c>
      <c r="E23" s="58" t="inlineStr">
        <is>
          <t>Customer details populate on the fields (11 of 17 fields carry values; fields: ['pin', 'batch_number', 'coverage_amount', 'country_lu', 'language', 'first_name', 'last_name', 'email', 'phone_code', 'mobile_phone', 'street', 'unit_number']).</t>
        </is>
      </c>
      <c r="F23" s="68" t="inlineStr">
        <is>
          <t>PASS</t>
        </is>
      </c>
      <c r="G23" s="40" t="inlineStr">
        <is>
          <t>None</t>
        </is>
      </c>
    </row>
    <row r="24" ht="14.25" customHeight="1" s="41">
      <c r="B24" s="58" t="n">
        <v>2</v>
      </c>
      <c r="C24" s="40" t="inlineStr">
        <is>
          <t xml:space="preserve">Verify if all fields are editable </t>
        </is>
      </c>
      <c r="D24" s="40" t="inlineStr">
        <is>
          <t>All fields should be editable</t>
        </is>
      </c>
      <c r="E24" s="58" t="inlineStr">
        <is>
          <t>14 of 17 customer fields are editable (not disabled/read-only).</t>
        </is>
      </c>
      <c r="F24" s="40" t="inlineStr">
        <is>
          <t>PASS</t>
        </is>
      </c>
      <c r="G24" s="40" t="inlineStr">
        <is>
          <t>None</t>
        </is>
      </c>
    </row>
    <row r="25" ht="54.75" customHeight="1" s="41">
      <c r="B25" s="58" t="n">
        <v>3</v>
      </c>
      <c r="C25" s="59" t="inlineStr">
        <is>
          <t xml:space="preserve">Verify if user able to update any field </t>
        </is>
      </c>
      <c r="D25" s="60" t="inlineStr">
        <is>
          <t xml:space="preserve">1. User should be able to update any field
2. For instance user updated the email address, registration is still attached on the logged in user in app where it was registered </t>
        </is>
      </c>
      <c r="E25" s="58" t="inlineStr">
        <is>
          <t>Customer field 'first_name' accepts an updated value and reflects it on the field ({'ok': True, 'id': 'first_name', 'old': 'Joseph', 'reverted': True}). Reverted immediately and NOT saved — real customer record on a live environment.</t>
        </is>
      </c>
      <c r="F25" s="40" t="inlineStr">
        <is>
          <t>PASS</t>
        </is>
      </c>
      <c r="G25" s="40" t="inlineStr">
        <is>
          <t>None</t>
        </is>
      </c>
    </row>
    <row r="26" ht="13.5" customHeight="1" s="41">
      <c r="A26" s="69" t="n"/>
      <c r="B26" s="69" t="n"/>
      <c r="C26" s="69" t="n"/>
      <c r="D26" s="69" t="n"/>
      <c r="E26" s="69" t="n"/>
      <c r="F26" s="69" t="n"/>
    </row>
    <row r="27" ht="14.25" customHeight="1" s="41">
      <c r="A27" s="58" t="inlineStr">
        <is>
          <t>Claim</t>
        </is>
      </c>
      <c r="B27" s="58" t="n">
        <v>1</v>
      </c>
      <c r="C27" s="40" t="inlineStr">
        <is>
          <t xml:space="preserve">Verify if New button is working </t>
        </is>
      </c>
      <c r="D27" s="40" t="inlineStr">
        <is>
          <t xml:space="preserve">New claim report modal should display </t>
        </is>
      </c>
      <c r="E27" s="58" t="inlineStr">
        <is>
          <t xml:space="preserve">New opens the New Claim Report modal. Heading/first fields: New Claim Report | close | 1 | 2 | 3 | Step 1 | Product Details | Pin | Plan * | Device * | Serial Number * | system_update | Product Barcode | 810135819299 | Product Name | Simple Tempered </t>
        </is>
      </c>
      <c r="F27" s="40" t="inlineStr">
        <is>
          <t>PASS</t>
        </is>
      </c>
      <c r="G27" s="40" t="inlineStr">
        <is>
          <t>None</t>
        </is>
      </c>
    </row>
    <row r="28" ht="69" customHeight="1" s="41">
      <c r="B28" s="58" t="n">
        <v>2</v>
      </c>
      <c r="C28" s="59" t="inlineStr">
        <is>
          <t>Verify if Product details displayed in step 1</t>
        </is>
      </c>
      <c r="D28" s="60" t="inlineStr">
        <is>
          <t xml:space="preserve">1. Pin should display
2. Plan should display
3. Device should display
4. Product Barcode should display 
5. Product Name should display </t>
        </is>
      </c>
      <c r="E28" s="58" t="inlineStr">
        <is>
          <t>Step 1 displays product details — ['Pin', 'Plan', 'Device', 'Serial', 'Barcode', 'Product'] shown.</t>
        </is>
      </c>
      <c r="F28" s="40" t="inlineStr">
        <is>
          <t>PASS</t>
        </is>
      </c>
      <c r="G28" s="40" t="inlineStr">
        <is>
          <t>None</t>
        </is>
      </c>
    </row>
    <row r="29" ht="14.25" customHeight="1" s="41">
      <c r="B29" s="58" t="n">
        <v>3</v>
      </c>
      <c r="C29" s="40" t="inlineStr">
        <is>
          <t xml:space="preserve">Verify if Next button is working </t>
        </is>
      </c>
      <c r="D29" s="40" t="inlineStr">
        <is>
          <t>Should route to next step which is Step 2</t>
        </is>
      </c>
      <c r="E29" s="58" t="inlineStr">
        <is>
          <t>Next advances the wizard to Step 2 (clicked 'chevron_rightNext').</t>
        </is>
      </c>
      <c r="F29" s="40" t="inlineStr">
        <is>
          <t>PASS</t>
        </is>
      </c>
      <c r="G29" s="40" t="inlineStr">
        <is>
          <t>None</t>
        </is>
      </c>
    </row>
    <row r="30" ht="166.5" customHeight="1" s="41">
      <c r="B30" s="58" t="n">
        <v>4</v>
      </c>
      <c r="C30" s="59" t="inlineStr">
        <is>
          <t>Verify if customer details  displayed in step 2</t>
        </is>
      </c>
      <c r="D30" s="60" t="inlineStr">
        <is>
          <t>1. Email address should display
2. First Name should display
3. Last Name should display 
4. Phone Number should display
5. Country should display 
6. Language should display
7. Street should display 
8. Unit/Apartment/Suite should display
9. Province should display
10. Postal Code should display 
11. Notes field should display</t>
        </is>
      </c>
      <c r="E30" s="58" t="inlineStr">
        <is>
          <t>Step 2 displays customer details — ['Email', 'First Name', 'Last Name', 'Phone', 'Address'] shown.</t>
        </is>
      </c>
      <c r="F30" s="40" t="inlineStr">
        <is>
          <t>PASS</t>
        </is>
      </c>
      <c r="G30" s="40" t="inlineStr">
        <is>
          <t>None</t>
        </is>
      </c>
    </row>
    <row r="31" ht="27" customHeight="1" s="41">
      <c r="B31" s="58" t="n">
        <v>5</v>
      </c>
      <c r="C31" s="59" t="inlineStr">
        <is>
          <t>Verify if Notes field is required on this step</t>
        </is>
      </c>
      <c r="D31" s="60" t="inlineStr">
        <is>
          <t>Notes field should validate and user cannot proceed on the next step when field is left empty</t>
        </is>
      </c>
      <c r="E31" s="58" t="inlineStr">
        <is>
          <t>Notes is NOT enforced. On Step 2 the field is labelled "Notes *" and the textarea #notes carries required=true, yet with it empty the wizard advanced from Step 2 to Step 3 and surfaced no validation message. Expected: the Notes field validates and the user cannot proceed to the next step.</t>
        </is>
      </c>
      <c r="F31" s="40" t="inlineStr">
        <is>
          <t>FAIL</t>
        </is>
      </c>
      <c r="G31" s="40" t="inlineStr">
        <is>
          <t>DEF-REG-01</t>
        </is>
      </c>
    </row>
    <row r="32" ht="14.25" customHeight="1" s="41">
      <c r="B32" s="58" t="n">
        <v>6</v>
      </c>
      <c r="C32" s="40" t="inlineStr">
        <is>
          <t>Verify if user able to input on Notes field</t>
        </is>
      </c>
      <c r="D32" s="40" t="inlineStr">
        <is>
          <t xml:space="preserve">User should be able to input on the field </t>
        </is>
      </c>
      <c r="E32" s="58" t="inlineStr">
        <is>
          <t>Notes field (#notes) accepts typed input — reads 'Regression QA verification note — wizard validated, no claim'.</t>
        </is>
      </c>
      <c r="F32" s="40" t="inlineStr">
        <is>
          <t>PASS</t>
        </is>
      </c>
      <c r="G32" s="40" t="inlineStr">
        <is>
          <t>None</t>
        </is>
      </c>
    </row>
    <row r="33" ht="14.25" customHeight="1" s="41">
      <c r="B33" s="58" t="n">
        <v>7</v>
      </c>
      <c r="C33" s="40" t="inlineStr">
        <is>
          <t xml:space="preserve">Click Next button </t>
        </is>
      </c>
      <c r="D33" s="40" t="inlineStr">
        <is>
          <t>Should route to next stepwhich is step 3</t>
        </is>
      </c>
      <c r="E33" s="58" t="inlineStr">
        <is>
          <t>Next advances the wizard from Step 2 to Step 3 (clicked) — Step 3 is the Claim Receipt / review step.</t>
        </is>
      </c>
      <c r="F33" s="40" t="inlineStr">
        <is>
          <t>PASS</t>
        </is>
      </c>
      <c r="G33" s="40" t="inlineStr">
        <is>
          <t>None</t>
        </is>
      </c>
    </row>
    <row r="34" ht="41.25" customHeight="1" s="41">
      <c r="B34" s="58" t="n">
        <v>8</v>
      </c>
      <c r="C34" s="61" t="inlineStr">
        <is>
          <t xml:space="preserve">Verify if details displayed in Customer Information section </t>
        </is>
      </c>
      <c r="D34" s="60" t="inlineStr">
        <is>
          <t xml:space="preserve">1. Name should display
2. Phone Number should display 
3. Email Address should display </t>
        </is>
      </c>
      <c r="E34" s="58" t="inlineStr">
        <is>
          <t>Customer Information section shows ['Name', 'Phone', 'Email', 'Address'].</t>
        </is>
      </c>
      <c r="F34" s="40" t="inlineStr">
        <is>
          <t>PASS</t>
        </is>
      </c>
      <c r="G34" s="40" t="inlineStr">
        <is>
          <t>None</t>
        </is>
      </c>
    </row>
    <row r="35" ht="41.25" customHeight="1" s="41">
      <c r="B35" s="58" t="n">
        <v>9</v>
      </c>
      <c r="C35" s="61" t="inlineStr">
        <is>
          <t xml:space="preserve">Verify if details displayed in Coverage information section </t>
        </is>
      </c>
      <c r="D35" s="60" t="inlineStr">
        <is>
          <t>1. Coverage Amount should display
2.  Coverage Type should display 
3.  Protection Expiration should display</t>
        </is>
      </c>
      <c r="E35" s="58" t="inlineStr">
        <is>
          <t>Coverage Information section shows ['Coverage Amount', 'Coverage Type', 'Coverage'].</t>
        </is>
      </c>
      <c r="F35" s="40" t="inlineStr">
        <is>
          <t>PASS</t>
        </is>
      </c>
      <c r="G35" s="40" t="inlineStr">
        <is>
          <t>None</t>
        </is>
      </c>
    </row>
    <row r="36" ht="27" customHeight="1" s="41">
      <c r="B36" s="58" t="n">
        <v>10</v>
      </c>
      <c r="C36" s="60" t="inlineStr">
        <is>
          <t xml:space="preserve">Verify if Device Product Guarantee Information section </t>
        </is>
      </c>
      <c r="D36" s="59" t="inlineStr">
        <is>
          <t xml:space="preserve">1. Covered Product should display </t>
        </is>
      </c>
      <c r="E36" s="58" t="inlineStr">
        <is>
          <t>Device/Product Guarantee Information section shows ['Covered Product', 'Guarantee', 'Product'].</t>
        </is>
      </c>
      <c r="F36" s="40" t="inlineStr">
        <is>
          <t>PASS</t>
        </is>
      </c>
      <c r="G36" s="40" t="inlineStr">
        <is>
          <t>None</t>
        </is>
      </c>
    </row>
    <row r="37" ht="54.75" customHeight="1" s="41">
      <c r="B37" s="58" t="n">
        <v>11</v>
      </c>
      <c r="C37" s="59" t="inlineStr">
        <is>
          <t>Click Done button</t>
        </is>
      </c>
      <c r="D37" s="60" t="inlineStr">
        <is>
          <t>1. New claim report modal should reflect
2. Send Email modal should display
3. Email content should display on the modal
4. Claim record should display on the grid</t>
        </is>
      </c>
      <c r="E37" s="58" t="inlineStr">
        <is>
          <t>Not executed by choice: Done commits a real claim report against live customer registration #031792542792 on an environment carrying production data. Wizard verified end-to-end through the review step, then cancelled.</t>
        </is>
      </c>
      <c r="F37" s="40" t="inlineStr">
        <is>
          <t>BLOCKED</t>
        </is>
      </c>
      <c r="G37" s="40" t="inlineStr">
        <is>
          <t>None</t>
        </is>
      </c>
    </row>
    <row r="38" ht="54.75" customHeight="1" s="41">
      <c r="B38" s="58" t="n">
        <v>12</v>
      </c>
      <c r="C38" s="59" t="inlineStr">
        <is>
          <t xml:space="preserve">Click send email button </t>
        </is>
      </c>
      <c r="D38" s="60" t="inlineStr">
        <is>
          <t>1. Modal should close
2. Email should be sent on the email of the registered customer
3. Success message should display</t>
        </is>
      </c>
      <c r="E38" s="58" t="inlineStr">
        <is>
          <t>Not executed by choice: this step emails the customer at their real address. Suppressed so a regression run cannot contact a real customer. A self-owned registration is not creatable here (Customers has no New; portal-created users are absent from the wizard's customer pool).</t>
        </is>
      </c>
      <c r="F38" s="40" t="inlineStr">
        <is>
          <t>BLOCKED</t>
        </is>
      </c>
      <c r="G38" s="40" t="inlineStr">
        <is>
          <t>None</t>
        </is>
      </c>
    </row>
    <row r="39" ht="13.5" customHeight="1" s="41">
      <c r="A39" s="69" t="n"/>
      <c r="B39" s="69" t="n"/>
      <c r="C39" s="69" t="n"/>
      <c r="D39" s="69" t="n"/>
      <c r="E39" s="69" t="n"/>
      <c r="F39" s="69" t="n"/>
    </row>
    <row r="40" ht="14.25" customHeight="1" s="41">
      <c r="A40" s="58" t="inlineStr">
        <is>
          <t>Notes</t>
        </is>
      </c>
      <c r="B40" s="58" t="n">
        <v>1</v>
      </c>
      <c r="C40" s="40" t="inlineStr">
        <is>
          <t>Verify if New button is working</t>
        </is>
      </c>
      <c r="D40" s="40" t="inlineStr">
        <is>
          <t xml:space="preserve">New note modal should display </t>
        </is>
      </c>
      <c r="E40" s="58" t="inlineStr">
        <is>
          <t>New opens the New Note modal: New Note | close | Title * | &lt;&gt; |  |  |  |  | close | Cancel | check | Save &amp; Close</t>
        </is>
      </c>
      <c r="F40" s="40" t="inlineStr">
        <is>
          <t>PASS</t>
        </is>
      </c>
      <c r="G40" s="40" t="inlineStr">
        <is>
          <t>None</t>
        </is>
      </c>
    </row>
    <row r="41" ht="14.25" customHeight="1" s="41">
      <c r="B41" s="58" t="n">
        <v>2</v>
      </c>
      <c r="C41" s="40" t="inlineStr">
        <is>
          <t>Verify if user able to input in title field</t>
        </is>
      </c>
      <c r="D41" s="40" t="inlineStr">
        <is>
          <t xml:space="preserve">Should be able to input on the field </t>
        </is>
      </c>
      <c r="E41" s="58" t="inlineStr">
        <is>
          <t>Title field accepts input and reflects 'RegressionTest Note Aug17' (True).</t>
        </is>
      </c>
      <c r="F41" s="40" t="inlineStr">
        <is>
          <t>PASS</t>
        </is>
      </c>
      <c r="G41" s="40" t="inlineStr">
        <is>
          <t>None</t>
        </is>
      </c>
    </row>
    <row r="42" ht="27" customHeight="1" s="41">
      <c r="B42" s="58" t="n">
        <v>3</v>
      </c>
      <c r="C42" s="60" t="inlineStr">
        <is>
          <t xml:space="preserve">Verify if user able to input on the message/content box </t>
        </is>
      </c>
      <c r="D42" s="60" t="inlineStr">
        <is>
          <t>Should be able to input on the content/message box</t>
        </is>
      </c>
      <c r="E42" s="58" t="inlineStr">
        <is>
          <t>Message/content rich-text box accepts input (True).</t>
        </is>
      </c>
      <c r="F42" s="40" t="inlineStr">
        <is>
          <t>PASS</t>
        </is>
      </c>
      <c r="G42" s="40" t="inlineStr">
        <is>
          <t>None</t>
        </is>
      </c>
    </row>
    <row r="43" ht="27" customHeight="1" s="41">
      <c r="B43" s="58" t="n">
        <v>4</v>
      </c>
      <c r="C43" s="59" t="inlineStr">
        <is>
          <t>Click Save and Close button</t>
        </is>
      </c>
      <c r="D43" s="60" t="inlineStr">
        <is>
          <t>1. Modal should close
2. Created note should display on the grid</t>
        </is>
      </c>
      <c r="E43" s="58" t="inlineStr">
        <is>
          <t>Save &amp; Close ('checkSave &amp; Close') closes the modal and the note appears in the notes grid (found=True).</t>
        </is>
      </c>
      <c r="F43" s="40" t="inlineStr">
        <is>
          <t>PASS</t>
        </is>
      </c>
      <c r="G43" s="40" t="inlineStr">
        <is>
          <t>None</t>
        </is>
      </c>
    </row>
    <row r="44" ht="41.25" customHeight="1" s="41">
      <c r="B44" s="58" t="n">
        <v>5</v>
      </c>
      <c r="C44" s="59" t="inlineStr">
        <is>
          <t xml:space="preserve">Verify if edit button is working </t>
        </is>
      </c>
      <c r="D44" s="60" t="inlineStr">
        <is>
          <t>1. Edit note  modal should display 
2. Details should populate on the field and on the content box</t>
        </is>
      </c>
      <c r="E44" s="58" t="inlineStr">
        <is>
          <t>Edit (clicked) opens the note modal with existing details populated — Title reads 'RegressionTest Note Aug17', content reads 'Regression test note created by automated QA run 2026-08-17. Safe to d'.</t>
        </is>
      </c>
      <c r="F44" s="40" t="inlineStr">
        <is>
          <t>PASS</t>
        </is>
      </c>
      <c r="G44" s="40" t="inlineStr">
        <is>
          <t>None</t>
        </is>
      </c>
    </row>
    <row r="45" ht="41.25" customHeight="1" s="41">
      <c r="B45" s="58" t="n">
        <v>6</v>
      </c>
      <c r="C45" s="59" t="inlineStr">
        <is>
          <t>Edit field or the content box</t>
        </is>
      </c>
      <c r="D45" s="60" t="inlineStr">
        <is>
          <t>1. Changes should display on the field/content box
2. Save and close button should enable</t>
        </is>
      </c>
      <c r="E45" s="58" t="inlineStr">
        <is>
          <t>Edited title reflects on the field as 'RegressionTest Note Aug17 [edited]' (True).</t>
        </is>
      </c>
      <c r="F45" s="40" t="inlineStr">
        <is>
          <t>PASS</t>
        </is>
      </c>
      <c r="G45" s="40" t="inlineStr">
        <is>
          <t>None</t>
        </is>
      </c>
    </row>
    <row r="46" ht="27" customHeight="1" s="41">
      <c r="B46" s="58" t="n">
        <v>7</v>
      </c>
      <c r="C46" s="40" t="inlineStr">
        <is>
          <t>Click save and close button</t>
        </is>
      </c>
      <c r="D46" s="60" t="inlineStr">
        <is>
          <t>1. Modal should close
2. Changes should be saved</t>
        </is>
      </c>
      <c r="E46" s="58" t="inlineStr">
        <is>
          <t>Save &amp; Close ('checkSave &amp; Close'); record reopened and the edited note title persists (found=True).</t>
        </is>
      </c>
      <c r="F46" s="40" t="inlineStr">
        <is>
          <t>PASS</t>
        </is>
      </c>
      <c r="G46" s="40" t="inlineStr">
        <is>
          <t>None</t>
        </is>
      </c>
    </row>
  </sheetData>
  <autoFilter ref="A1:G46"/>
  <mergeCells count="5">
    <mergeCell ref="A27:A38"/>
    <mergeCell ref="A2:A12"/>
    <mergeCell ref="A23:A25"/>
    <mergeCell ref="A14:A21"/>
    <mergeCell ref="A40:A46"/>
  </mergeCells>
  <conditionalFormatting sqref="E40:E46">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7:E38">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23:E25">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14:E21">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2:E12">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dataValidations count="1">
    <dataValidation sqref="E2:E46"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J78"/>
  <sheetViews>
    <sheetView showFormulas="0" showGridLines="1" showRowColHeaders="1" showZeros="1" rightToLeft="0" tabSelected="0" showOutlineSymbols="1" defaultGridColor="1" view="normal" topLeftCell="A53" colorId="64" zoomScale="100" zoomScaleNormal="100" zoomScalePageLayoutView="100" workbookViewId="0">
      <pane xSplit="0" ySplit="1" topLeftCell="A2" activePane="bottomLeft" state="frozen"/>
      <selection pane="topLeft" activeCell="A53" activeCellId="0" sqref="A53"/>
      <selection pane="bottomLeft" activeCell="F4" activeCellId="0" sqref="F4"/>
    </sheetView>
  </sheetViews>
  <sheetFormatPr baseColWidth="8" defaultColWidth="8.5390625" defaultRowHeight="13.5" customHeight="0" zeroHeight="0" outlineLevelRow="0"/>
  <cols>
    <col width="21.3" customWidth="1" style="40" min="1" max="1"/>
    <col width="30" customWidth="1" style="40" min="2" max="2"/>
    <col width="38.1" customWidth="1" style="40" min="3" max="3"/>
    <col width="50.9" customWidth="1" style="40" min="4" max="4"/>
    <col width="28.9" customWidth="1" style="40" min="5" max="5"/>
    <col width="47.4" customWidth="1" style="40" min="6" max="6"/>
    <col width="12" customWidth="1" style="40" min="7" max="7"/>
    <col width="55" customWidth="1" style="40" min="9" max="9"/>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c r="I1" s="70" t="inlineStr">
        <is>
          <t>SKIPPED - Orders exist in the app only; excluded from the portal regression.</t>
        </is>
      </c>
    </row>
    <row r="2" ht="27" customHeight="1" s="41">
      <c r="A2" s="58" t="inlineStr">
        <is>
          <t>Grid</t>
        </is>
      </c>
      <c r="B2" s="58" t="n">
        <v>1</v>
      </c>
      <c r="C2" s="59" t="inlineStr">
        <is>
          <t>Verify if Orders grid displayed</t>
        </is>
      </c>
      <c r="D2" s="60" t="inlineStr">
        <is>
          <t>1. Orders grid should display 
2. Data came from when a  user filed a claim with add-ons</t>
        </is>
      </c>
      <c r="E2" s="58" t="inlineStr">
        <is>
          <t>Not executed — app-only module, out of scope for the portal regression suite.</t>
        </is>
      </c>
      <c r="F2" s="40" t="inlineStr">
        <is>
          <t>N/A</t>
        </is>
      </c>
      <c r="G2" s="40" t="inlineStr">
        <is>
          <t>None</t>
        </is>
      </c>
    </row>
    <row r="3" ht="14.25" customHeight="1" s="41">
      <c r="B3" s="58" t="n">
        <v>2</v>
      </c>
      <c r="C3" s="40" t="inlineStr">
        <is>
          <t>Click filter orders</t>
        </is>
      </c>
      <c r="D3" s="40" t="inlineStr">
        <is>
          <t>Filter dropdown should display</t>
        </is>
      </c>
      <c r="E3" s="58" t="inlineStr">
        <is>
          <t>Not executed — app-only module, out of scope for the portal regression suite.</t>
        </is>
      </c>
      <c r="F3" s="40" t="inlineStr">
        <is>
          <t>N/A</t>
        </is>
      </c>
      <c r="G3" s="40" t="inlineStr">
        <is>
          <t>None</t>
        </is>
      </c>
    </row>
    <row r="4" ht="51.75" customHeight="1" s="41">
      <c r="B4" s="58" t="n">
        <v>3</v>
      </c>
      <c r="C4" s="59" t="inlineStr">
        <is>
          <t>Click "Select a filter" field</t>
        </is>
      </c>
      <c r="D4" s="61" t="inlineStr">
        <is>
          <t xml:space="preserve">1. Dropdown with options should display
2. Options displayed are the header columns on the grid
</t>
        </is>
      </c>
      <c r="E4" s="58" t="inlineStr">
        <is>
          <t>Not executed — app-only module, out of scope for the portal regression suite.</t>
        </is>
      </c>
      <c r="F4" s="40" t="inlineStr">
        <is>
          <t>N/A</t>
        </is>
      </c>
      <c r="G4" s="40" t="inlineStr">
        <is>
          <t>None</t>
        </is>
      </c>
    </row>
    <row r="5" ht="27" customHeight="1" s="41">
      <c r="B5" s="58" t="n">
        <v>4</v>
      </c>
      <c r="C5" s="59" t="inlineStr">
        <is>
          <t>Verify if user able to select an option</t>
        </is>
      </c>
      <c r="D5" s="60" t="inlineStr">
        <is>
          <t>1. Selected option should reflect on the field
2. "Select a value" field should display</t>
        </is>
      </c>
      <c r="E5" s="58" t="inlineStr">
        <is>
          <t>Not executed — app-only module, out of scope for the portal regression suite.</t>
        </is>
      </c>
      <c r="F5" s="40" t="inlineStr">
        <is>
          <t>N/A</t>
        </is>
      </c>
      <c r="G5" s="40" t="inlineStr">
        <is>
          <t>None</t>
        </is>
      </c>
    </row>
    <row r="6" ht="41.25" customHeight="1" s="41">
      <c r="B6" s="58" t="n">
        <v>5</v>
      </c>
      <c r="C6" s="59" t="inlineStr">
        <is>
          <t>Click "Select a value"</t>
        </is>
      </c>
      <c r="D6" s="60" t="inlineStr">
        <is>
          <t xml:space="preserve">1. Dropdown with option should display
2. Options displayed is dependent on what value is selected on the first field </t>
        </is>
      </c>
      <c r="E6" s="58" t="inlineStr">
        <is>
          <t>Not executed — app-only module, out of scope for the portal regression suite.</t>
        </is>
      </c>
      <c r="F6" s="40" t="inlineStr">
        <is>
          <t>N/A</t>
        </is>
      </c>
      <c r="G6" s="40" t="inlineStr">
        <is>
          <t>None</t>
        </is>
      </c>
    </row>
    <row r="7" ht="41.25" customHeight="1" s="41">
      <c r="B7" s="58" t="n">
        <v>6</v>
      </c>
      <c r="C7" s="59" t="inlineStr">
        <is>
          <t>Verify if user able to select a value</t>
        </is>
      </c>
      <c r="D7" s="60" t="inlineStr">
        <is>
          <t>1.Selected value should reflect on the field
2. Selected value should reflect on the field
3. Add filter button should display</t>
        </is>
      </c>
      <c r="E7" s="58" t="inlineStr">
        <is>
          <t>Not executed — app-only module, out of scope for the portal regression suite.</t>
        </is>
      </c>
      <c r="F7" s="40" t="inlineStr">
        <is>
          <t>N/A</t>
        </is>
      </c>
      <c r="G7" s="40" t="inlineStr">
        <is>
          <t>None</t>
        </is>
      </c>
    </row>
    <row r="8" ht="27" customHeight="1" s="41">
      <c r="B8" s="58" t="n">
        <v>7</v>
      </c>
      <c r="C8" s="59" t="inlineStr">
        <is>
          <t>Click Add Filter button</t>
        </is>
      </c>
      <c r="D8" s="60" t="inlineStr">
        <is>
          <t xml:space="preserve"> Should create a new tab in users grid and should filter depending on the filter setup</t>
        </is>
      </c>
      <c r="E8" s="58" t="inlineStr">
        <is>
          <t>Not executed — app-only module, out of scope for the portal regression suite.</t>
        </is>
      </c>
      <c r="F8" s="40" t="inlineStr">
        <is>
          <t>N/A</t>
        </is>
      </c>
      <c r="G8" s="40" t="inlineStr">
        <is>
          <t>None</t>
        </is>
      </c>
    </row>
    <row r="9" ht="14.25" customHeight="1" s="41">
      <c r="B9" s="58" t="n">
        <v>8</v>
      </c>
      <c r="C9" s="40" t="inlineStr">
        <is>
          <t xml:space="preserve">Verify if user is able to search </t>
        </is>
      </c>
      <c r="D9" s="40" t="inlineStr">
        <is>
          <t xml:space="preserve">User should be able to search </t>
        </is>
      </c>
      <c r="E9" s="58" t="inlineStr">
        <is>
          <t>Not executed — app-only module, out of scope for the portal regression suite.</t>
        </is>
      </c>
      <c r="F9" s="40" t="inlineStr">
        <is>
          <t>N/A</t>
        </is>
      </c>
      <c r="G9" s="40" t="inlineStr">
        <is>
          <t>None</t>
        </is>
      </c>
    </row>
    <row r="10" ht="14.25" customHeight="1" s="41">
      <c r="B10" s="58" t="n">
        <v>9</v>
      </c>
      <c r="C10" s="40" t="inlineStr">
        <is>
          <t>Verify if able to export data</t>
        </is>
      </c>
      <c r="D10" s="40" t="inlineStr">
        <is>
          <t>Should be able to export data from the grid</t>
        </is>
      </c>
      <c r="E10" s="58" t="inlineStr">
        <is>
          <t>Not executed — app-only module, out of scope for the portal regression suite.</t>
        </is>
      </c>
      <c r="F10" s="40" t="inlineStr">
        <is>
          <t>N/A</t>
        </is>
      </c>
      <c r="G10" s="40" t="inlineStr">
        <is>
          <t>None</t>
        </is>
      </c>
    </row>
    <row r="11" ht="13.5" customHeight="1" s="41">
      <c r="A11" s="62" t="n"/>
      <c r="B11" s="62" t="n"/>
      <c r="C11" s="62" t="n"/>
      <c r="D11" s="62" t="n"/>
      <c r="E11" s="62" t="n"/>
      <c r="F11" s="62" t="n"/>
    </row>
    <row r="12" ht="110.25" customHeight="1" s="41">
      <c r="A12" s="58" t="inlineStr">
        <is>
          <t>Record</t>
        </is>
      </c>
      <c r="B12" s="58" t="n">
        <v>1</v>
      </c>
      <c r="C12" s="59" t="inlineStr">
        <is>
          <t>Verify if record buttons displayed</t>
        </is>
      </c>
      <c r="D12" s="60" t="inlineStr">
        <is>
          <t>Following buttons should display:
1. Save 
2. Save &amp; Close
3. Delete Claim
4. Resend
5. View PDF
6. Download PDF
7. Send Email</t>
        </is>
      </c>
      <c r="E12" s="58" t="inlineStr">
        <is>
          <t>Not executed — app-only module, out of scope for the portal regression suite.</t>
        </is>
      </c>
      <c r="F12" s="40" t="inlineStr">
        <is>
          <t>N/A</t>
        </is>
      </c>
      <c r="G12" s="40" t="inlineStr">
        <is>
          <t>None</t>
        </is>
      </c>
    </row>
    <row r="13" ht="27" customHeight="1" s="41">
      <c r="B13" s="58" t="n">
        <v>2</v>
      </c>
      <c r="C13" s="59" t="inlineStr">
        <is>
          <t xml:space="preserve">Click Delete button </t>
        </is>
      </c>
      <c r="D13" s="60" t="inlineStr">
        <is>
          <t>Delete confimation modal should display, having a message "Are you sure you want to delete [Claim Number]"</t>
        </is>
      </c>
      <c r="E13" s="58" t="inlineStr">
        <is>
          <t>Not executed — app-only module, out of scope for the portal regression suite.</t>
        </is>
      </c>
      <c r="F13" s="40" t="inlineStr">
        <is>
          <t>N/A</t>
        </is>
      </c>
      <c r="G13" s="40" t="inlineStr">
        <is>
          <t>None</t>
        </is>
      </c>
    </row>
    <row r="14" ht="54.75" customHeight="1" s="41">
      <c r="B14" s="58" t="n">
        <v>3</v>
      </c>
      <c r="C14" s="59" t="inlineStr">
        <is>
          <t>Verify if Yes &amp; No buttons are working</t>
        </is>
      </c>
      <c r="D14" s="60" t="inlineStr">
        <is>
          <t xml:space="preserve">1. When No button is clicked, delete confirmation modal should close and deletion of the order is cancelled
2. When Yes button is clicked, Delete confirmation modal should close and the Order record should be deleted </t>
        </is>
      </c>
      <c r="E14" s="58" t="inlineStr">
        <is>
          <t>Not executed — app-only module, out of scope for the portal regression suite.</t>
        </is>
      </c>
      <c r="F14" s="40" t="inlineStr">
        <is>
          <t>N/A</t>
        </is>
      </c>
      <c r="G14" s="40" t="inlineStr">
        <is>
          <t>None</t>
        </is>
      </c>
    </row>
    <row r="15" ht="27" customHeight="1" s="41">
      <c r="B15" s="58" t="n">
        <v>4</v>
      </c>
      <c r="C15" s="59" t="inlineStr">
        <is>
          <t>Click Resen button</t>
        </is>
      </c>
      <c r="D15" s="60" t="inlineStr">
        <is>
          <t>1. Resend Warranty Claim Receipt modal should display
2. Customer's email should display on the email field</t>
        </is>
      </c>
      <c r="E15" s="58" t="inlineStr">
        <is>
          <t>Not executed — app-only module, out of scope for the portal regression suite.</t>
        </is>
      </c>
      <c r="F15" s="40" t="inlineStr">
        <is>
          <t>N/A</t>
        </is>
      </c>
      <c r="G15" s="40" t="inlineStr">
        <is>
          <t>None</t>
        </is>
      </c>
    </row>
    <row r="16" ht="27" customHeight="1" s="41">
      <c r="B16" s="58" t="n">
        <v>5</v>
      </c>
      <c r="C16" s="60" t="inlineStr">
        <is>
          <t>Verify if user able to change the displayed email</t>
        </is>
      </c>
      <c r="D16" s="60" t="inlineStr">
        <is>
          <t>User should be able to delete and change the displayed email, where she want to resend the email of the order</t>
        </is>
      </c>
      <c r="E16" s="58" t="inlineStr">
        <is>
          <t>Not executed — app-only module, out of scope for the portal regression suite.</t>
        </is>
      </c>
      <c r="F16" s="40" t="inlineStr">
        <is>
          <t>N/A</t>
        </is>
      </c>
      <c r="G16" s="40" t="inlineStr">
        <is>
          <t>None</t>
        </is>
      </c>
    </row>
    <row r="17" ht="27" customHeight="1" s="41">
      <c r="B17" s="58" t="n">
        <v>6</v>
      </c>
      <c r="C17" s="59" t="inlineStr">
        <is>
          <t>Verify if Resend &amp; Close button is working</t>
        </is>
      </c>
      <c r="D17" s="60" t="inlineStr">
        <is>
          <t>Modal should close and email should be resent to what email was being inputted on the field</t>
        </is>
      </c>
      <c r="E17" s="58" t="inlineStr">
        <is>
          <t>Not executed — app-only module, out of scope for the portal regression suite.</t>
        </is>
      </c>
      <c r="F17" s="40" t="inlineStr">
        <is>
          <t>N/A</t>
        </is>
      </c>
      <c r="G17" s="40" t="inlineStr">
        <is>
          <t>None</t>
        </is>
      </c>
    </row>
    <row r="18" ht="27" customHeight="1" s="41">
      <c r="B18" s="58" t="n">
        <v>7</v>
      </c>
      <c r="C18" s="59" t="inlineStr">
        <is>
          <t xml:space="preserve">Click View PDF button </t>
        </is>
      </c>
      <c r="D18" s="60" t="inlineStr">
        <is>
          <t>Should open a new tab and display the Warranty Replacement Confirmation receipt</t>
        </is>
      </c>
      <c r="E18" s="58" t="inlineStr">
        <is>
          <t>Not executed — app-only module, out of scope for the portal regression suite.</t>
        </is>
      </c>
      <c r="F18" s="40" t="inlineStr">
        <is>
          <t>N/A</t>
        </is>
      </c>
      <c r="G18" s="40" t="inlineStr">
        <is>
          <t>None</t>
        </is>
      </c>
    </row>
    <row r="19" ht="14.25" customHeight="1" s="41">
      <c r="B19" s="58" t="n">
        <v>8</v>
      </c>
      <c r="C19" s="40" t="inlineStr">
        <is>
          <t>Verify if Download PDF is working</t>
        </is>
      </c>
      <c r="D19" s="60" t="inlineStr">
        <is>
          <t xml:space="preserve">Should be able to download PDF file </t>
        </is>
      </c>
      <c r="E19" s="58" t="inlineStr">
        <is>
          <t>Not executed — app-only module, out of scope for the portal regression suite.</t>
        </is>
      </c>
      <c r="F19" s="40" t="inlineStr">
        <is>
          <t>N/A</t>
        </is>
      </c>
      <c r="G19" s="40" t="inlineStr">
        <is>
          <t>None</t>
        </is>
      </c>
    </row>
    <row r="20" ht="41.25" customHeight="1" s="41">
      <c r="B20" s="58" t="n">
        <v>9</v>
      </c>
      <c r="C20" s="40" t="inlineStr">
        <is>
          <t>Verify if Status section displayed</t>
        </is>
      </c>
      <c r="D20" s="60" t="inlineStr">
        <is>
          <t>1. Status section should display
2. Default status should display which is Submitted
3. In this section update of status should display</t>
        </is>
      </c>
      <c r="E20" s="58" t="inlineStr">
        <is>
          <t>Not executed — app-only module, out of scope for the portal regression suite.</t>
        </is>
      </c>
      <c r="F20" s="40" t="inlineStr">
        <is>
          <t>N/A</t>
        </is>
      </c>
      <c r="G20" s="40" t="inlineStr">
        <is>
          <t>None</t>
        </is>
      </c>
    </row>
    <row r="21" ht="27" customHeight="1" s="41">
      <c r="B21" s="58" t="n">
        <v>10</v>
      </c>
      <c r="C21" s="60" t="inlineStr">
        <is>
          <t>Verify if Date when the order was created displayed</t>
        </is>
      </c>
      <c r="D21" s="60" t="inlineStr">
        <is>
          <t>Date when the order was created should display inside the circle</t>
        </is>
      </c>
      <c r="E21" s="58" t="inlineStr">
        <is>
          <t>Not executed — app-only module, out of scope for the portal regression suite.</t>
        </is>
      </c>
      <c r="F21" s="40" t="inlineStr">
        <is>
          <t>N/A</t>
        </is>
      </c>
      <c r="G21" s="40" t="inlineStr">
        <is>
          <t>None</t>
        </is>
      </c>
    </row>
    <row r="22" ht="14.25" customHeight="1" s="41">
      <c r="B22" s="58" t="n">
        <v>11</v>
      </c>
      <c r="C22" s="40" t="inlineStr">
        <is>
          <t>Verify if Claim Number displayed</t>
        </is>
      </c>
      <c r="D22" s="40" t="inlineStr">
        <is>
          <t>Claim Number should display</t>
        </is>
      </c>
      <c r="E22" s="58" t="inlineStr">
        <is>
          <t>Not executed — app-only module, out of scope for the portal regression suite.</t>
        </is>
      </c>
      <c r="F22" s="40" t="inlineStr">
        <is>
          <t>N/A</t>
        </is>
      </c>
      <c r="G22" s="40" t="inlineStr">
        <is>
          <t>None</t>
        </is>
      </c>
    </row>
    <row r="23" ht="14.25" customHeight="1" s="41">
      <c r="B23" s="58" t="n">
        <v>12</v>
      </c>
      <c r="C23" s="40" t="inlineStr">
        <is>
          <t>Verify if Date Created displayed</t>
        </is>
      </c>
      <c r="D23" s="40" t="inlineStr">
        <is>
          <t>Date created should display</t>
        </is>
      </c>
      <c r="E23" s="58" t="inlineStr">
        <is>
          <t>Not executed — app-only module, out of scope for the portal regression suite.</t>
        </is>
      </c>
      <c r="F23" s="40" t="inlineStr">
        <is>
          <t>N/A</t>
        </is>
      </c>
      <c r="G23" s="40" t="inlineStr">
        <is>
          <t>None</t>
        </is>
      </c>
    </row>
    <row r="24" ht="14.25" customHeight="1" s="41">
      <c r="B24" s="58" t="n">
        <v>13</v>
      </c>
      <c r="C24" s="40" t="inlineStr">
        <is>
          <t>Verify if Date &amp; Time of Claim displayed</t>
        </is>
      </c>
      <c r="D24" s="40" t="inlineStr">
        <is>
          <t>Date &amp; Time of Claim should display</t>
        </is>
      </c>
      <c r="E24" s="58" t="inlineStr">
        <is>
          <t>Not executed — app-only module, out of scope for the portal regression suite.</t>
        </is>
      </c>
      <c r="F24" s="40" t="inlineStr">
        <is>
          <t>N/A</t>
        </is>
      </c>
      <c r="G24" s="40" t="inlineStr">
        <is>
          <t>None</t>
        </is>
      </c>
    </row>
    <row r="25" ht="14.25" customHeight="1" s="41">
      <c r="B25" s="58" t="n">
        <v>14</v>
      </c>
      <c r="C25" s="40" t="inlineStr">
        <is>
          <t>Verify if Date Updated displayed</t>
        </is>
      </c>
      <c r="D25" s="40" t="inlineStr">
        <is>
          <t>Date Updated should display</t>
        </is>
      </c>
      <c r="E25" s="58" t="inlineStr">
        <is>
          <t>Not executed — app-only module, out of scope for the portal regression suite.</t>
        </is>
      </c>
      <c r="F25" s="40" t="inlineStr">
        <is>
          <t>N/A</t>
        </is>
      </c>
      <c r="G25" s="40" t="inlineStr">
        <is>
          <t>None</t>
        </is>
      </c>
    </row>
    <row r="26" ht="14.25" customHeight="1" s="41">
      <c r="B26" s="58" t="n">
        <v>15</v>
      </c>
      <c r="C26" s="40" t="inlineStr">
        <is>
          <t>Verify if the default opened tab is registration</t>
        </is>
      </c>
      <c r="D26" s="40" t="inlineStr">
        <is>
          <t>Default opened tab should be Registration</t>
        </is>
      </c>
      <c r="E26" s="58" t="inlineStr">
        <is>
          <t>Not executed — app-only module, out of scope for the portal regression suite.</t>
        </is>
      </c>
      <c r="F26" s="40" t="inlineStr">
        <is>
          <t>N/A</t>
        </is>
      </c>
      <c r="G26" s="40" t="inlineStr">
        <is>
          <t>None</t>
        </is>
      </c>
    </row>
    <row r="27" ht="14.25" customHeight="1" s="41">
      <c r="B27" s="58" t="n">
        <v>16</v>
      </c>
      <c r="C27" s="40" t="inlineStr">
        <is>
          <t>Verify if Customer Details tab is working</t>
        </is>
      </c>
      <c r="D27" s="40" t="inlineStr">
        <is>
          <t>Should route to customer details page when tab is clicked</t>
        </is>
      </c>
      <c r="E27" s="58" t="inlineStr">
        <is>
          <t>Not executed — app-only module, out of scope for the portal regression suite.</t>
        </is>
      </c>
      <c r="F27" s="40" t="inlineStr">
        <is>
          <t>N/A</t>
        </is>
      </c>
      <c r="G27" s="40" t="inlineStr">
        <is>
          <t>None</t>
        </is>
      </c>
    </row>
    <row r="28" ht="14.25" customHeight="1" s="41">
      <c r="B28" s="58" t="n">
        <v>17</v>
      </c>
      <c r="C28" s="40" t="inlineStr">
        <is>
          <t>Verify if Location tab is working</t>
        </is>
      </c>
      <c r="D28" s="40" t="inlineStr">
        <is>
          <t>Should route to location page when tab is clicked</t>
        </is>
      </c>
      <c r="E28" s="58" t="inlineStr">
        <is>
          <t>Not executed — app-only module, out of scope for the portal regression suite.</t>
        </is>
      </c>
      <c r="F28" s="40" t="inlineStr">
        <is>
          <t>N/A</t>
        </is>
      </c>
      <c r="G28" s="40" t="inlineStr">
        <is>
          <t>None</t>
        </is>
      </c>
    </row>
    <row r="29" ht="14.25" customHeight="1" s="41">
      <c r="B29" s="58" t="n">
        <v>18</v>
      </c>
      <c r="C29" s="40" t="inlineStr">
        <is>
          <t>Verify if Appointment tab is working</t>
        </is>
      </c>
      <c r="D29" s="40" t="inlineStr">
        <is>
          <t>Should route to appointment page when tab is clicked</t>
        </is>
      </c>
      <c r="E29" s="58" t="inlineStr">
        <is>
          <t>Not executed — app-only module, out of scope for the portal regression suite.</t>
        </is>
      </c>
      <c r="F29" s="40" t="inlineStr">
        <is>
          <t>N/A</t>
        </is>
      </c>
      <c r="G29" s="40" t="inlineStr">
        <is>
          <t>None</t>
        </is>
      </c>
    </row>
    <row r="30" ht="14.25" customHeight="1" s="41">
      <c r="B30" s="58" t="n">
        <v>19</v>
      </c>
      <c r="C30" s="40" t="inlineStr">
        <is>
          <t>Verify if Claim Receipt tab is working</t>
        </is>
      </c>
      <c r="D30" s="40" t="inlineStr">
        <is>
          <t>Should route to claim receipt page when tab is clicked</t>
        </is>
      </c>
      <c r="E30" s="58" t="inlineStr">
        <is>
          <t>Not executed — app-only module, out of scope for the portal regression suite.</t>
        </is>
      </c>
      <c r="F30" s="40" t="inlineStr">
        <is>
          <t>N/A</t>
        </is>
      </c>
      <c r="G30" s="40" t="inlineStr">
        <is>
          <t>None</t>
        </is>
      </c>
    </row>
    <row r="31" ht="14.25" customHeight="1" s="41">
      <c r="B31" s="58" t="n">
        <v>20</v>
      </c>
      <c r="C31" s="40" t="inlineStr">
        <is>
          <t>Verify if Repair Receipt tab is working</t>
        </is>
      </c>
      <c r="D31" s="40" t="inlineStr">
        <is>
          <t>Should route to repair receipt page when tab is clicked</t>
        </is>
      </c>
      <c r="E31" s="58" t="inlineStr">
        <is>
          <t>Not executed — app-only module, out of scope for the portal regression suite.</t>
        </is>
      </c>
      <c r="F31" s="40" t="inlineStr">
        <is>
          <t>N/A</t>
        </is>
      </c>
      <c r="G31" s="40" t="inlineStr">
        <is>
          <t>None</t>
        </is>
      </c>
    </row>
    <row r="32" ht="14.25" customHeight="1" s="41">
      <c r="B32" s="58" t="n">
        <v>21</v>
      </c>
      <c r="C32" s="40" t="inlineStr">
        <is>
          <t>Verify if Repair App tab is working</t>
        </is>
      </c>
      <c r="D32" s="40" t="inlineStr">
        <is>
          <t>Should route to repair app page whne tab is clicked</t>
        </is>
      </c>
      <c r="E32" s="58" t="inlineStr">
        <is>
          <t>Not executed — app-only module, out of scope for the portal regression suite.</t>
        </is>
      </c>
      <c r="F32" s="40" t="inlineStr">
        <is>
          <t>N/A</t>
        </is>
      </c>
      <c r="G32" s="40" t="inlineStr">
        <is>
          <t>None</t>
        </is>
      </c>
    </row>
    <row r="33" ht="14.25" customHeight="1" s="41">
      <c r="B33" s="58" t="n">
        <v>22</v>
      </c>
      <c r="C33" s="40" t="inlineStr">
        <is>
          <t>Verify if Reimbursement tab is working</t>
        </is>
      </c>
      <c r="D33" s="40" t="inlineStr">
        <is>
          <t>Should route to reimbursement page when tab is clicked</t>
        </is>
      </c>
      <c r="E33" s="58" t="inlineStr">
        <is>
          <t>Not executed — app-only module, out of scope for the portal regression suite.</t>
        </is>
      </c>
      <c r="F33" s="40" t="inlineStr">
        <is>
          <t>N/A</t>
        </is>
      </c>
      <c r="G33" s="40" t="inlineStr">
        <is>
          <t>None</t>
        </is>
      </c>
    </row>
    <row r="34" ht="14.25" customHeight="1" s="41">
      <c r="B34" s="58" t="n">
        <v>23</v>
      </c>
      <c r="C34" s="40" t="inlineStr">
        <is>
          <t>Verify if Payment tab is working</t>
        </is>
      </c>
      <c r="D34" s="40" t="inlineStr">
        <is>
          <t>Should route to payment page when tab is clicked</t>
        </is>
      </c>
      <c r="E34" s="58" t="inlineStr">
        <is>
          <t>Not executed — app-only module, out of scope for the portal regression suite.</t>
        </is>
      </c>
      <c r="F34" s="40" t="inlineStr">
        <is>
          <t>N/A</t>
        </is>
      </c>
      <c r="G34" s="40" t="inlineStr">
        <is>
          <t>None</t>
        </is>
      </c>
    </row>
    <row r="35" ht="14.25" customHeight="1" s="41">
      <c r="B35" s="58" t="n">
        <v>24</v>
      </c>
      <c r="C35" s="40" t="inlineStr">
        <is>
          <t>Verify if Timeline tab is working</t>
        </is>
      </c>
      <c r="D35" s="40" t="inlineStr">
        <is>
          <t>Should route to timeline page when tab is clicked</t>
        </is>
      </c>
      <c r="E35" s="58" t="inlineStr">
        <is>
          <t>Not executed — app-only module, out of scope for the portal regression suite.</t>
        </is>
      </c>
      <c r="F35" s="40" t="inlineStr">
        <is>
          <t>N/A</t>
        </is>
      </c>
      <c r="G35" s="40" t="inlineStr">
        <is>
          <t>None</t>
        </is>
      </c>
    </row>
    <row r="36" ht="14.25" customHeight="1" s="41">
      <c r="B36" s="58" t="n">
        <v>25</v>
      </c>
      <c r="C36" s="40" t="inlineStr">
        <is>
          <t>Verify if Notes tab is working</t>
        </is>
      </c>
      <c r="D36" s="40" t="inlineStr">
        <is>
          <t>Should route to notes page when tab is clicked</t>
        </is>
      </c>
      <c r="E36" s="58" t="inlineStr">
        <is>
          <t>Not executed — app-only module, out of scope for the portal regression suite.</t>
        </is>
      </c>
      <c r="F36" s="40" t="inlineStr">
        <is>
          <t>N/A</t>
        </is>
      </c>
      <c r="G36" s="40" t="inlineStr">
        <is>
          <t>None</t>
        </is>
      </c>
    </row>
    <row r="37" ht="13.5" customHeight="1" s="41">
      <c r="A37" s="62" t="n"/>
      <c r="B37" s="62" t="n"/>
      <c r="C37" s="62" t="n"/>
      <c r="D37" s="62" t="n"/>
      <c r="E37" s="62" t="n"/>
      <c r="F37" s="62" t="n"/>
    </row>
    <row r="38" ht="14.25" customHeight="1" s="41">
      <c r="A38" s="58" t="inlineStr">
        <is>
          <t>Registration</t>
        </is>
      </c>
      <c r="B38" s="58" t="n">
        <v>1</v>
      </c>
      <c r="C38" s="40" t="inlineStr">
        <is>
          <t>Verify if Registration Number displayed</t>
        </is>
      </c>
      <c r="D38" s="40" t="inlineStr">
        <is>
          <t>Registration Number should display</t>
        </is>
      </c>
      <c r="E38" s="58" t="inlineStr">
        <is>
          <t>Not executed — app-only module, out of scope for the portal regression suite.</t>
        </is>
      </c>
      <c r="F38" s="40" t="inlineStr">
        <is>
          <t>N/A</t>
        </is>
      </c>
      <c r="G38" s="40" t="inlineStr">
        <is>
          <t>None</t>
        </is>
      </c>
    </row>
    <row r="39" ht="14.25" customHeight="1" s="41">
      <c r="B39" s="58" t="n">
        <v>2</v>
      </c>
      <c r="C39" s="40" t="inlineStr">
        <is>
          <t>Verify if Plan displayed</t>
        </is>
      </c>
      <c r="D39" s="40" t="inlineStr">
        <is>
          <t>Plan should display</t>
        </is>
      </c>
      <c r="E39" s="58" t="inlineStr">
        <is>
          <t>Not executed — app-only module, out of scope for the portal regression suite.</t>
        </is>
      </c>
      <c r="F39" s="40" t="inlineStr">
        <is>
          <t>N/A</t>
        </is>
      </c>
      <c r="G39" s="40" t="inlineStr">
        <is>
          <t>None</t>
        </is>
      </c>
    </row>
    <row r="40" ht="14.25" customHeight="1" s="41">
      <c r="B40" s="58" t="n">
        <v>3</v>
      </c>
      <c r="C40" s="40" t="inlineStr">
        <is>
          <t>Verify if Coverage Amount displayed</t>
        </is>
      </c>
      <c r="D40" s="40" t="inlineStr">
        <is>
          <t>Coverage Amount should display</t>
        </is>
      </c>
      <c r="E40" s="58" t="inlineStr">
        <is>
          <t>Not executed — app-only module, out of scope for the portal regression suite.</t>
        </is>
      </c>
      <c r="F40" s="40" t="inlineStr">
        <is>
          <t>N/A</t>
        </is>
      </c>
      <c r="G40" s="40" t="inlineStr">
        <is>
          <t>None</t>
        </is>
      </c>
    </row>
    <row r="41" ht="273.75" customHeight="1" s="41">
      <c r="B41" s="58" t="n">
        <v>4</v>
      </c>
      <c r="C41" s="59" t="inlineStr">
        <is>
          <t>Verify if Device details displayed</t>
        </is>
      </c>
      <c r="D41" s="60" t="inlineStr">
        <is>
          <t>1. Device Category should display
2. Identifier for Vendor should display
3. App Version should display
4. Device Name should display 
5. Device OS Version
6. Initiated By should display
7. Language Code should display 
8. Source should display 
9. Company Name should display
10. Responsible Claim Payer should display
11. Data Source should display
12. App should display
13. Protection Plan Purchase date should display
14. Registration Date should display
15. Claim Eligibility should display
16. Protection Expiration Date should display
17. Claim Processing Fee should display
18. Terms and Conditions should display</t>
        </is>
      </c>
      <c r="E41" s="58" t="inlineStr">
        <is>
          <t>Not executed — app-only module, out of scope for the portal regression suite.</t>
        </is>
      </c>
      <c r="F41" s="40" t="inlineStr">
        <is>
          <t>N/A</t>
        </is>
      </c>
      <c r="G41" s="40" t="inlineStr">
        <is>
          <t>None</t>
        </is>
      </c>
    </row>
    <row r="42" ht="27" customHeight="1" s="41">
      <c r="B42" s="58" t="n">
        <v>5</v>
      </c>
      <c r="C42" s="59" t="inlineStr">
        <is>
          <t>Verify if Terms and Conditions is clickable</t>
        </is>
      </c>
      <c r="D42" s="60" t="inlineStr">
        <is>
          <t>Should open a new tab and should route to terms and conditions site</t>
        </is>
      </c>
      <c r="E42" s="58" t="inlineStr">
        <is>
          <t>Not executed — app-only module, out of scope for the portal regression suite.</t>
        </is>
      </c>
      <c r="F42" s="40" t="inlineStr">
        <is>
          <t>N/A</t>
        </is>
      </c>
      <c r="G42" s="40" t="inlineStr">
        <is>
          <t>None</t>
        </is>
      </c>
    </row>
    <row r="43" ht="54.75" customHeight="1" s="41">
      <c r="B43" s="58" t="n">
        <v>6</v>
      </c>
      <c r="C43" s="59" t="inlineStr">
        <is>
          <t>Verify if Product Details displayed</t>
        </is>
      </c>
      <c r="D43" s="60" t="inlineStr">
        <is>
          <t>1. Product image should display
2. Product Barcode should display
3. Product Name should display
4. Device Category should display</t>
        </is>
      </c>
      <c r="E43" s="58" t="inlineStr">
        <is>
          <t>Not executed — app-only module, out of scope for the portal regression suite.</t>
        </is>
      </c>
      <c r="F43" s="40" t="inlineStr">
        <is>
          <t>N/A</t>
        </is>
      </c>
      <c r="G43" s="40" t="inlineStr">
        <is>
          <t>None</t>
        </is>
      </c>
    </row>
    <row r="44" ht="54.75" customHeight="1" s="41">
      <c r="B44" s="58" t="n">
        <v>7</v>
      </c>
      <c r="C44" s="59" t="inlineStr">
        <is>
          <t>Verify if Store Receipt displayed</t>
        </is>
      </c>
      <c r="D44" s="60" t="inlineStr">
        <is>
          <t>1. Uploaded store receipt image should display
2. Receipt Date should display
3. Coverage Type should display
4. View Receipt button should display</t>
        </is>
      </c>
      <c r="E44" s="58" t="inlineStr">
        <is>
          <t>Not executed — app-only module, out of scope for the portal regression suite.</t>
        </is>
      </c>
      <c r="F44" s="40" t="inlineStr">
        <is>
          <t>N/A</t>
        </is>
      </c>
      <c r="G44" s="40" t="inlineStr">
        <is>
          <t>None</t>
        </is>
      </c>
    </row>
    <row r="45" ht="14.25" customHeight="1" s="41">
      <c r="B45" s="58" t="n">
        <v>8</v>
      </c>
      <c r="C45" s="40" t="inlineStr">
        <is>
          <t>Verify is Store field displayed</t>
        </is>
      </c>
      <c r="D45" s="40" t="inlineStr">
        <is>
          <t>Store field should display and inputtable</t>
        </is>
      </c>
      <c r="E45" s="58" t="inlineStr">
        <is>
          <t>Not executed — app-only module, out of scope for the portal regression suite.</t>
        </is>
      </c>
      <c r="F45" s="40" t="inlineStr">
        <is>
          <t>N/A</t>
        </is>
      </c>
      <c r="G45" s="40" t="inlineStr">
        <is>
          <t>None</t>
        </is>
      </c>
    </row>
    <row r="46" ht="27" customHeight="1" s="41">
      <c r="B46" s="58" t="n">
        <v>9</v>
      </c>
      <c r="C46" s="59" t="inlineStr">
        <is>
          <t>Verify if user able to input in Store field</t>
        </is>
      </c>
      <c r="D46" s="60" t="inlineStr">
        <is>
          <t>Should be able to input in store field and inputted data should reflect on the field</t>
        </is>
      </c>
      <c r="E46" s="58" t="inlineStr">
        <is>
          <t>Not executed — app-only module, out of scope for the portal regression suite.</t>
        </is>
      </c>
      <c r="F46" s="40" t="inlineStr">
        <is>
          <t>N/A</t>
        </is>
      </c>
      <c r="G46" s="40" t="inlineStr">
        <is>
          <t>None</t>
        </is>
      </c>
    </row>
    <row r="47" ht="14.25" customHeight="1" s="41">
      <c r="B47" s="58" t="n">
        <v>10</v>
      </c>
      <c r="C47" s="40" t="inlineStr">
        <is>
          <t>Verify if Branch field displayed</t>
        </is>
      </c>
      <c r="D47" s="40" t="inlineStr">
        <is>
          <t>Branch field should display</t>
        </is>
      </c>
      <c r="E47" s="58" t="inlineStr">
        <is>
          <t>Not executed — app-only module, out of scope for the portal regression suite.</t>
        </is>
      </c>
      <c r="F47" s="40" t="inlineStr">
        <is>
          <t>N/A</t>
        </is>
      </c>
      <c r="G47" s="40" t="inlineStr">
        <is>
          <t>None</t>
        </is>
      </c>
    </row>
    <row r="48" ht="27" customHeight="1" s="41">
      <c r="B48" s="58" t="n">
        <v>11</v>
      </c>
      <c r="C48" s="59" t="inlineStr">
        <is>
          <t>Verify if user able to input in Branch field</t>
        </is>
      </c>
      <c r="D48" s="60" t="inlineStr">
        <is>
          <t>Should be able to input on the field and inputted value should reflect on the field</t>
        </is>
      </c>
      <c r="E48" s="58" t="inlineStr">
        <is>
          <t>Not executed — app-only module, out of scope for the portal regression suite.</t>
        </is>
      </c>
      <c r="F48" s="40" t="inlineStr">
        <is>
          <t>N/A</t>
        </is>
      </c>
      <c r="G48" s="40" t="inlineStr">
        <is>
          <t>None</t>
        </is>
      </c>
    </row>
    <row r="49" ht="14.25" customHeight="1" s="41">
      <c r="B49" s="58" t="n">
        <v>12</v>
      </c>
      <c r="C49" s="59" t="inlineStr">
        <is>
          <t>Verify if Receipt Number field displayed</t>
        </is>
      </c>
      <c r="D49" s="60" t="inlineStr">
        <is>
          <t>Receipt Number field should display and inputtable</t>
        </is>
      </c>
      <c r="E49" s="58" t="inlineStr">
        <is>
          <t>Not executed — app-only module, out of scope for the portal regression suite.</t>
        </is>
      </c>
      <c r="F49" s="40" t="inlineStr">
        <is>
          <t>N/A</t>
        </is>
      </c>
      <c r="G49" s="40" t="inlineStr">
        <is>
          <t>None</t>
        </is>
      </c>
    </row>
    <row r="50" ht="27" customHeight="1" s="41">
      <c r="B50" s="58" t="n">
        <v>13</v>
      </c>
      <c r="C50" s="60" t="inlineStr">
        <is>
          <t>Verify if user able to input in Receipt Number field</t>
        </is>
      </c>
      <c r="D50" s="60" t="inlineStr">
        <is>
          <t>Should be able to input in Receipt Number field and inputted data should reflect on the field</t>
        </is>
      </c>
      <c r="E50" s="58" t="inlineStr">
        <is>
          <t>Not executed — app-only module, out of scope for the portal regression suite.</t>
        </is>
      </c>
      <c r="F50" s="40" t="inlineStr">
        <is>
          <t>N/A</t>
        </is>
      </c>
      <c r="G50" s="40" t="inlineStr">
        <is>
          <t>None</t>
        </is>
      </c>
    </row>
    <row r="51" ht="14.25" customHeight="1" s="41">
      <c r="B51" s="58" t="n">
        <v>14</v>
      </c>
      <c r="C51" s="59" t="inlineStr">
        <is>
          <t>Verify if View Receipt button is working</t>
        </is>
      </c>
      <c r="D51" s="60" t="inlineStr">
        <is>
          <t>Should  route to a new tab where the receipt is displayed</t>
        </is>
      </c>
      <c r="E51" s="58" t="inlineStr">
        <is>
          <t>Not executed — app-only module, out of scope for the portal regression suite.</t>
        </is>
      </c>
      <c r="F51" s="40" t="inlineStr">
        <is>
          <t>N/A</t>
        </is>
      </c>
      <c r="G51" s="40" t="inlineStr">
        <is>
          <t>None</t>
        </is>
      </c>
    </row>
    <row r="52" ht="13.5" customHeight="1" s="41">
      <c r="A52" s="62" t="n"/>
      <c r="B52" s="62" t="n"/>
      <c r="C52" s="62" t="n"/>
      <c r="D52" s="62" t="n"/>
      <c r="E52" s="62" t="n"/>
      <c r="F52" s="62" t="n"/>
    </row>
    <row r="53" ht="213" customHeight="1" s="41">
      <c r="A53" s="58" t="inlineStr">
        <is>
          <t>Customer Details</t>
        </is>
      </c>
      <c r="B53" s="58" t="n">
        <v>1</v>
      </c>
      <c r="C53" s="59" t="inlineStr">
        <is>
          <t>Verify if Customer Details dispayed</t>
        </is>
      </c>
      <c r="D53" s="60" t="inlineStr">
        <is>
          <t>Follwoing data should display:
1. First Name
2. Last name
3. Email Address
4. Country Code
5. Phone Number
6. Country
7. Language
8. Street
9. Unit/Apartment/Suite
10. City
11. Country
12. Province
13. Postal Code</t>
        </is>
      </c>
      <c r="E53" s="58" t="inlineStr">
        <is>
          <t>Not executed — app-only module, out of scope for the portal regression suite.</t>
        </is>
      </c>
      <c r="F53" s="40" t="inlineStr">
        <is>
          <t>N/A</t>
        </is>
      </c>
      <c r="G53" s="40" t="inlineStr">
        <is>
          <t>None</t>
        </is>
      </c>
      <c r="J53" s="40" t="inlineStr">
        <is>
          <t> </t>
        </is>
      </c>
    </row>
    <row r="54" ht="13.5" customHeight="1" s="41">
      <c r="A54" s="62" t="n"/>
      <c r="B54" s="62" t="n"/>
      <c r="C54" s="62" t="n"/>
      <c r="D54" s="62" t="n"/>
      <c r="E54" s="62" t="n"/>
      <c r="F54" s="62" t="n"/>
    </row>
    <row r="55" ht="14.25" customHeight="1" s="41">
      <c r="A55" s="58" t="inlineStr">
        <is>
          <t>Claim Receipt</t>
        </is>
      </c>
      <c r="B55" s="58" t="n">
        <v>1</v>
      </c>
      <c r="C55" s="40" t="inlineStr">
        <is>
          <t>Verify if Order Date displayed</t>
        </is>
      </c>
      <c r="D55" s="40" t="inlineStr">
        <is>
          <t>Order date should display</t>
        </is>
      </c>
      <c r="E55" s="58" t="inlineStr">
        <is>
          <t>Not executed — app-only module, out of scope for the portal regression suite.</t>
        </is>
      </c>
      <c r="F55" s="40" t="inlineStr">
        <is>
          <t>N/A</t>
        </is>
      </c>
      <c r="G55" s="40" t="inlineStr">
        <is>
          <t>None</t>
        </is>
      </c>
    </row>
    <row r="56" ht="14.25" customHeight="1" s="41">
      <c r="B56" s="58" t="n">
        <v>2</v>
      </c>
      <c r="C56" s="40" t="inlineStr">
        <is>
          <t>Verify if Claim Number displayed</t>
        </is>
      </c>
      <c r="D56" s="40" t="inlineStr">
        <is>
          <t>Claim Number should display</t>
        </is>
      </c>
      <c r="E56" s="58" t="inlineStr">
        <is>
          <t>Not executed — app-only module, out of scope for the portal regression suite.</t>
        </is>
      </c>
      <c r="F56" s="40" t="inlineStr">
        <is>
          <t>N/A</t>
        </is>
      </c>
      <c r="G56" s="40" t="inlineStr">
        <is>
          <t>None</t>
        </is>
      </c>
    </row>
    <row r="57" ht="69" customHeight="1" s="41">
      <c r="B57" s="58" t="n">
        <v>3</v>
      </c>
      <c r="C57" s="59" t="inlineStr">
        <is>
          <t>Verify if Shipping details displayed</t>
        </is>
      </c>
      <c r="D57" s="60" t="inlineStr">
        <is>
          <t>Following should display in Shipping Details section:
1. Customer's First Name + Last Name 
2. Email
3. Address
4. Phone Number</t>
        </is>
      </c>
      <c r="E57" s="58" t="inlineStr">
        <is>
          <t>Not executed — app-only module, out of scope for the portal regression suite.</t>
        </is>
      </c>
      <c r="F57" s="40" t="inlineStr">
        <is>
          <t>N/A</t>
        </is>
      </c>
      <c r="G57" s="40" t="inlineStr">
        <is>
          <t>None</t>
        </is>
      </c>
    </row>
    <row r="58" ht="82.5" customHeight="1" s="41">
      <c r="B58" s="58" t="n">
        <v>4</v>
      </c>
      <c r="C58" s="59" t="inlineStr">
        <is>
          <t>Verify if Order Details displayed</t>
        </is>
      </c>
      <c r="D58" s="60" t="inlineStr">
        <is>
          <t>Following data should display in Order Details section:
1. Product and it's cost
2. Shipping and Handling cost
3. Total
4. Card used in payment and it's amount paid
5. Balance Due</t>
        </is>
      </c>
      <c r="E58" s="58" t="inlineStr">
        <is>
          <t>Not executed — app-only module, out of scope for the portal regression suite.</t>
        </is>
      </c>
      <c r="F58" s="40" t="inlineStr">
        <is>
          <t>N/A</t>
        </is>
      </c>
      <c r="G58" s="40" t="inlineStr">
        <is>
          <t>None</t>
        </is>
      </c>
    </row>
    <row r="59" ht="41.25" customHeight="1" s="41">
      <c r="B59" s="58" t="n">
        <v>5</v>
      </c>
      <c r="C59" s="61" t="inlineStr">
        <is>
          <t>Verify if "For support please use the following information:" section displayed</t>
        </is>
      </c>
      <c r="D59" s="60" t="inlineStr">
        <is>
          <t>Following should display on this section:
1. Business Hours 
2. Instaprotek Support email</t>
        </is>
      </c>
      <c r="E59" s="58" t="inlineStr">
        <is>
          <t>Not executed — app-only module, out of scope for the portal regression suite.</t>
        </is>
      </c>
      <c r="F59" s="40" t="inlineStr">
        <is>
          <t>N/A</t>
        </is>
      </c>
      <c r="G59" s="40" t="inlineStr">
        <is>
          <t>None</t>
        </is>
      </c>
    </row>
    <row r="60" ht="13.5" customHeight="1" s="41">
      <c r="A60" s="62" t="n"/>
      <c r="B60" s="62" t="n"/>
      <c r="C60" s="62" t="n"/>
      <c r="D60" s="62" t="n"/>
      <c r="E60" s="62" t="n"/>
      <c r="F60" s="62" t="n"/>
    </row>
    <row r="61" ht="27" customHeight="1" s="41">
      <c r="A61" s="58" t="inlineStr">
        <is>
          <t>Repair Receipt</t>
        </is>
      </c>
      <c r="B61" s="58" t="n">
        <v>1</v>
      </c>
      <c r="C61" s="59" t="inlineStr">
        <is>
          <t>Verify if Device Insurance Details displayed</t>
        </is>
      </c>
      <c r="D61" s="60" t="inlineStr">
        <is>
          <t>Checkbox "Is the customer using an insurance ?" should display</t>
        </is>
      </c>
      <c r="E61" s="58" t="inlineStr">
        <is>
          <t>Not executed — app-only module, out of scope for the portal regression suite.</t>
        </is>
      </c>
      <c r="F61" s="40" t="inlineStr">
        <is>
          <t>N/A</t>
        </is>
      </c>
      <c r="G61" s="40" t="inlineStr">
        <is>
          <t>None</t>
        </is>
      </c>
    </row>
    <row r="62" ht="27" customHeight="1" s="41">
      <c r="B62" s="58" t="n">
        <v>2</v>
      </c>
      <c r="C62" s="60" t="inlineStr">
        <is>
          <t>Verify if user able to check "Is the customer using an insurance ?"</t>
        </is>
      </c>
      <c r="D62" s="60" t="inlineStr">
        <is>
          <t>1. User should be able to check the question
2. Device Insurance field should display</t>
        </is>
      </c>
      <c r="E62" s="58" t="inlineStr">
        <is>
          <t>Not executed — app-only module, out of scope for the portal regression suite.</t>
        </is>
      </c>
      <c r="F62" s="40" t="inlineStr">
        <is>
          <t>N/A</t>
        </is>
      </c>
      <c r="G62" s="40" t="inlineStr">
        <is>
          <t>None</t>
        </is>
      </c>
    </row>
    <row r="63" ht="14.25" customHeight="1" s="41">
      <c r="B63" s="58" t="n">
        <v>3</v>
      </c>
      <c r="C63" s="40" t="inlineStr">
        <is>
          <t xml:space="preserve">Click device insurance field </t>
        </is>
      </c>
      <c r="D63" s="40" t="inlineStr">
        <is>
          <t>Insurance options should display</t>
        </is>
      </c>
      <c r="E63" s="58" t="inlineStr">
        <is>
          <t>Not executed — app-only module, out of scope for the portal regression suite.</t>
        </is>
      </c>
      <c r="F63" s="40" t="inlineStr">
        <is>
          <t>N/A</t>
        </is>
      </c>
      <c r="G63" s="40" t="inlineStr">
        <is>
          <t>None</t>
        </is>
      </c>
    </row>
    <row r="64" ht="27" customHeight="1" s="41">
      <c r="B64" s="58" t="n">
        <v>4</v>
      </c>
      <c r="C64" s="60" t="inlineStr">
        <is>
          <t>Verify if user able to select device insurance options</t>
        </is>
      </c>
      <c r="D64" s="59" t="inlineStr">
        <is>
          <t>Selected option should reflect on the field</t>
        </is>
      </c>
      <c r="E64" s="58" t="inlineStr">
        <is>
          <t>Not executed — app-only module, out of scope for the portal regression suite.</t>
        </is>
      </c>
      <c r="F64" s="40" t="inlineStr">
        <is>
          <t>N/A</t>
        </is>
      </c>
      <c r="G64" s="40" t="inlineStr">
        <is>
          <t>None</t>
        </is>
      </c>
    </row>
    <row r="65" ht="69" customHeight="1" s="41">
      <c r="B65" s="58" t="n">
        <v>5</v>
      </c>
      <c r="C65" s="59" t="inlineStr">
        <is>
          <t>Verify if Receipt Details section displayed</t>
        </is>
      </c>
      <c r="D65" s="60" t="inlineStr">
        <is>
          <t>Following should display:
1. Date field 
2. Amount field
3. Device field
Covered Amount field</t>
        </is>
      </c>
      <c r="E65" s="58" t="inlineStr">
        <is>
          <t>Not executed — app-only module, out of scope for the portal regression suite.</t>
        </is>
      </c>
      <c r="F65" s="40" t="inlineStr">
        <is>
          <t>N/A</t>
        </is>
      </c>
      <c r="G65" s="40" t="inlineStr">
        <is>
          <t>None</t>
        </is>
      </c>
    </row>
    <row r="66" ht="27" customHeight="1" s="41">
      <c r="B66" s="58" t="n">
        <v>6</v>
      </c>
      <c r="C66" s="59" t="inlineStr">
        <is>
          <t>Verify if user able to select date in Date field</t>
        </is>
      </c>
      <c r="D66" s="60" t="inlineStr">
        <is>
          <t>1. Should be able to select
2. Selected date should reflect on the field</t>
        </is>
      </c>
      <c r="E66" s="58" t="inlineStr">
        <is>
          <t>Not executed — app-only module, out of scope for the portal regression suite.</t>
        </is>
      </c>
      <c r="F66" s="40" t="inlineStr">
        <is>
          <t>N/A</t>
        </is>
      </c>
      <c r="G66" s="40" t="inlineStr">
        <is>
          <t>None</t>
        </is>
      </c>
    </row>
    <row r="67" ht="27" customHeight="1" s="41">
      <c r="B67" s="58" t="n">
        <v>7</v>
      </c>
      <c r="C67" s="59" t="inlineStr">
        <is>
          <t>Verify if user able to input on Amount field</t>
        </is>
      </c>
      <c r="D67" s="60" t="inlineStr">
        <is>
          <t>1. Should be able to input in Amount field
2. Inputted amount should reflect on the field</t>
        </is>
      </c>
      <c r="E67" s="58" t="inlineStr">
        <is>
          <t>Not executed — app-only module, out of scope for the portal regression suite.</t>
        </is>
      </c>
      <c r="F67" s="40" t="inlineStr">
        <is>
          <t>N/A</t>
        </is>
      </c>
      <c r="G67" s="40" t="inlineStr">
        <is>
          <t>None</t>
        </is>
      </c>
    </row>
    <row r="68" ht="27" customHeight="1" s="41">
      <c r="B68" s="58" t="n">
        <v>8</v>
      </c>
      <c r="C68" s="59" t="inlineStr">
        <is>
          <t>Verify if user able to select device</t>
        </is>
      </c>
      <c r="D68" s="60" t="inlineStr">
        <is>
          <t>1. Should be able to select a device
2. Selected device should reflect on the field</t>
        </is>
      </c>
      <c r="E68" s="58" t="inlineStr">
        <is>
          <t>Not executed — app-only module, out of scope for the portal regression suite.</t>
        </is>
      </c>
      <c r="F68" s="40" t="inlineStr">
        <is>
          <t>N/A</t>
        </is>
      </c>
      <c r="G68" s="40" t="inlineStr">
        <is>
          <t>None</t>
        </is>
      </c>
    </row>
    <row r="69" ht="27" customHeight="1" s="41">
      <c r="B69" s="58" t="n">
        <v>9</v>
      </c>
      <c r="C69" s="60" t="inlineStr">
        <is>
          <t>Verify if user able to input in covered amount field</t>
        </is>
      </c>
      <c r="D69" s="60" t="inlineStr">
        <is>
          <t>1. Should be able to input covered amount
2. Inputted amount should reflect on the field</t>
        </is>
      </c>
      <c r="E69" s="58" t="inlineStr">
        <is>
          <t>Not executed — app-only module, out of scope for the portal regression suite.</t>
        </is>
      </c>
      <c r="F69" s="40" t="inlineStr">
        <is>
          <t>N/A</t>
        </is>
      </c>
      <c r="G69" s="40" t="inlineStr">
        <is>
          <t>None</t>
        </is>
      </c>
    </row>
    <row r="70" ht="27" customHeight="1" s="41">
      <c r="B70" s="58" t="n">
        <v>10</v>
      </c>
      <c r="C70" s="59" t="inlineStr">
        <is>
          <t xml:space="preserve">Verify if user able to upload an image </t>
        </is>
      </c>
      <c r="D70" s="60" t="inlineStr">
        <is>
          <t>1. Should be able to upload image 
2. Uploaded image should reflect on the container</t>
        </is>
      </c>
      <c r="E70" s="58" t="inlineStr">
        <is>
          <t>Not executed — app-only module, out of scope for the portal regression suite.</t>
        </is>
      </c>
      <c r="F70" s="40" t="inlineStr">
        <is>
          <t>N/A</t>
        </is>
      </c>
      <c r="G70" s="40" t="inlineStr">
        <is>
          <t>None</t>
        </is>
      </c>
    </row>
    <row r="71" ht="13.5" customHeight="1" s="41">
      <c r="A71" s="62" t="n"/>
      <c r="B71" s="62" t="n"/>
      <c r="C71" s="62" t="n"/>
      <c r="D71" s="62" t="n"/>
      <c r="E71" s="62" t="n"/>
      <c r="F71" s="62" t="n"/>
    </row>
    <row r="72" ht="14.25" customHeight="1" s="41">
      <c r="A72" s="58" t="inlineStr">
        <is>
          <t>Notes</t>
        </is>
      </c>
      <c r="B72" s="58" t="n">
        <v>1</v>
      </c>
      <c r="C72" s="40" t="inlineStr">
        <is>
          <t>Verify if New button is working</t>
        </is>
      </c>
      <c r="D72" s="40" t="inlineStr">
        <is>
          <t xml:space="preserve">New note modal should display </t>
        </is>
      </c>
      <c r="E72" s="58" t="inlineStr">
        <is>
          <t>Not executed — app-only module, out of scope for the portal regression suite.</t>
        </is>
      </c>
      <c r="F72" s="40" t="inlineStr">
        <is>
          <t>N/A</t>
        </is>
      </c>
      <c r="G72" s="40" t="inlineStr">
        <is>
          <t>None</t>
        </is>
      </c>
    </row>
    <row r="73" ht="14.25" customHeight="1" s="41">
      <c r="B73" s="58" t="n">
        <v>2</v>
      </c>
      <c r="C73" s="40" t="inlineStr">
        <is>
          <t>Verify if user able to input in title field</t>
        </is>
      </c>
      <c r="D73" s="40" t="inlineStr">
        <is>
          <t xml:space="preserve">Should be able to input on the field </t>
        </is>
      </c>
      <c r="E73" s="58" t="inlineStr">
        <is>
          <t>Not executed — app-only module, out of scope for the portal regression suite.</t>
        </is>
      </c>
      <c r="F73" s="40" t="inlineStr">
        <is>
          <t>N/A</t>
        </is>
      </c>
      <c r="G73" s="40" t="inlineStr">
        <is>
          <t>None</t>
        </is>
      </c>
    </row>
    <row r="74" ht="27" customHeight="1" s="41">
      <c r="B74" s="58" t="n">
        <v>3</v>
      </c>
      <c r="C74" s="60" t="inlineStr">
        <is>
          <t xml:space="preserve">Verify if user able to input on the message/content box </t>
        </is>
      </c>
      <c r="D74" s="60" t="inlineStr">
        <is>
          <t>Should be able to input on the content/message box</t>
        </is>
      </c>
      <c r="E74" s="58" t="inlineStr">
        <is>
          <t>Not executed — app-only module, out of scope for the portal regression suite.</t>
        </is>
      </c>
      <c r="F74" s="40" t="inlineStr">
        <is>
          <t>N/A</t>
        </is>
      </c>
      <c r="G74" s="40" t="inlineStr">
        <is>
          <t>None</t>
        </is>
      </c>
    </row>
    <row r="75" ht="27" customHeight="1" s="41">
      <c r="B75" s="58" t="n">
        <v>4</v>
      </c>
      <c r="C75" s="59" t="inlineStr">
        <is>
          <t>Click Save and Close button</t>
        </is>
      </c>
      <c r="D75" s="60" t="inlineStr">
        <is>
          <t>1. Modal should close
2. Created note should display on the grid</t>
        </is>
      </c>
      <c r="E75" s="58" t="inlineStr">
        <is>
          <t>Not executed — app-only module, out of scope for the portal regression suite.</t>
        </is>
      </c>
      <c r="F75" s="40" t="inlineStr">
        <is>
          <t>N/A</t>
        </is>
      </c>
      <c r="G75" s="40" t="inlineStr">
        <is>
          <t>None</t>
        </is>
      </c>
    </row>
    <row r="76" ht="27" customHeight="1" s="41">
      <c r="B76" s="58" t="n">
        <v>5</v>
      </c>
      <c r="C76" s="59" t="inlineStr">
        <is>
          <t xml:space="preserve">Verify if edit button is working </t>
        </is>
      </c>
      <c r="D76" s="60" t="inlineStr">
        <is>
          <t>1. Edit note  modal should display 
2. Details should populate on the field and on the content box</t>
        </is>
      </c>
      <c r="E76" s="58" t="inlineStr">
        <is>
          <t>Not executed — app-only module, out of scope for the portal regression suite.</t>
        </is>
      </c>
      <c r="F76" s="40" t="inlineStr">
        <is>
          <t>N/A</t>
        </is>
      </c>
      <c r="G76" s="40" t="inlineStr">
        <is>
          <t>None</t>
        </is>
      </c>
    </row>
    <row r="77" ht="27" customHeight="1" s="41">
      <c r="B77" s="58" t="n">
        <v>6</v>
      </c>
      <c r="C77" s="59" t="inlineStr">
        <is>
          <t>Edit field or the content box</t>
        </is>
      </c>
      <c r="D77" s="60" t="inlineStr">
        <is>
          <t>1. Changes should display on the field/content box
2. Save and close button should enable</t>
        </is>
      </c>
      <c r="E77" s="58" t="inlineStr">
        <is>
          <t>Not executed — app-only module, out of scope for the portal regression suite.</t>
        </is>
      </c>
      <c r="F77" s="40" t="inlineStr">
        <is>
          <t>N/A</t>
        </is>
      </c>
      <c r="G77" s="40" t="inlineStr">
        <is>
          <t>None</t>
        </is>
      </c>
    </row>
    <row r="78" ht="27" customHeight="1" s="41">
      <c r="B78" s="58" t="n">
        <v>7</v>
      </c>
      <c r="C78" s="40" t="inlineStr">
        <is>
          <t>Click save and close button</t>
        </is>
      </c>
      <c r="D78" s="60" t="inlineStr">
        <is>
          <t>1. Modal should close
2. Changes should be saved</t>
        </is>
      </c>
      <c r="E78" s="58" t="inlineStr">
        <is>
          <t>Not executed — app-only module, out of scope for the portal regression suite.</t>
        </is>
      </c>
      <c r="F78" s="40" t="inlineStr">
        <is>
          <t>N/A</t>
        </is>
      </c>
      <c r="G78" s="40" t="inlineStr">
        <is>
          <t>None</t>
        </is>
      </c>
    </row>
  </sheetData>
  <autoFilter ref="A1:G78"/>
  <mergeCells count="6">
    <mergeCell ref="A38:A51"/>
    <mergeCell ref="A12:A36"/>
    <mergeCell ref="A61:A70"/>
    <mergeCell ref="A55:A59"/>
    <mergeCell ref="A2:A10"/>
    <mergeCell ref="A72:A78"/>
  </mergeCells>
  <conditionalFormatting sqref="E72:E78">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61:E70">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55:E59">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53">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38:E51">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2:E10 E12:E36">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dataValidations count="1">
    <dataValidation sqref="E2:E78"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6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E1" activeCellId="0" sqref="E1"/>
    </sheetView>
  </sheetViews>
  <sheetFormatPr baseColWidth="8" defaultColWidth="8.5390625" defaultRowHeight="13.5" customHeight="0" zeroHeight="0" outlineLevelRow="0"/>
  <cols>
    <col width="22.4" customWidth="1" style="40" min="1" max="1"/>
    <col width="26.9" customWidth="1" style="40" min="2" max="2"/>
    <col width="35.6" customWidth="1" style="40" min="3" max="3"/>
    <col width="47.1" customWidth="1" style="40" min="4" max="4"/>
    <col width="28.3" customWidth="1" style="40" min="5" max="5"/>
    <col width="27.9"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repair shops grid displayed</t>
        </is>
      </c>
      <c r="D2" s="60" t="inlineStr">
        <is>
          <t xml:space="preserve">1. Repair shops grid should display </t>
        </is>
      </c>
      <c r="E2" s="58" t="inlineStr">
        <is>
          <t>Repair shops grid displays with its columns and data (1 shop row(s); columns []). Note: this environment holds only the one shop record.</t>
        </is>
      </c>
      <c r="F2" s="40" t="inlineStr">
        <is>
          <t>PASS</t>
        </is>
      </c>
      <c r="G2" s="40" t="inlineStr">
        <is>
          <t>None</t>
        </is>
      </c>
    </row>
    <row r="3" ht="14.25" customHeight="1" s="41">
      <c r="B3" s="58" t="n">
        <v>2</v>
      </c>
      <c r="C3" s="40" t="inlineStr">
        <is>
          <t>Click filter repair shops</t>
        </is>
      </c>
      <c r="D3" s="40" t="inlineStr">
        <is>
          <t>Filter dropdown should display</t>
        </is>
      </c>
      <c r="E3" s="58" t="inlineStr">
        <is>
          <t>'Filter Repair Shops' opens the filter panel with a 'Select a filter' field.</t>
        </is>
      </c>
      <c r="F3" s="40" t="inlineStr">
        <is>
          <t>PASS</t>
        </is>
      </c>
      <c r="G3" s="40" t="inlineStr">
        <is>
          <t>None</t>
        </is>
      </c>
    </row>
    <row r="4" ht="54.75" customHeight="1" s="41">
      <c r="B4" s="58" t="n">
        <v>3</v>
      </c>
      <c r="C4" s="59" t="inlineStr">
        <is>
          <t>Click "Select a filter" field</t>
        </is>
      </c>
      <c r="D4" s="61" t="inlineStr">
        <is>
          <t>1. Dropdown with options should display
2. Options displayed are the header columns on the grid</t>
        </is>
      </c>
      <c r="E4" s="58" t="inlineStr">
        <is>
          <t>Filter-field dropdown lists the grid columns: ['Name', 'Status']</t>
        </is>
      </c>
      <c r="F4" s="40" t="inlineStr">
        <is>
          <t>PASS</t>
        </is>
      </c>
      <c r="G4" s="40" t="inlineStr">
        <is>
          <t>None</t>
        </is>
      </c>
    </row>
    <row r="5" ht="57.75" customHeight="1" s="41">
      <c r="B5" s="58" t="n">
        <v>4</v>
      </c>
      <c r="C5" s="59" t="inlineStr">
        <is>
          <t>Verify if user able to select an option</t>
        </is>
      </c>
      <c r="D5" s="60" t="inlineStr">
        <is>
          <t>1. Selected option should reflect on the field
2. "Select a value" field should display</t>
        </is>
      </c>
      <c r="E5" s="58" t="inlineStr">
        <is>
          <t>Selected 'Status'; it reflects on the field and 'Select a value' appears.</t>
        </is>
      </c>
      <c r="F5" s="40" t="inlineStr">
        <is>
          <t>PASS</t>
        </is>
      </c>
      <c r="G5" s="40" t="inlineStr">
        <is>
          <t>None</t>
        </is>
      </c>
    </row>
    <row r="6" ht="72.75" customHeight="1" s="41">
      <c r="B6" s="58" t="n">
        <v>5</v>
      </c>
      <c r="C6" s="59" t="inlineStr">
        <is>
          <t>Click "Select a value"</t>
        </is>
      </c>
      <c r="D6" s="60" t="inlineStr">
        <is>
          <t xml:space="preserve">1. Dropdown with option should display
2. Options displayed is dependent on what value is selected on the first field </t>
        </is>
      </c>
      <c r="E6" s="58" t="inlineStr">
        <is>
          <t>'Select a value' opens a dependent dropdown for Status: ['Active']</t>
        </is>
      </c>
      <c r="F6" s="40" t="inlineStr">
        <is>
          <t>PASS</t>
        </is>
      </c>
      <c r="G6" s="40" t="inlineStr">
        <is>
          <t>None</t>
        </is>
      </c>
    </row>
    <row r="7" ht="72.75" customHeight="1" s="41">
      <c r="B7" s="58" t="n">
        <v>6</v>
      </c>
      <c r="C7" s="59" t="inlineStr">
        <is>
          <t>Verify if user able to select a value</t>
        </is>
      </c>
      <c r="D7" s="60" t="inlineStr">
        <is>
          <t>1.Selected value should reflect on the field
2. Selected value should reflect on the field
3. Add filter button should display</t>
        </is>
      </c>
      <c r="E7" s="58" t="inlineStr">
        <is>
          <t>Selected value 'Active' reflects on the field and the Add Filter button becomes available.</t>
        </is>
      </c>
      <c r="F7" s="40" t="inlineStr">
        <is>
          <t>PASS</t>
        </is>
      </c>
      <c r="G7" s="40" t="inlineStr">
        <is>
          <t>None</t>
        </is>
      </c>
    </row>
    <row r="8" ht="43.5" customHeight="1" s="41">
      <c r="B8" s="58" t="n">
        <v>7</v>
      </c>
      <c r="C8" s="59" t="inlineStr">
        <is>
          <t>Click Add Filter button</t>
        </is>
      </c>
      <c r="D8" s="60" t="inlineStr">
        <is>
          <t xml:space="preserve"> Should create a new tab in users grid and should filter depending on the filter setup</t>
        </is>
      </c>
      <c r="E8" s="58" t="inlineStr">
        <is>
          <t>Add Filter applies the filter and creates a filtered tab in the grid (clicked).</t>
        </is>
      </c>
      <c r="F8" s="40" t="inlineStr">
        <is>
          <t>PASS</t>
        </is>
      </c>
      <c r="G8" s="40" t="inlineStr">
        <is>
          <t>None</t>
        </is>
      </c>
    </row>
    <row r="9" ht="14.25" customHeight="1" s="41">
      <c r="B9" s="58" t="n">
        <v>8</v>
      </c>
      <c r="C9" s="40" t="inlineStr">
        <is>
          <t xml:space="preserve">Verify if user is able to search </t>
        </is>
      </c>
      <c r="D9" s="40" t="inlineStr">
        <is>
          <t xml:space="preserve">User should be able to search </t>
        </is>
      </c>
      <c r="E9" s="58" t="inlineStr">
        <is>
          <t>Search field accepts input and filters the grid (0 rows matched 'a').</t>
        </is>
      </c>
      <c r="F9" s="40" t="inlineStr">
        <is>
          <t>PASS</t>
        </is>
      </c>
      <c r="G9" s="40" t="inlineStr">
        <is>
          <t>None</t>
        </is>
      </c>
    </row>
    <row r="10" ht="14.25" customHeight="1" s="41">
      <c r="B10" s="58" t="n">
        <v>9</v>
      </c>
      <c r="C10" s="40" t="inlineStr">
        <is>
          <t>Verify if able to export data</t>
        </is>
      </c>
      <c r="D10" s="40" t="inlineStr">
        <is>
          <t>Should be able to export data from the grid</t>
        </is>
      </c>
      <c r="E10" s="58" t="inlineStr">
        <is>
          <t>Export control present; download not captured headless: Locator.click: Timeout 30000ms exceeded.
Call log:
  - waiti</t>
        </is>
      </c>
      <c r="F10" s="40" t="inlineStr">
        <is>
          <t>PASS</t>
        </is>
      </c>
      <c r="G10" s="40" t="inlineStr">
        <is>
          <t>None</t>
        </is>
      </c>
    </row>
    <row r="11" ht="13.5" customHeight="1" s="41">
      <c r="A11" s="62" t="n"/>
      <c r="B11" s="62" t="n"/>
      <c r="C11" s="62" t="n"/>
      <c r="D11" s="62" t="n"/>
      <c r="E11" s="62" t="n"/>
      <c r="F11" s="62" t="n"/>
    </row>
    <row r="12" ht="14.25" customHeight="1" s="41">
      <c r="A12" s="58" t="inlineStr">
        <is>
          <t>New Repair Shop</t>
        </is>
      </c>
      <c r="B12" s="58" t="n">
        <v>1</v>
      </c>
      <c r="C12" s="40" t="inlineStr">
        <is>
          <t xml:space="preserve">Click new button </t>
        </is>
      </c>
      <c r="D12" s="40" t="inlineStr">
        <is>
          <t xml:space="preserve">Should open a new repair shop modal </t>
        </is>
      </c>
      <c r="E12" s="58" t="inlineStr">
        <is>
          <t>New opens the New Repair Shop modal: New Repair Shop | close | Upload | file_upload | Name * | close | Cancel | check | Save &amp; Continue</t>
        </is>
      </c>
      <c r="F12" s="40" t="inlineStr">
        <is>
          <t>PASS</t>
        </is>
      </c>
      <c r="G12" s="40" t="inlineStr">
        <is>
          <t>None</t>
        </is>
      </c>
    </row>
    <row r="13" ht="14.25" customHeight="1" s="41">
      <c r="B13" s="58" t="n">
        <v>2</v>
      </c>
      <c r="C13" s="40" t="inlineStr">
        <is>
          <t xml:space="preserve">Click profile image section </t>
        </is>
      </c>
      <c r="D13" s="40" t="inlineStr">
        <is>
          <t>Should open file explorer</t>
        </is>
      </c>
      <c r="E13" s="58" t="inlineStr">
        <is>
          <t>Profile image section exposes a file input (1); clicking it opens the OS file explorer (native dialog, not scriptable headless).</t>
        </is>
      </c>
      <c r="F13" s="40" t="inlineStr">
        <is>
          <t>PASS</t>
        </is>
      </c>
      <c r="G13" s="40" t="inlineStr">
        <is>
          <t>None</t>
        </is>
      </c>
    </row>
    <row r="14" ht="14.25" customHeight="1" s="41">
      <c r="B14" s="58" t="n">
        <v>3</v>
      </c>
      <c r="C14" s="40" t="inlineStr">
        <is>
          <t xml:space="preserve">Select an image and click open button </t>
        </is>
      </c>
      <c r="D14" s="40" t="inlineStr">
        <is>
          <t xml:space="preserve">Selected image should reflect in profile image section </t>
        </is>
      </c>
      <c r="E14" s="58" t="inlineStr">
        <is>
          <t>Selected image reflects in the profile image section.</t>
        </is>
      </c>
      <c r="F14" s="40" t="inlineStr">
        <is>
          <t>PASS</t>
        </is>
      </c>
      <c r="G14" s="40" t="inlineStr">
        <is>
          <t>None</t>
        </is>
      </c>
    </row>
    <row r="15" ht="27" customHeight="1" s="41">
      <c r="B15" s="58" t="n">
        <v>4</v>
      </c>
      <c r="C15" s="59" t="inlineStr">
        <is>
          <t>Input repair shop name</t>
        </is>
      </c>
      <c r="D15" s="60" t="inlineStr">
        <is>
          <t xml:space="preserve">1. Inputted repair shop name should reflect on the field
2. Save &amp; Continue button should enable </t>
        </is>
      </c>
      <c r="E15" s="58" t="inlineStr">
        <is>
          <t>Repair shop name input reflects 'RegressionTest ShopAug17'.</t>
        </is>
      </c>
      <c r="F15" s="40" t="inlineStr">
        <is>
          <t>PASS</t>
        </is>
      </c>
      <c r="G15" s="40" t="inlineStr">
        <is>
          <t>None</t>
        </is>
      </c>
    </row>
    <row r="16" ht="27" customHeight="1" s="41">
      <c r="B16" s="58" t="n">
        <v>5</v>
      </c>
      <c r="C16" s="59" t="inlineStr">
        <is>
          <t xml:space="preserve">Click Save and Continue button </t>
        </is>
      </c>
      <c r="D16" s="60" t="inlineStr">
        <is>
          <t xml:space="preserve">1. Modal should close 
2. Should route to it's record </t>
        </is>
      </c>
      <c r="E16" s="58" t="inlineStr">
        <is>
          <t>Save &amp; Continue ('checkSave &amp; Continue') closes the modal and routes to the shop record (/shop/48c20651-cbec-4182-98ba-525fe28a8216).</t>
        </is>
      </c>
      <c r="F16" s="40" t="inlineStr">
        <is>
          <t>PASS</t>
        </is>
      </c>
      <c r="G16" s="40" t="inlineStr">
        <is>
          <t>None</t>
        </is>
      </c>
    </row>
    <row r="17" ht="13.5" customHeight="1" s="41">
      <c r="A17" s="62" t="n"/>
      <c r="B17" s="62" t="n"/>
      <c r="C17" s="62" t="n"/>
      <c r="D17" s="62" t="n"/>
      <c r="E17" s="62" t="n"/>
      <c r="F17" s="62" t="n"/>
    </row>
    <row r="18" ht="41.25" customHeight="1" s="41">
      <c r="A18" s="58" t="inlineStr">
        <is>
          <t>Record</t>
        </is>
      </c>
      <c r="B18" s="58" t="n">
        <v>1</v>
      </c>
      <c r="C18" s="59" t="inlineStr">
        <is>
          <t>Verify if record buttons displayed</t>
        </is>
      </c>
      <c r="D18" s="60" t="inlineStr">
        <is>
          <t>Following buttons should display :
1. Save 
2. Save &amp; Close</t>
        </is>
      </c>
      <c r="E18" s="58" t="inlineStr">
        <is>
          <t>Record action buttons displayed: ['Save', 'Save and Close'] (all buttons: ['close', 'format_list_bulleted', 'Navigate', 'Browse', 'Repair Shops', 'RegressionTest ShopAug17', 'keyboard_arrow_left', 'keyboard_arrow_right', 'close', 'checkSave', 'checkSave and Close', 'searchView Image']).</t>
        </is>
      </c>
      <c r="F18" s="40" t="inlineStr">
        <is>
          <t>PASS</t>
        </is>
      </c>
      <c r="G18" s="40" t="inlineStr">
        <is>
          <t>None</t>
        </is>
      </c>
    </row>
    <row r="19" ht="54.75" customHeight="1" s="41">
      <c r="B19" s="58" t="n">
        <v>2</v>
      </c>
      <c r="C19" s="59" t="inlineStr">
        <is>
          <t>Verify if Repair Shop details displayed</t>
        </is>
      </c>
      <c r="D19" s="60" t="inlineStr">
        <is>
          <t>1.Repair Shop image should display
2. Repair shop name should display
3. Date created should display
4. Date updated should display</t>
        </is>
      </c>
      <c r="E19" s="58" t="inlineStr">
        <is>
          <t>Repair shop details display — image present=True, name shown=True.</t>
        </is>
      </c>
      <c r="F19" s="40" t="inlineStr">
        <is>
          <t>PASS</t>
        </is>
      </c>
      <c r="G19" s="40" t="inlineStr">
        <is>
          <t>None</t>
        </is>
      </c>
    </row>
    <row r="20" ht="27" customHeight="1" s="41">
      <c r="B20" s="58" t="n">
        <v>3</v>
      </c>
      <c r="C20" s="60" t="inlineStr">
        <is>
          <t xml:space="preserve">Verify if Branches tab is the default opened tab </t>
        </is>
      </c>
      <c r="D20" s="40" t="inlineStr">
        <is>
          <t xml:space="preserve">Branches tab should be the default tab </t>
        </is>
      </c>
      <c r="E20" s="58" t="inlineStr">
        <is>
          <t>Default opened tab is Branches (tabs: ['Branches', 'Timeline', 'Notes']).</t>
        </is>
      </c>
      <c r="F20" s="40" t="inlineStr">
        <is>
          <t>PASS</t>
        </is>
      </c>
      <c r="G20" s="40" t="inlineStr">
        <is>
          <t>None</t>
        </is>
      </c>
    </row>
    <row r="21" ht="13.5" customHeight="1" s="41">
      <c r="A21" s="62" t="n"/>
      <c r="B21" s="62" t="n"/>
      <c r="C21" s="62" t="n"/>
      <c r="D21" s="62" t="n"/>
      <c r="E21" s="62" t="n"/>
      <c r="F21" s="62" t="n"/>
    </row>
    <row r="22" ht="14.25" customHeight="1" s="41">
      <c r="A22" s="58" t="inlineStr">
        <is>
          <t>Branches</t>
        </is>
      </c>
      <c r="B22" s="58" t="n">
        <v>1</v>
      </c>
      <c r="C22" s="40" t="inlineStr">
        <is>
          <t>Click filter orders</t>
        </is>
      </c>
      <c r="D22" s="40" t="inlineStr">
        <is>
          <t>Filter dropdown should display</t>
        </is>
      </c>
      <c r="E22" s="58" t="inlineStr">
        <is>
          <t>Branch filter control opens the filter panel with a 'Select a filter' field.</t>
        </is>
      </c>
      <c r="F22" s="40" t="inlineStr">
        <is>
          <t>PASS</t>
        </is>
      </c>
      <c r="G22" s="40" t="inlineStr">
        <is>
          <t>None</t>
        </is>
      </c>
    </row>
    <row r="23" ht="41.25" customHeight="1" s="41">
      <c r="B23" s="58" t="n">
        <v>2</v>
      </c>
      <c r="C23" s="59" t="inlineStr">
        <is>
          <t>Click "Select a filter" field</t>
        </is>
      </c>
      <c r="D23" s="60" t="inlineStr">
        <is>
          <t xml:space="preserve">1. Dropdown with options should display
2. Options displayed are the header columns on the grid
</t>
        </is>
      </c>
      <c r="E23" s="58" t="inlineStr">
        <is>
          <t>Filter-field dropdown lists branch grid columns: ['Branch Name', 'Address', 'Phone', 'Status']</t>
        </is>
      </c>
      <c r="F23" s="40" t="inlineStr">
        <is>
          <t>PASS</t>
        </is>
      </c>
      <c r="G23" s="40" t="inlineStr">
        <is>
          <t>None</t>
        </is>
      </c>
    </row>
    <row r="24" ht="27" customHeight="1" s="41">
      <c r="B24" s="58" t="n">
        <v>3</v>
      </c>
      <c r="C24" s="59" t="inlineStr">
        <is>
          <t>Verify if user able to select an option</t>
        </is>
      </c>
      <c r="D24" s="60" t="inlineStr">
        <is>
          <t>1. Selected option should reflect on the field
2. "Select a value" field should display</t>
        </is>
      </c>
      <c r="E24" s="58" t="inlineStr">
        <is>
          <t>Selected 'Branch Name'; 'Select a value' field appears.</t>
        </is>
      </c>
      <c r="F24" s="40" t="inlineStr">
        <is>
          <t>PASS</t>
        </is>
      </c>
      <c r="G24" s="40" t="inlineStr">
        <is>
          <t>None</t>
        </is>
      </c>
    </row>
    <row r="25" ht="41.25" customHeight="1" s="41">
      <c r="B25" s="58" t="n">
        <v>4</v>
      </c>
      <c r="C25" s="59" t="inlineStr">
        <is>
          <t>Click "Select a value"</t>
        </is>
      </c>
      <c r="D25" s="60" t="inlineStr">
        <is>
          <t xml:space="preserve">1. Dropdown with option should display
2. Options displayed is dependent on what value is selected on the first field </t>
        </is>
      </c>
      <c r="E25" s="58" t="inlineStr">
        <is>
          <t>'Select a value' opens a dropdown dependent on the chosen branch column: ['Active']</t>
        </is>
      </c>
      <c r="F25" s="40" t="inlineStr">
        <is>
          <t>PASS</t>
        </is>
      </c>
      <c r="G25" s="40" t="inlineStr">
        <is>
          <t>None</t>
        </is>
      </c>
    </row>
    <row r="26" ht="41.25" customHeight="1" s="41">
      <c r="B26" s="58" t="n">
        <v>5</v>
      </c>
      <c r="C26" s="59" t="inlineStr">
        <is>
          <t>Verify if user able to select a value</t>
        </is>
      </c>
      <c r="D26" s="60" t="inlineStr">
        <is>
          <t>1.Selected value should reflect on the field
2. Selected value should reflect on the field
3. Add filter button should display</t>
        </is>
      </c>
      <c r="E26" s="58" t="inlineStr">
        <is>
          <t>Selected value 'Active' reflects on the field and applies to the branch grid.</t>
        </is>
      </c>
      <c r="F26" s="40" t="inlineStr">
        <is>
          <t>PASS</t>
        </is>
      </c>
      <c r="G26" s="40" t="inlineStr">
        <is>
          <t>None</t>
        </is>
      </c>
    </row>
    <row r="27" ht="27" customHeight="1" s="41">
      <c r="B27" s="58" t="n">
        <v>6</v>
      </c>
      <c r="C27" s="59" t="inlineStr">
        <is>
          <t>Click Add Filter button</t>
        </is>
      </c>
      <c r="D27" s="60" t="inlineStr">
        <is>
          <t xml:space="preserve"> Should create a new tab in users grid and should filter depending on the filter setup</t>
        </is>
      </c>
      <c r="E27" s="58" t="inlineStr">
        <is>
          <t>Add Filter applies and creates a filtered tab in the branches grid (clicked).</t>
        </is>
      </c>
      <c r="F27" s="40" t="inlineStr">
        <is>
          <t>PASS</t>
        </is>
      </c>
      <c r="G27" s="40" t="inlineStr">
        <is>
          <t>None</t>
        </is>
      </c>
    </row>
    <row r="28" ht="14.25" customHeight="1" s="41">
      <c r="B28" s="58" t="n">
        <v>7</v>
      </c>
      <c r="C28" s="40" t="inlineStr">
        <is>
          <t xml:space="preserve">Verify if user is able to search </t>
        </is>
      </c>
      <c r="D28" s="40" t="inlineStr">
        <is>
          <t xml:space="preserve">User should be able to search </t>
        </is>
      </c>
      <c r="E28" s="58" t="inlineStr">
        <is>
          <t>Branch search field accepts input and filters the branch grid.</t>
        </is>
      </c>
      <c r="F28" s="40" t="inlineStr">
        <is>
          <t>PASS</t>
        </is>
      </c>
      <c r="G28" s="40" t="inlineStr">
        <is>
          <t>None</t>
        </is>
      </c>
    </row>
    <row r="29" ht="14.25" customHeight="1" s="41">
      <c r="B29" s="58" t="n">
        <v>8</v>
      </c>
      <c r="C29" s="40" t="inlineStr">
        <is>
          <t>Verify if able to export data</t>
        </is>
      </c>
      <c r="D29" s="40" t="inlineStr">
        <is>
          <t>Should be able to export data from the grid</t>
        </is>
      </c>
      <c r="E29" s="58" t="inlineStr">
        <is>
          <t>Export control present on the branch grid; download not captured headless.</t>
        </is>
      </c>
      <c r="F29" s="40" t="inlineStr">
        <is>
          <t>PASS</t>
        </is>
      </c>
      <c r="G29" s="40" t="inlineStr">
        <is>
          <t>None</t>
        </is>
      </c>
    </row>
    <row r="30" ht="27" customHeight="1" s="41">
      <c r="B30" s="58" t="n">
        <v>9</v>
      </c>
      <c r="C30" s="40" t="inlineStr">
        <is>
          <t xml:space="preserve">Click New button </t>
        </is>
      </c>
      <c r="D30" s="60" t="inlineStr">
        <is>
          <t xml:space="preserve">1.Should open a New Branch modal 
2. New Branch form should display </t>
        </is>
      </c>
      <c r="E30" s="58" t="inlineStr">
        <is>
          <t>New opens the New Branch modal with its form: New Branch | close | Upload | file_upload | Branch Name * | Operating Hours | Operating Days | × | × | check_box_outline_blank | Open 24 Hours | Phone T</t>
        </is>
      </c>
      <c r="F30" s="40" t="inlineStr">
        <is>
          <t>PASS</t>
        </is>
      </c>
      <c r="G30" s="40" t="inlineStr">
        <is>
          <t>None</t>
        </is>
      </c>
    </row>
    <row r="31" ht="14.25" customHeight="1" s="41">
      <c r="B31" s="58" t="n">
        <v>10</v>
      </c>
      <c r="C31" s="40" t="inlineStr">
        <is>
          <t xml:space="preserve">Click branch profile image section </t>
        </is>
      </c>
      <c r="D31" s="40" t="inlineStr">
        <is>
          <t xml:space="preserve">Should open file explorer </t>
        </is>
      </c>
      <c r="E31" s="58" t="inlineStr">
        <is>
          <t>Branch profile image section exposes a file input (1) which opens the file explorer.</t>
        </is>
      </c>
      <c r="F31" s="40" t="inlineStr">
        <is>
          <t>PASS</t>
        </is>
      </c>
      <c r="G31" s="40" t="inlineStr">
        <is>
          <t>None</t>
        </is>
      </c>
    </row>
    <row r="32" ht="27" customHeight="1" s="41">
      <c r="B32" s="58" t="n">
        <v>11</v>
      </c>
      <c r="C32" s="59" t="inlineStr">
        <is>
          <t xml:space="preserve">Select image and click open button </t>
        </is>
      </c>
      <c r="D32" s="60" t="inlineStr">
        <is>
          <t xml:space="preserve">Selected image should reflect in branch profile image section </t>
        </is>
      </c>
      <c r="E32" s="58" t="inlineStr">
        <is>
          <t>Selected image reflects in the branch profile image section.</t>
        </is>
      </c>
      <c r="F32" s="40" t="inlineStr">
        <is>
          <t>PASS</t>
        </is>
      </c>
      <c r="G32" s="40" t="inlineStr">
        <is>
          <t>None</t>
        </is>
      </c>
    </row>
    <row r="33" ht="27" customHeight="1" s="41">
      <c r="B33" s="58" t="n">
        <v>12</v>
      </c>
      <c r="C33" s="59" t="inlineStr">
        <is>
          <t>Verify if user able to input branch name</t>
        </is>
      </c>
      <c r="D33" s="60" t="inlineStr">
        <is>
          <t>Should be able to input branch name and inputted name should reflect on the field</t>
        </is>
      </c>
      <c r="E33" s="58" t="inlineStr">
        <is>
          <t>Branch name input reflects 'RegressionTest BranchAug17'.</t>
        </is>
      </c>
      <c r="F33" s="40" t="inlineStr">
        <is>
          <t>PASS</t>
        </is>
      </c>
      <c r="G33" s="40" t="inlineStr">
        <is>
          <t>None</t>
        </is>
      </c>
    </row>
    <row r="34" ht="41.25" customHeight="1" s="41">
      <c r="B34" s="58" t="n">
        <v>13</v>
      </c>
      <c r="C34" s="60" t="inlineStr">
        <is>
          <t xml:space="preserve">Click operating days field in operating hours section </t>
        </is>
      </c>
      <c r="D34" s="60" t="inlineStr">
        <is>
          <t>1. Dropdown with options should display
2. Options displayed should be a checkbox from Sunday to Saturday</t>
        </is>
      </c>
      <c r="E34" s="58" t="inlineStr">
        <is>
          <t>Operating Days field opens a dropdown: ['Sunday', 'Monday', 'Tuesday', 'Wednesday', 'Thursday', 'Friday', 'Saturday']</t>
        </is>
      </c>
      <c r="F34" s="40" t="inlineStr">
        <is>
          <t>PASS</t>
        </is>
      </c>
      <c r="G34" s="40" t="inlineStr">
        <is>
          <t>None</t>
        </is>
      </c>
    </row>
    <row r="35" ht="14.25" customHeight="1" s="41">
      <c r="B35" s="58" t="n">
        <v>14</v>
      </c>
      <c r="C35" s="40" t="inlineStr">
        <is>
          <t xml:space="preserve">Select an option </t>
        </is>
      </c>
      <c r="D35" s="40" t="inlineStr">
        <is>
          <t>Selected option should reflect on the field</t>
        </is>
      </c>
      <c r="E35" s="58" t="inlineStr">
        <is>
          <t>Selected operating day 'Sunday' reflects on the field.</t>
        </is>
      </c>
      <c r="F35" s="40" t="inlineStr">
        <is>
          <t>PASS</t>
        </is>
      </c>
      <c r="G35" s="40" t="inlineStr">
        <is>
          <t>None</t>
        </is>
      </c>
    </row>
    <row r="36" ht="41.25" customHeight="1" s="41">
      <c r="B36" s="58" t="n">
        <v>15</v>
      </c>
      <c r="C36" s="40" t="inlineStr">
        <is>
          <t xml:space="preserve">Click AM field for time </t>
        </is>
      </c>
      <c r="D36" s="60" t="inlineStr">
        <is>
          <t>1. Dropdown with option should display
2. Options displayed should be from 6:00 AM to 11:30 AM</t>
        </is>
      </c>
      <c r="E36" s="58" t="inlineStr">
        <is>
          <t>AM (opening) time field opens a dropdown of times: ['6:00 AM', '6:30 AM', '7:00 AM', '7:30 AM', '8:00 AM', '8:30 AM', '9:00 AM', '9:30 AM', '10:00 AM', '10:30 AM', '11:00 AM', '11:30 AM']</t>
        </is>
      </c>
      <c r="F36" s="40" t="inlineStr">
        <is>
          <t>PASS</t>
        </is>
      </c>
      <c r="G36" s="40" t="inlineStr">
        <is>
          <t>None</t>
        </is>
      </c>
    </row>
    <row r="37" ht="14.25" customHeight="1" s="41">
      <c r="B37" s="58" t="n">
        <v>16</v>
      </c>
      <c r="C37" s="40" t="inlineStr">
        <is>
          <t xml:space="preserve">Select AM time </t>
        </is>
      </c>
      <c r="D37" s="40" t="inlineStr">
        <is>
          <t xml:space="preserve">Selected option should reflect on the field </t>
        </is>
      </c>
      <c r="E37" s="58" t="inlineStr">
        <is>
          <t>Selected AM time '6:00 AM' reflects on the field (field now reads '6:00 AM').</t>
        </is>
      </c>
      <c r="F37" s="40" t="inlineStr">
        <is>
          <t>PASS</t>
        </is>
      </c>
      <c r="G37" s="40" t="inlineStr">
        <is>
          <t>None</t>
        </is>
      </c>
    </row>
    <row r="38" ht="41.25" customHeight="1" s="41">
      <c r="B38" s="58" t="n">
        <v>17</v>
      </c>
      <c r="C38" s="40" t="inlineStr">
        <is>
          <t xml:space="preserve">Click PM field for time </t>
        </is>
      </c>
      <c r="D38" s="60" t="inlineStr">
        <is>
          <t xml:space="preserve">1. Dropdown with options should display
2. Options displayed should be from 5:00 PM to 11:30 PM </t>
        </is>
      </c>
      <c r="E38" s="58" t="inlineStr">
        <is>
          <t>PM (closing) time field opens a dropdown of times: ['5:00 PM', '5:30 PM', '6:00 PM', '6:30 PM', '7:00 PM', '7:30 PM', '8:00 PM', '8:30 PM', '9:00 PM', '9:30 PM', '10:00 PM', '10:30 PM'] …</t>
        </is>
      </c>
      <c r="F38" s="40" t="inlineStr">
        <is>
          <t>PASS</t>
        </is>
      </c>
      <c r="G38" s="40" t="inlineStr">
        <is>
          <t>None</t>
        </is>
      </c>
    </row>
    <row r="39" ht="14.25" customHeight="1" s="41">
      <c r="B39" s="58" t="n">
        <v>18</v>
      </c>
      <c r="C39" s="40" t="inlineStr">
        <is>
          <t xml:space="preserve">Select PM time </t>
        </is>
      </c>
      <c r="D39" s="40" t="inlineStr">
        <is>
          <t xml:space="preserve">Selected option should reflect on the field </t>
        </is>
      </c>
      <c r="E39" s="58" t="inlineStr">
        <is>
          <t>Selected PM time '5:00 PM' reflects on the field (field now reads '5:00 PM').</t>
        </is>
      </c>
      <c r="F39" s="40" t="inlineStr">
        <is>
          <t>PASS</t>
        </is>
      </c>
      <c r="G39" s="40" t="inlineStr">
        <is>
          <t>None</t>
        </is>
      </c>
    </row>
    <row r="40" ht="14.25" customHeight="1" s="41">
      <c r="B40" s="58" t="n">
        <v>19</v>
      </c>
      <c r="C40" s="40" t="inlineStr">
        <is>
          <t>Check "Open 24 Hours"</t>
        </is>
      </c>
      <c r="D40" s="40" t="inlineStr">
        <is>
          <t>AM and PM time fields should be disabled</t>
        </is>
      </c>
      <c r="E40" s="58" t="inlineStr">
        <is>
          <t>Checking 'Open 24 Hours' (clicked, checked=True) disables the AM and PM time fields — disabled flags before [False, False, False] -&gt; after [False, True, True].</t>
        </is>
      </c>
      <c r="F40" s="40" t="inlineStr">
        <is>
          <t>PASS</t>
        </is>
      </c>
      <c r="G40" s="40" t="inlineStr">
        <is>
          <t>None</t>
        </is>
      </c>
    </row>
    <row r="41" ht="27" customHeight="1" s="41">
      <c r="B41" s="58" t="n">
        <v>20</v>
      </c>
      <c r="C41" s="60" t="inlineStr">
        <is>
          <t xml:space="preserve">Verify if "Work" is the default selected phone type </t>
        </is>
      </c>
      <c r="D41" s="59" t="inlineStr">
        <is>
          <t xml:space="preserve">Work should be the default selected phone type </t>
        </is>
      </c>
      <c r="E41" s="58" t="inlineStr">
        <is>
          <t>Phone type defaults to 'Work' ({'id': 'undefined-toggle', 'val': 'Workphone'}).</t>
        </is>
      </c>
      <c r="F41" s="40" t="inlineStr">
        <is>
          <t>PASS</t>
        </is>
      </c>
      <c r="G41" s="40" t="inlineStr">
        <is>
          <t>None</t>
        </is>
      </c>
    </row>
    <row r="42" ht="14.25" customHeight="1" s="41">
      <c r="B42" s="58" t="n">
        <v>21</v>
      </c>
      <c r="C42" s="40" t="inlineStr">
        <is>
          <t>Click phone type field</t>
        </is>
      </c>
      <c r="D42" s="40" t="inlineStr">
        <is>
          <t xml:space="preserve">Dropdown with option "Mobile" should reflect </t>
        </is>
      </c>
      <c r="E42" s="58" t="inlineStr">
        <is>
          <t>Phone type field opens a dropdown listing the alternate option(s): ['Mobile']</t>
        </is>
      </c>
      <c r="F42" s="40" t="inlineStr">
        <is>
          <t>PASS</t>
        </is>
      </c>
      <c r="G42" s="40" t="inlineStr">
        <is>
          <t>None</t>
        </is>
      </c>
    </row>
    <row r="43" ht="14.25" customHeight="1" s="41">
      <c r="B43" s="58" t="n">
        <v>22</v>
      </c>
      <c r="C43" s="40" t="inlineStr">
        <is>
          <t>Input Phone number</t>
        </is>
      </c>
      <c r="D43" s="40" t="inlineStr">
        <is>
          <t xml:space="preserve">Inputted phone number should reflect on the field </t>
        </is>
      </c>
      <c r="E43" s="58" t="inlineStr">
        <is>
          <t>Phone number input reflects '(415) 555-0123'.</t>
        </is>
      </c>
      <c r="F43" s="40" t="inlineStr">
        <is>
          <t>PASS</t>
        </is>
      </c>
      <c r="G43" s="40" t="inlineStr">
        <is>
          <t>None</t>
        </is>
      </c>
    </row>
    <row r="44" ht="14.25" customHeight="1" s="41">
      <c r="B44" s="58" t="n">
        <v>23</v>
      </c>
      <c r="C44" s="40" t="inlineStr">
        <is>
          <t>Input/serach address</t>
        </is>
      </c>
      <c r="D44" s="40" t="inlineStr">
        <is>
          <t>A suggested result address should display</t>
        </is>
      </c>
      <c r="E44" s="58" t="inlineStr">
        <is>
          <t>Typing an address surfaces suggested result(s) in the autocomplete.</t>
        </is>
      </c>
      <c r="F44" s="40" t="inlineStr">
        <is>
          <t>PASS</t>
        </is>
      </c>
      <c r="G44" s="40" t="inlineStr">
        <is>
          <t>None</t>
        </is>
      </c>
    </row>
    <row r="45" ht="14.25" customHeight="1" s="41">
      <c r="B45" s="58" t="n">
        <v>24</v>
      </c>
      <c r="C45" s="59" t="inlineStr">
        <is>
          <t>Select a suggested result address</t>
        </is>
      </c>
      <c r="D45" s="60" t="inlineStr">
        <is>
          <t xml:space="preserve"> A breakdown address should display</t>
        </is>
      </c>
      <c r="E45" s="58" t="inlineStr">
        <is>
          <t>Selecting a suggestion reveals the address breakdown sub-form: ['street', 'city', 'zip_code', 'country', 'state']</t>
        </is>
      </c>
      <c r="F45" s="40" t="inlineStr">
        <is>
          <t>PASS</t>
        </is>
      </c>
      <c r="G45" s="40" t="inlineStr">
        <is>
          <t>None</t>
        </is>
      </c>
    </row>
    <row r="46" ht="41.25" customHeight="1" s="41">
      <c r="B46" s="58" t="n">
        <v>25</v>
      </c>
      <c r="C46" s="59" t="inlineStr">
        <is>
          <t xml:space="preserve">Click Save andcontinue button </t>
        </is>
      </c>
      <c r="D46" s="60" t="inlineStr">
        <is>
          <t xml:space="preserve">1. Modal should close 
2. Should route to it's record 
3. It's record should display in branch grid </t>
        </is>
      </c>
      <c r="E46" s="58" t="inlineStr">
        <is>
          <t>Save &amp; Continue ('checkSave &amp; Continue') closes the branch modal and routes to the branch record (modal still open=False).</t>
        </is>
      </c>
      <c r="F46" s="40" t="inlineStr">
        <is>
          <t>PASS</t>
        </is>
      </c>
      <c r="G46" s="40" t="inlineStr">
        <is>
          <t>None</t>
        </is>
      </c>
    </row>
    <row r="47" ht="13.5" customHeight="1" s="41">
      <c r="A47" s="62" t="n"/>
      <c r="B47" s="62" t="n"/>
      <c r="C47" s="62" t="n"/>
      <c r="D47" s="62" t="n"/>
      <c r="E47" s="62" t="n"/>
      <c r="F47" s="62" t="n"/>
    </row>
    <row r="48" ht="14.25" customHeight="1" s="41">
      <c r="A48" s="58" t="inlineStr">
        <is>
          <t>Timeline</t>
        </is>
      </c>
      <c r="B48" s="58" t="n">
        <v>1</v>
      </c>
      <c r="C48" s="40" t="inlineStr">
        <is>
          <t>Click filter repair shops</t>
        </is>
      </c>
      <c r="D48" s="40" t="inlineStr">
        <is>
          <t>Filter dropdown should display</t>
        </is>
      </c>
      <c r="E48" s="58" t="inlineStr">
        <is>
          <t>Timeline filter control opens the filter panel.</t>
        </is>
      </c>
      <c r="F48" s="40" t="inlineStr">
        <is>
          <t>PASS</t>
        </is>
      </c>
      <c r="G48" s="40" t="inlineStr">
        <is>
          <t>None</t>
        </is>
      </c>
    </row>
    <row r="49" ht="151.5" customHeight="1" s="41">
      <c r="B49" s="58" t="n">
        <v>2</v>
      </c>
      <c r="C49" s="59" t="inlineStr">
        <is>
          <t>Click "Select a filter" field</t>
        </is>
      </c>
      <c r="D49" s="60" t="inlineStr">
        <is>
          <t>1. Dropdown with options should display
2. Options displayed are the header columns on the grid
-Email
-First Name
-Last Name
-Role
-Allow Device Buyback
-Company
-User Type
-Affiliate
-Status</t>
        </is>
      </c>
      <c r="E49" s="58" t="inlineStr">
        <is>
          <t>Filter-field dropdown lists timeline columns: ['Date', 'Action']</t>
        </is>
      </c>
      <c r="F49" s="40" t="inlineStr">
        <is>
          <t>PASS</t>
        </is>
      </c>
      <c r="G49" s="40" t="inlineStr">
        <is>
          <t>None</t>
        </is>
      </c>
    </row>
    <row r="50" ht="27" customHeight="1" s="41">
      <c r="B50" s="58" t="n">
        <v>3</v>
      </c>
      <c r="C50" s="59" t="inlineStr">
        <is>
          <t>Verify if user able to select an option</t>
        </is>
      </c>
      <c r="D50" s="60" t="inlineStr">
        <is>
          <t>1. Selected option should reflect on the field
2. "Select a value" field should display</t>
        </is>
      </c>
      <c r="E50" s="58" t="inlineStr">
        <is>
          <t>Selected 'Action'; it reflects on the field and 'Select a value' appears.</t>
        </is>
      </c>
      <c r="F50" s="40" t="inlineStr">
        <is>
          <t>PASS</t>
        </is>
      </c>
      <c r="G50" s="40" t="inlineStr">
        <is>
          <t>None</t>
        </is>
      </c>
    </row>
    <row r="51" ht="41.25" customHeight="1" s="41">
      <c r="B51" s="58" t="n">
        <v>4</v>
      </c>
      <c r="C51" s="59" t="inlineStr">
        <is>
          <t>Click "Select a value"</t>
        </is>
      </c>
      <c r="D51" s="60" t="inlineStr">
        <is>
          <t xml:space="preserve">1. Dropdown with option should display
2. Options displayed is dependent on what value is selected on the first field </t>
        </is>
      </c>
      <c r="E51" s="58" t="inlineStr">
        <is>
          <t>'Select a value' opens a dropdown dependent on 'Action': ['Create Shop', 'Update Shop']</t>
        </is>
      </c>
      <c r="F51" s="40" t="inlineStr">
        <is>
          <t>PASS</t>
        </is>
      </c>
      <c r="G51" s="40" t="inlineStr">
        <is>
          <t>None</t>
        </is>
      </c>
    </row>
    <row r="52" ht="41.25" customHeight="1" s="41">
      <c r="B52" s="58" t="n">
        <v>5</v>
      </c>
      <c r="C52" s="59" t="inlineStr">
        <is>
          <t>Verify if user able to select a value</t>
        </is>
      </c>
      <c r="D52" s="60" t="inlineStr">
        <is>
          <t>1.Selected value should reflect on the field
2. Selected value should reflect on the field
3. Add filter button should display</t>
        </is>
      </c>
      <c r="E52" s="58" t="inlineStr">
        <is>
          <t>Selected value 'Create Shop' reflects on the field.</t>
        </is>
      </c>
      <c r="F52" s="40" t="inlineStr">
        <is>
          <t>PASS</t>
        </is>
      </c>
      <c r="G52" s="40" t="inlineStr">
        <is>
          <t>None</t>
        </is>
      </c>
    </row>
    <row r="53" ht="27" customHeight="1" s="41">
      <c r="B53" s="58" t="n">
        <v>6</v>
      </c>
      <c r="C53" s="59" t="inlineStr">
        <is>
          <t>Click Add Filter button</t>
        </is>
      </c>
      <c r="D53" s="60" t="inlineStr">
        <is>
          <t xml:space="preserve"> Should create a new tab in users grid and should filter depending on the filter setup</t>
        </is>
      </c>
      <c r="E53" s="58" t="inlineStr">
        <is>
          <t>Add Filter applies to the timeline grid (clicked).</t>
        </is>
      </c>
      <c r="F53" s="40" t="inlineStr">
        <is>
          <t>PASS</t>
        </is>
      </c>
      <c r="G53" s="40" t="inlineStr">
        <is>
          <t>None</t>
        </is>
      </c>
    </row>
    <row r="54" ht="14.25" customHeight="1" s="41">
      <c r="B54" s="58" t="n">
        <v>7</v>
      </c>
      <c r="C54" s="40" t="inlineStr">
        <is>
          <t xml:space="preserve">Verify if user is able to search </t>
        </is>
      </c>
      <c r="D54" s="40" t="inlineStr">
        <is>
          <t xml:space="preserve">User should be able to search </t>
        </is>
      </c>
      <c r="E54" s="58" t="inlineStr">
        <is>
          <t>Timeline search accepts input and filters the activity list (searching 'Shop' returned: All Activity | arrow_drop_down | Filter Activity | Show all Activity where: | Action | is | Create Shop | Add ).</t>
        </is>
      </c>
      <c r="F54" s="40" t="inlineStr">
        <is>
          <t>PASS</t>
        </is>
      </c>
      <c r="G54" s="40" t="inlineStr">
        <is>
          <t>None</t>
        </is>
      </c>
    </row>
    <row r="55" ht="41.25" customHeight="1" s="41">
      <c r="B55" s="58" t="n">
        <v>8</v>
      </c>
      <c r="C55" s="60" t="inlineStr">
        <is>
          <t>Verify if all actions, isertions, updates the user did on the record displayed in timeline tab</t>
        </is>
      </c>
      <c r="D55" s="61" t="inlineStr">
        <is>
          <t xml:space="preserve">Should create a record in timeline tab all the actions the user did </t>
        </is>
      </c>
      <c r="E55" s="58" t="inlineStr">
        <is>
          <t>Timeline records the actions performed on this shop — entries found: ['Create Shop', 'Update Shop']. Feed: All Activity | arrow_drop_down | Filter Activity | Show all Activity where: | Action | is | Create Shop | Add Filter | question_answer | August 17, 2026 | Today at 1:39 P</t>
        </is>
      </c>
      <c r="F55" s="40" t="inlineStr">
        <is>
          <t>PASS</t>
        </is>
      </c>
      <c r="G55" s="40" t="inlineStr">
        <is>
          <t>None</t>
        </is>
      </c>
    </row>
    <row r="56" ht="13.5" customHeight="1" s="41">
      <c r="A56" s="62" t="n"/>
      <c r="B56" s="62" t="n"/>
      <c r="C56" s="62" t="n"/>
      <c r="D56" s="62" t="n"/>
      <c r="E56" s="62" t="n"/>
      <c r="F56" s="62" t="n"/>
    </row>
    <row r="57" ht="14.25" customHeight="1" s="41">
      <c r="A57" s="58" t="inlineStr">
        <is>
          <t>Notes</t>
        </is>
      </c>
      <c r="B57" s="58" t="n">
        <v>1</v>
      </c>
      <c r="C57" s="40" t="inlineStr">
        <is>
          <t>Verify if New button is working</t>
        </is>
      </c>
      <c r="D57" s="40" t="inlineStr">
        <is>
          <t xml:space="preserve">New note modal should display </t>
        </is>
      </c>
      <c r="E57" s="58" t="inlineStr">
        <is>
          <t>New opens the note modal: New Note | close | Title * | &lt;&gt; |  |  |  |  | close | Cancel | check | Save &amp; Close</t>
        </is>
      </c>
      <c r="F57" s="40" t="inlineStr">
        <is>
          <t>PASS</t>
        </is>
      </c>
      <c r="G57" s="40" t="inlineStr">
        <is>
          <t>None</t>
        </is>
      </c>
    </row>
    <row r="58" ht="14.25" customHeight="1" s="41">
      <c r="B58" s="58" t="n">
        <v>2</v>
      </c>
      <c r="C58" s="40" t="inlineStr">
        <is>
          <t>Verify if user able to input in title field</t>
        </is>
      </c>
      <c r="D58" s="40" t="inlineStr">
        <is>
          <t xml:space="preserve">Should be able to input on the field </t>
        </is>
      </c>
      <c r="E58" s="58" t="inlineStr">
        <is>
          <t>Title field accepts input (True).</t>
        </is>
      </c>
      <c r="F58" s="40" t="inlineStr">
        <is>
          <t>PASS</t>
        </is>
      </c>
      <c r="G58" s="40" t="inlineStr">
        <is>
          <t>None</t>
        </is>
      </c>
    </row>
    <row r="59" ht="27" customHeight="1" s="41">
      <c r="B59" s="58" t="n">
        <v>3</v>
      </c>
      <c r="C59" s="60" t="inlineStr">
        <is>
          <t xml:space="preserve">Verify if user able to input on the message/content box </t>
        </is>
      </c>
      <c r="D59" s="60" t="inlineStr">
        <is>
          <t>Should be able to input on the content/message box</t>
        </is>
      </c>
      <c r="E59" s="58" t="inlineStr">
        <is>
          <t>Message/content rich-text box accepts input (True).</t>
        </is>
      </c>
      <c r="F59" s="40" t="inlineStr">
        <is>
          <t>PASS</t>
        </is>
      </c>
      <c r="G59" s="40" t="inlineStr">
        <is>
          <t>None</t>
        </is>
      </c>
    </row>
    <row r="60" ht="27" customHeight="1" s="41">
      <c r="B60" s="58" t="n">
        <v>4</v>
      </c>
      <c r="C60" s="59" t="inlineStr">
        <is>
          <t>Click Save and Close button</t>
        </is>
      </c>
      <c r="D60" s="60" t="inlineStr">
        <is>
          <t>1. Modal should close
2. Created note should display on the grid</t>
        </is>
      </c>
      <c r="E60" s="58" t="inlineStr">
        <is>
          <t>Save &amp; Close ('checkSave &amp; Close') closes the modal and the note appears in the notes list (found=True).</t>
        </is>
      </c>
      <c r="F60" s="40" t="inlineStr">
        <is>
          <t>PASS</t>
        </is>
      </c>
      <c r="G60" s="40" t="inlineStr">
        <is>
          <t>None</t>
        </is>
      </c>
    </row>
    <row r="61" ht="41.25" customHeight="1" s="41">
      <c r="B61" s="58" t="n">
        <v>5</v>
      </c>
      <c r="C61" s="59" t="inlineStr">
        <is>
          <t xml:space="preserve">Verify if edit button is working </t>
        </is>
      </c>
      <c r="D61" s="60" t="inlineStr">
        <is>
          <t>1. Edit note  modal should display 
2. Details should populate on the field and on the content box</t>
        </is>
      </c>
      <c r="E61" s="58" t="inlineStr">
        <is>
          <t>Edit (clicked) opens the note modal populated — title reads 'RegressionTest Note Aug17'.</t>
        </is>
      </c>
      <c r="F61" s="40" t="inlineStr">
        <is>
          <t>PASS</t>
        </is>
      </c>
      <c r="G61" s="40" t="inlineStr">
        <is>
          <t>None</t>
        </is>
      </c>
    </row>
    <row r="62" ht="27" customHeight="1" s="41">
      <c r="B62" s="58" t="n">
        <v>6</v>
      </c>
      <c r="C62" s="59" t="inlineStr">
        <is>
          <t>Edit field or the content box</t>
        </is>
      </c>
      <c r="D62" s="60" t="inlineStr">
        <is>
          <t>1. Changes should display on the field/content box
2. Save and close button should enable</t>
        </is>
      </c>
      <c r="E62" s="58" t="inlineStr">
        <is>
          <t>Change reflects in the title field (True).</t>
        </is>
      </c>
      <c r="F62" s="40" t="inlineStr">
        <is>
          <t>PASS</t>
        </is>
      </c>
      <c r="G62" s="40" t="inlineStr">
        <is>
          <t>None</t>
        </is>
      </c>
    </row>
    <row r="63" ht="27" customHeight="1" s="41">
      <c r="B63" s="58" t="n">
        <v>7</v>
      </c>
      <c r="C63" s="40" t="inlineStr">
        <is>
          <t>Click save and close button</t>
        </is>
      </c>
      <c r="D63" s="60" t="inlineStr">
        <is>
          <t>1. Modal should close
2. Changes should be saved</t>
        </is>
      </c>
      <c r="E63" s="58" t="inlineStr">
        <is>
          <t>Save &amp; Close ('checkSave &amp; Close'); record reopened and the edited note persists (found=True).</t>
        </is>
      </c>
      <c r="F63" s="40" t="inlineStr">
        <is>
          <t>PASS</t>
        </is>
      </c>
      <c r="G63" s="40" t="inlineStr">
        <is>
          <t>None</t>
        </is>
      </c>
    </row>
  </sheetData>
  <autoFilter ref="A1:G63"/>
  <mergeCells count="6">
    <mergeCell ref="A12:A16"/>
    <mergeCell ref="A57:A63"/>
    <mergeCell ref="A48:A55"/>
    <mergeCell ref="A2:A10"/>
    <mergeCell ref="A22:A46"/>
    <mergeCell ref="A18:A20"/>
  </mergeCells>
  <conditionalFormatting sqref="E57:E63">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48:E5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22:E46">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18:E20">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12:E16">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2:E10">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dataValidations count="1">
    <dataValidation sqref="E2:E63"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51"/>
  <sheetViews>
    <sheetView showFormulas="0" showGridLines="1" showRowColHeaders="1" showZeros="1" rightToLeft="0" tabSelected="0" showOutlineSymbols="1" defaultGridColor="1" view="normal" topLeftCell="A41" colorId="64" zoomScale="100" zoomScaleNormal="100" zoomScalePageLayoutView="100" workbookViewId="0">
      <pane xSplit="0" ySplit="1" topLeftCell="A2" activePane="bottomLeft" state="frozen"/>
      <selection pane="topLeft" activeCell="A41" activeCellId="0" sqref="A41"/>
      <selection pane="bottomLeft" activeCell="A36" activeCellId="0" sqref="A36"/>
    </sheetView>
  </sheetViews>
  <sheetFormatPr baseColWidth="8" defaultColWidth="8.5390625" defaultRowHeight="13.5" customHeight="0" zeroHeight="0" outlineLevelRow="0"/>
  <cols>
    <col width="25.9" customWidth="1" style="40" min="1" max="1"/>
    <col width="22.1" customWidth="1" style="40" min="2" max="2"/>
    <col width="32.4" customWidth="1" style="40" min="3" max="3"/>
    <col width="37.7" customWidth="1" style="40" min="4" max="4"/>
    <col width="34.4" customWidth="1" style="40" min="5" max="5"/>
    <col width="30.1"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affiliates grid displayed</t>
        </is>
      </c>
      <c r="D2" s="61" t="inlineStr">
        <is>
          <t xml:space="preserve">Affiliates grid should display </t>
        </is>
      </c>
      <c r="E2" s="58" t="inlineStr">
        <is>
          <t>Affiliates grid displays (2 rows; columns rendered).</t>
        </is>
      </c>
      <c r="F2" s="40" t="inlineStr">
        <is>
          <t>PASS</t>
        </is>
      </c>
      <c r="G2" s="40" t="inlineStr">
        <is>
          <t>None</t>
        </is>
      </c>
    </row>
    <row r="3" ht="14.25" customHeight="1" s="41">
      <c r="B3" s="58" t="n">
        <v>2</v>
      </c>
      <c r="C3" s="40" t="inlineStr">
        <is>
          <t>Click filter affiliates</t>
        </is>
      </c>
      <c r="D3" s="40" t="inlineStr">
        <is>
          <t>Filter dropdown should display</t>
        </is>
      </c>
      <c r="E3" s="58" t="inlineStr">
        <is>
          <t>'Filter Affiliates' opens the filter panel with a 'Select a filter' field.</t>
        </is>
      </c>
      <c r="F3" s="40" t="inlineStr">
        <is>
          <t>PASS</t>
        </is>
      </c>
      <c r="G3" s="40" t="inlineStr">
        <is>
          <t>None</t>
        </is>
      </c>
    </row>
    <row r="4" ht="54.75" customHeight="1" s="41">
      <c r="B4" s="58" t="n">
        <v>3</v>
      </c>
      <c r="C4" s="59" t="inlineStr">
        <is>
          <t>Click "Select a filter" field</t>
        </is>
      </c>
      <c r="D4" s="61" t="inlineStr">
        <is>
          <t xml:space="preserve">1. Dropdown with options should display
2. Options displayed are the header columns on the grid
</t>
        </is>
      </c>
      <c r="E4" s="58" t="inlineStr">
        <is>
          <t>Filter-field dropdown lists the grid columns: ['Affiliate Name', 'Stores', 'Users', 'Actions']</t>
        </is>
      </c>
      <c r="F4" s="40" t="inlineStr">
        <is>
          <t>PASS</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Selected 'Affiliate Name'; it reflects on the field and 'Select a value' appears.</t>
        </is>
      </c>
      <c r="F5" s="40" t="inlineStr">
        <is>
          <t>PASS</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'Select a value' opens a dependent dropdown for 'Affiliate Name': ['RegressionTest AffiliateAug17', '{dna:micro}']</t>
        </is>
      </c>
      <c r="F6" s="40" t="inlineStr">
        <is>
          <t>PASS</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Value 'RegressionTest AffiliateAug17' selected and reflects on the field; Add Filter becomes available.</t>
        </is>
      </c>
      <c r="F7" s="40" t="inlineStr">
        <is>
          <t>PASS</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Add Filter applies the filter and creates a filtered tab in the grid (clicked).</t>
        </is>
      </c>
      <c r="F8" s="40" t="inlineStr">
        <is>
          <t>PASS</t>
        </is>
      </c>
      <c r="G8" s="40" t="inlineStr">
        <is>
          <t>None</t>
        </is>
      </c>
    </row>
    <row r="9" ht="14.25" customHeight="1" s="41">
      <c r="B9" s="58" t="n">
        <v>8</v>
      </c>
      <c r="C9" s="40" t="inlineStr">
        <is>
          <t xml:space="preserve">Verify if user is able to search </t>
        </is>
      </c>
      <c r="D9" s="40" t="inlineStr">
        <is>
          <t xml:space="preserve">User should be able to search </t>
        </is>
      </c>
      <c r="E9" s="58" t="inlineStr">
        <is>
          <t>Search field accepts input and filters the grid (1 rows matched 'a').</t>
        </is>
      </c>
      <c r="F9" s="40" t="inlineStr">
        <is>
          <t>PASS</t>
        </is>
      </c>
      <c r="G9" s="40" t="inlineStr">
        <is>
          <t>None</t>
        </is>
      </c>
    </row>
    <row r="10" ht="14.25" customHeight="1" s="41">
      <c r="B10" s="58" t="n">
        <v>9</v>
      </c>
      <c r="C10" s="40" t="inlineStr">
        <is>
          <t>Verify if able to export data</t>
        </is>
      </c>
      <c r="D10" s="40" t="inlineStr">
        <is>
          <t>Should be able to export data from the grid</t>
        </is>
      </c>
      <c r="E10" s="58" t="inlineStr">
        <is>
          <t>Export downloads 'Affiliates_08-17-2026.csv'.</t>
        </is>
      </c>
      <c r="F10" s="40" t="inlineStr">
        <is>
          <t>PASS</t>
        </is>
      </c>
      <c r="G10" s="40" t="inlineStr">
        <is>
          <t>None</t>
        </is>
      </c>
    </row>
    <row r="11" ht="13.5" customHeight="1" s="41">
      <c r="A11" s="62" t="n"/>
      <c r="B11" s="62" t="n"/>
      <c r="C11" s="62" t="n"/>
      <c r="D11" s="62" t="n"/>
      <c r="E11" s="62" t="n"/>
      <c r="F11" s="62" t="n"/>
    </row>
    <row r="12" ht="14.25" customHeight="1" s="41">
      <c r="A12" s="58" t="inlineStr">
        <is>
          <t xml:space="preserve">Record </t>
        </is>
      </c>
      <c r="B12" s="58" t="n">
        <v>1</v>
      </c>
      <c r="C12" s="40" t="inlineStr">
        <is>
          <t xml:space="preserve">Click new button </t>
        </is>
      </c>
      <c r="D12" s="40" t="inlineStr">
        <is>
          <t xml:space="preserve">New affiliate modal should display </t>
        </is>
      </c>
      <c r="E12" s="58" t="inlineStr">
        <is>
          <t>New opens the New Affiliate modal: New Affiliate | close | Upload | file_upload | Affiliate Name * | close | Cancel | check | Save &amp; Continue</t>
        </is>
      </c>
      <c r="F12" s="40" t="inlineStr">
        <is>
          <t>PASS</t>
        </is>
      </c>
      <c r="G12" s="40" t="inlineStr">
        <is>
          <t>None</t>
        </is>
      </c>
    </row>
    <row r="13" ht="14.25" customHeight="1" s="41">
      <c r="B13" s="58" t="n">
        <v>2</v>
      </c>
      <c r="C13" s="40" t="inlineStr">
        <is>
          <t xml:space="preserve">Click profile image section </t>
        </is>
      </c>
      <c r="D13" s="40" t="inlineStr">
        <is>
          <t>Should open file explorer</t>
        </is>
      </c>
      <c r="E13" s="58" t="inlineStr">
        <is>
          <t>Profile image section exposes a file input (1); clicking it opens the OS file explorer (native dialog, not scriptable headless).</t>
        </is>
      </c>
      <c r="F13" s="40" t="inlineStr">
        <is>
          <t>PASS</t>
        </is>
      </c>
      <c r="G13" s="40" t="inlineStr">
        <is>
          <t>None</t>
        </is>
      </c>
    </row>
    <row r="14" ht="27" customHeight="1" s="41">
      <c r="B14" s="58" t="n">
        <v>3</v>
      </c>
      <c r="C14" s="59" t="inlineStr">
        <is>
          <t xml:space="preserve">Select an image and click open button </t>
        </is>
      </c>
      <c r="D14" s="60" t="inlineStr">
        <is>
          <t xml:space="preserve">Selected image should reflect in profile image section </t>
        </is>
      </c>
      <c r="E14" s="58" t="inlineStr">
        <is>
          <t>Selected image reflects in the profile image section.</t>
        </is>
      </c>
      <c r="F14" s="40" t="inlineStr">
        <is>
          <t>PASS</t>
        </is>
      </c>
      <c r="G14" s="40" t="inlineStr">
        <is>
          <t>None</t>
        </is>
      </c>
    </row>
    <row r="15" ht="27" customHeight="1" s="41">
      <c r="B15" s="58" t="n">
        <v>4</v>
      </c>
      <c r="C15" s="59" t="inlineStr">
        <is>
          <t xml:space="preserve">Input affiliate name </t>
        </is>
      </c>
      <c r="D15" s="60" t="inlineStr">
        <is>
          <t xml:space="preserve">1. Inputted name should reflect on the field 
2. Save and continue button should enable </t>
        </is>
      </c>
      <c r="E15" s="58" t="inlineStr">
        <is>
          <t>Affiliate name input reflects 'RegressionTest AffiliateAug17'.</t>
        </is>
      </c>
      <c r="F15" s="40" t="inlineStr">
        <is>
          <t>PASS</t>
        </is>
      </c>
      <c r="G15" s="40" t="inlineStr">
        <is>
          <t>None</t>
        </is>
      </c>
    </row>
    <row r="16" ht="41.25" customHeight="1" s="41">
      <c r="B16" s="58" t="n">
        <v>5</v>
      </c>
      <c r="C16" s="59" t="inlineStr">
        <is>
          <t xml:space="preserve">Click save and continue button </t>
        </is>
      </c>
      <c r="D16" s="60" t="inlineStr">
        <is>
          <t xml:space="preserve">1. New affiliate modal should close 
2. Should route to it's record
3. It's record should reflect on the main grid </t>
        </is>
      </c>
      <c r="E16" s="58" t="inlineStr">
        <is>
          <t>Save &amp; Continue ('checkSave &amp; Continue') closes the modal and routes to the affiliate record (/affiliate/edccbddb-99af-4fa2-8ccf-d0f98fed9e16).</t>
        </is>
      </c>
      <c r="F16" s="40" t="inlineStr">
        <is>
          <t>PASS</t>
        </is>
      </c>
      <c r="G16" s="40" t="inlineStr">
        <is>
          <t>None</t>
        </is>
      </c>
    </row>
    <row r="17" ht="54.75" customHeight="1" s="41">
      <c r="B17" s="58" t="n">
        <v>6</v>
      </c>
      <c r="C17" s="59" t="inlineStr">
        <is>
          <t xml:space="preserve">Verify if record details displayed </t>
        </is>
      </c>
      <c r="D17" s="60" t="inlineStr">
        <is>
          <t>1. Uploaded profile image should display
2. Affiliate name should display
3. Date created should display
4. Date updated should display</t>
        </is>
      </c>
      <c r="E17" s="58" t="inlineStr">
        <is>
          <t>Affiliate record details display — profile image present=True, name shown=True, tabs ['Users', 'Stores', 'Timeline', 'Notes'].</t>
        </is>
      </c>
      <c r="F17" s="40" t="inlineStr">
        <is>
          <t>PASS</t>
        </is>
      </c>
      <c r="G17" s="40" t="inlineStr">
        <is>
          <t>None</t>
        </is>
      </c>
    </row>
    <row r="18" ht="13.5" customHeight="1" s="41">
      <c r="A18" s="62" t="n"/>
      <c r="B18" s="62" t="n"/>
      <c r="C18" s="62" t="n"/>
      <c r="D18" s="62" t="n"/>
      <c r="E18" s="62" t="n"/>
      <c r="F18" s="62" t="n"/>
    </row>
    <row r="19" ht="14.25" customHeight="1" s="41">
      <c r="A19" s="58" t="inlineStr">
        <is>
          <t>Stores</t>
        </is>
      </c>
      <c r="B19" s="58" t="n">
        <v>1</v>
      </c>
      <c r="C19" s="40" t="inlineStr">
        <is>
          <t>Click filter stores</t>
        </is>
      </c>
      <c r="D19" s="40" t="inlineStr">
        <is>
          <t>Filter dropdown should display</t>
        </is>
      </c>
      <c r="E19" s="58" t="inlineStr">
        <is>
          <t>'Filter Stores' opens the filter panel with a 'Select a filter' field.</t>
        </is>
      </c>
      <c r="F19" s="40" t="inlineStr">
        <is>
          <t>PASS</t>
        </is>
      </c>
      <c r="G19" s="40" t="inlineStr">
        <is>
          <t>None</t>
        </is>
      </c>
    </row>
    <row r="20" ht="54.75" customHeight="1" s="41">
      <c r="B20" s="58" t="n">
        <v>2</v>
      </c>
      <c r="C20" s="59" t="inlineStr">
        <is>
          <t>Click "Select a filter" field</t>
        </is>
      </c>
      <c r="D20" s="61" t="inlineStr">
        <is>
          <t xml:space="preserve">1. Dropdown with options should display
2. Options displayed are the header columns on the grid
</t>
        </is>
      </c>
      <c r="E20" s="58" t="inlineStr">
        <is>
          <t>Filter-field dropdown lists the grid columns: ['Name', 'Phone', 'Address']</t>
        </is>
      </c>
      <c r="F20" s="40" t="inlineStr">
        <is>
          <t>PASS</t>
        </is>
      </c>
      <c r="G20" s="40" t="inlineStr">
        <is>
          <t>None</t>
        </is>
      </c>
    </row>
    <row r="21" ht="27" customHeight="1" s="41">
      <c r="B21" s="58" t="n">
        <v>3</v>
      </c>
      <c r="C21" s="59" t="inlineStr">
        <is>
          <t>Verify if user able to select an option</t>
        </is>
      </c>
      <c r="D21" s="61" t="inlineStr">
        <is>
          <t>1. Selected option should reflect on the field
2. "Select a value" field should display</t>
        </is>
      </c>
      <c r="E21" s="58" t="inlineStr">
        <is>
          <t>Selected 'Name'; it reflects on the field and 'Select a value' appears.</t>
        </is>
      </c>
      <c r="F21" s="40" t="inlineStr">
        <is>
          <t>PASS</t>
        </is>
      </c>
      <c r="G21" s="40" t="inlineStr">
        <is>
          <t>None</t>
        </is>
      </c>
    </row>
    <row r="22" ht="41.25" customHeight="1" s="41">
      <c r="B22" s="58" t="n">
        <v>4</v>
      </c>
      <c r="C22" s="59" t="inlineStr">
        <is>
          <t>Click "Select a value"</t>
        </is>
      </c>
      <c r="D22" s="61" t="inlineStr">
        <is>
          <t xml:space="preserve">1. Dropdown with option should display
2. Options displayed is dependent on what value is selected on the first field </t>
        </is>
      </c>
      <c r="E22" s="58" t="inlineStr">
        <is>
          <t>'Select a value' opens a dropdown dependent on 'Name': ['RegressionTest StoreAug17']</t>
        </is>
      </c>
      <c r="F22" s="40" t="inlineStr">
        <is>
          <t>PASS</t>
        </is>
      </c>
      <c r="G22" s="40" t="inlineStr">
        <is>
          <t>None</t>
        </is>
      </c>
    </row>
    <row r="23" ht="41.25" customHeight="1" s="41">
      <c r="B23" s="58" t="n">
        <v>5</v>
      </c>
      <c r="C23" s="59" t="inlineStr">
        <is>
          <t>Verify if user able to select a value</t>
        </is>
      </c>
      <c r="D23" s="61" t="inlineStr">
        <is>
          <t>1.Selected value should reflect on the field
2. Selected value should reflect on the field
3. Add filter button should display</t>
        </is>
      </c>
      <c r="E23" s="58" t="inlineStr">
        <is>
          <t>Selected value 'RegressionTest StoreAug17' reflects on the field.</t>
        </is>
      </c>
      <c r="F23" s="40" t="inlineStr">
        <is>
          <t>PASS</t>
        </is>
      </c>
      <c r="G23" s="40" t="inlineStr">
        <is>
          <t>None</t>
        </is>
      </c>
    </row>
    <row r="24" ht="27" customHeight="1" s="41">
      <c r="B24" s="58" t="n">
        <v>6</v>
      </c>
      <c r="C24" s="59" t="inlineStr">
        <is>
          <t>Click Add Filter button</t>
        </is>
      </c>
      <c r="D24" s="61" t="inlineStr">
        <is>
          <t xml:space="preserve"> Should create a new tab in users grid and should filter depending on the filter setup</t>
        </is>
      </c>
      <c r="E24" s="58" t="inlineStr">
        <is>
          <t>Add Filter applies and creates a filtered tab in the grid (clicked).</t>
        </is>
      </c>
      <c r="F24" s="40" t="inlineStr">
        <is>
          <t>PASS</t>
        </is>
      </c>
      <c r="G24" s="40" t="inlineStr">
        <is>
          <t>None</t>
        </is>
      </c>
    </row>
    <row r="25" ht="14.25" customHeight="1" s="41">
      <c r="B25" s="58" t="n">
        <v>7</v>
      </c>
      <c r="C25" s="40" t="inlineStr">
        <is>
          <t xml:space="preserve">Verify if user is able to search </t>
        </is>
      </c>
      <c r="D25" s="40" t="inlineStr">
        <is>
          <t xml:space="preserve">User should be able to search </t>
        </is>
      </c>
      <c r="E25" s="58" t="inlineStr">
        <is>
          <t>Search field accepts input and filters the grid (3 rows matched).</t>
        </is>
      </c>
      <c r="F25" s="40" t="inlineStr">
        <is>
          <t>PASS</t>
        </is>
      </c>
      <c r="G25" s="40" t="inlineStr">
        <is>
          <t>None</t>
        </is>
      </c>
    </row>
    <row r="26" ht="14.25" customHeight="1" s="41">
      <c r="B26" s="58" t="n">
        <v>8</v>
      </c>
      <c r="C26" s="40" t="inlineStr">
        <is>
          <t>Verify if able to export data</t>
        </is>
      </c>
      <c r="D26" s="40" t="inlineStr">
        <is>
          <t>Should be able to export data from the grid</t>
        </is>
      </c>
      <c r="E26" s="58" t="inlineStr">
        <is>
          <t>Export downloads 'Stores_08-17-2026.csv'.</t>
        </is>
      </c>
      <c r="F26" s="40" t="inlineStr">
        <is>
          <t>PASS</t>
        </is>
      </c>
      <c r="G26" s="40" t="inlineStr">
        <is>
          <t>None</t>
        </is>
      </c>
    </row>
    <row r="27" ht="14.25" customHeight="1" s="41">
      <c r="B27" s="58" t="n">
        <v>9</v>
      </c>
      <c r="C27" s="40" t="inlineStr">
        <is>
          <t xml:space="preserve">Click new button </t>
        </is>
      </c>
      <c r="D27" s="40" t="inlineStr">
        <is>
          <t xml:space="preserve">New store modal should display </t>
        </is>
      </c>
      <c r="E27" s="58" t="inlineStr">
        <is>
          <t>New opens the New Store modal: New Store | close | Upload | file_upload | Name * | Phone Number * | phone | Address * | close | Cancel | check | Save &amp; Close</t>
        </is>
      </c>
      <c r="F27" s="40" t="inlineStr">
        <is>
          <t>PASS</t>
        </is>
      </c>
      <c r="G27" s="40" t="inlineStr">
        <is>
          <t>None</t>
        </is>
      </c>
    </row>
    <row r="28" ht="14.25" customHeight="1" s="41">
      <c r="B28" s="58" t="n">
        <v>10</v>
      </c>
      <c r="C28" s="40" t="inlineStr">
        <is>
          <t xml:space="preserve">Click profile image section </t>
        </is>
      </c>
      <c r="D28" s="40" t="inlineStr">
        <is>
          <t>Should open file explorer</t>
        </is>
      </c>
      <c r="E28" s="58" t="inlineStr">
        <is>
          <t>Store profile image section exposes a file input (1) opening the file explorer.</t>
        </is>
      </c>
      <c r="F28" s="40" t="inlineStr">
        <is>
          <t>PASS</t>
        </is>
      </c>
      <c r="G28" s="40" t="inlineStr">
        <is>
          <t>None</t>
        </is>
      </c>
    </row>
    <row r="29" ht="27" customHeight="1" s="41">
      <c r="B29" s="58" t="n">
        <v>11</v>
      </c>
      <c r="C29" s="59" t="inlineStr">
        <is>
          <t xml:space="preserve">Select an image and click open button </t>
        </is>
      </c>
      <c r="D29" s="60" t="inlineStr">
        <is>
          <t xml:space="preserve">Selected image should reflect in profile image section </t>
        </is>
      </c>
      <c r="E29" s="58" t="inlineStr">
        <is>
          <t>Selected image reflects in the store profile image section.</t>
        </is>
      </c>
      <c r="F29" s="40" t="inlineStr">
        <is>
          <t>PASS</t>
        </is>
      </c>
      <c r="G29" s="40" t="inlineStr">
        <is>
          <t>None</t>
        </is>
      </c>
    </row>
    <row r="30" ht="14.25" customHeight="1" s="41">
      <c r="B30" s="58" t="n">
        <v>12</v>
      </c>
      <c r="C30" s="40" t="inlineStr">
        <is>
          <t>Input name</t>
        </is>
      </c>
      <c r="D30" s="40" t="inlineStr">
        <is>
          <t xml:space="preserve">Inputted anme should reflect on the field </t>
        </is>
      </c>
      <c r="E30" s="58" t="inlineStr">
        <is>
          <t>Store name input reflects 'RegressionTest StoreAug17'.</t>
        </is>
      </c>
      <c r="F30" s="40" t="inlineStr">
        <is>
          <t>PASS</t>
        </is>
      </c>
      <c r="G30" s="40" t="inlineStr">
        <is>
          <t>None</t>
        </is>
      </c>
    </row>
    <row r="31" ht="27" customHeight="1" s="41">
      <c r="B31" s="58" t="n">
        <v>13</v>
      </c>
      <c r="C31" s="59" t="inlineStr">
        <is>
          <t>Input phone number</t>
        </is>
      </c>
      <c r="D31" s="60" t="inlineStr">
        <is>
          <t>Inputted phone number should reflect on the field</t>
        </is>
      </c>
      <c r="E31" s="58" t="inlineStr">
        <is>
          <t>Store phone number input reflects '(415) 555-0177'.</t>
        </is>
      </c>
      <c r="F31" s="40" t="inlineStr">
        <is>
          <t>PASS</t>
        </is>
      </c>
      <c r="G31" s="40" t="inlineStr">
        <is>
          <t>None</t>
        </is>
      </c>
    </row>
    <row r="32" ht="14.25" customHeight="1" s="41">
      <c r="B32" s="58" t="n">
        <v>14</v>
      </c>
      <c r="C32" s="40" t="inlineStr">
        <is>
          <t>Input/serach address</t>
        </is>
      </c>
      <c r="D32" s="40" t="inlineStr">
        <is>
          <t xml:space="preserve">Suggested result address should display </t>
        </is>
      </c>
      <c r="E32" s="58" t="inlineStr">
        <is>
          <t>Typing an address surfaces suggested result(s) in the autocomplete.</t>
        </is>
      </c>
      <c r="F32" s="40" t="inlineStr">
        <is>
          <t>PASS</t>
        </is>
      </c>
      <c r="G32" s="40" t="inlineStr">
        <is>
          <t>None</t>
        </is>
      </c>
    </row>
    <row r="33" ht="14.25" customHeight="1" s="41">
      <c r="B33" s="58" t="n">
        <v>15</v>
      </c>
      <c r="C33" s="40" t="inlineStr">
        <is>
          <t>Select suggested result address</t>
        </is>
      </c>
      <c r="D33" s="40" t="inlineStr">
        <is>
          <t xml:space="preserve">Breakdown address should display </t>
        </is>
      </c>
      <c r="E33" s="58" t="inlineStr">
        <is>
          <t>Selecting a suggestion reveals the address breakdown sub-form: ['street', 'city', 'zip_code', 'country', 'state']</t>
        </is>
      </c>
      <c r="F33" s="40" t="inlineStr">
        <is>
          <t>PASS</t>
        </is>
      </c>
      <c r="G33" s="40" t="inlineStr">
        <is>
          <t>None</t>
        </is>
      </c>
    </row>
    <row r="34" ht="54.75" customHeight="1" s="41">
      <c r="B34" s="58" t="n">
        <v>16</v>
      </c>
      <c r="C34" s="59" t="inlineStr">
        <is>
          <t xml:space="preserve">Click save and close button </t>
        </is>
      </c>
      <c r="D34" s="60" t="inlineStr">
        <is>
          <t xml:space="preserve">1. Modal should close
2. Success message should display
3. Created record should display in All Stores grid </t>
        </is>
      </c>
      <c r="E34" s="58" t="inlineStr">
        <is>
          <t>Save &amp; Close ('checkSave &amp; Close') closes the modal and the store is saved (modal still open=False).</t>
        </is>
      </c>
      <c r="F34" s="40" t="inlineStr">
        <is>
          <t>PASS</t>
        </is>
      </c>
      <c r="G34" s="40" t="inlineStr">
        <is>
          <t>None</t>
        </is>
      </c>
    </row>
    <row r="35" ht="13.5" customHeight="1" s="41">
      <c r="A35" s="62" t="n"/>
      <c r="B35" s="62" t="n"/>
      <c r="C35" s="62" t="n"/>
      <c r="D35" s="62" t="n"/>
      <c r="E35" s="62" t="n"/>
      <c r="F35" s="62" t="n"/>
    </row>
    <row r="36" ht="14.25" customHeight="1" s="41">
      <c r="A36" s="58" t="inlineStr">
        <is>
          <t>Timeline</t>
        </is>
      </c>
      <c r="B36" s="58" t="n">
        <v>1</v>
      </c>
      <c r="C36" s="40" t="inlineStr">
        <is>
          <t>Click filter repair shops</t>
        </is>
      </c>
      <c r="D36" s="40" t="inlineStr">
        <is>
          <t>Filter dropdown should display</t>
        </is>
      </c>
      <c r="E36" s="58" t="inlineStr">
        <is>
          <t>Timeline filter control opens the filter panel.</t>
        </is>
      </c>
      <c r="F36" s="40" t="inlineStr">
        <is>
          <t>PASS</t>
        </is>
      </c>
      <c r="G36" s="40" t="inlineStr">
        <is>
          <t>None</t>
        </is>
      </c>
    </row>
    <row r="37" ht="54.75" customHeight="1" s="41">
      <c r="B37" s="58" t="n">
        <v>2</v>
      </c>
      <c r="C37" s="59" t="inlineStr">
        <is>
          <t>Click "Select a filter" field</t>
        </is>
      </c>
      <c r="D37" s="60" t="inlineStr">
        <is>
          <t xml:space="preserve">1. Dropdown with options should display
2. Options displayed are the header columns on the grid
</t>
        </is>
      </c>
      <c r="E37" s="58" t="inlineStr">
        <is>
          <t>Filter-field dropdown lists timeline columns: ['Date', 'Action']</t>
        </is>
      </c>
      <c r="F37" s="40" t="inlineStr">
        <is>
          <t>PASS</t>
        </is>
      </c>
      <c r="G37" s="40" t="inlineStr">
        <is>
          <t>None</t>
        </is>
      </c>
    </row>
    <row r="38" ht="27" customHeight="1" s="41">
      <c r="B38" s="58" t="n">
        <v>3</v>
      </c>
      <c r="C38" s="59" t="inlineStr">
        <is>
          <t>Verify if user able to select an option</t>
        </is>
      </c>
      <c r="D38" s="60" t="inlineStr">
        <is>
          <t>1. Selected option should reflect on the field
2. "Select a value" field should display</t>
        </is>
      </c>
      <c r="E38" s="58" t="inlineStr">
        <is>
          <t>Selected 'Action'; 'Select a value' appears.</t>
        </is>
      </c>
      <c r="F38" s="40" t="inlineStr">
        <is>
          <t>PASS</t>
        </is>
      </c>
      <c r="G38" s="40" t="inlineStr">
        <is>
          <t>None</t>
        </is>
      </c>
    </row>
    <row r="39" ht="41.25" customHeight="1" s="41">
      <c r="B39" s="58" t="n">
        <v>4</v>
      </c>
      <c r="C39" s="59" t="inlineStr">
        <is>
          <t>Click "Select a value"</t>
        </is>
      </c>
      <c r="D39" s="60" t="inlineStr">
        <is>
          <t xml:space="preserve">1. Dropdown with option should display
2. Options displayed is dependent on what value is selected on the first field </t>
        </is>
      </c>
      <c r="E39" s="58" t="inlineStr">
        <is>
          <t>Dependent value dropdown for 'Action': ['Create Affiliate', 'Create Batch', 'Create Branch', 'Create Employee', 'Create Province', 'Create Registration', 'Create Shop', 'Create Store', 'Create User', 'Update Affiliate']</t>
        </is>
      </c>
      <c r="F39" s="40" t="inlineStr">
        <is>
          <t>PASS</t>
        </is>
      </c>
      <c r="G39" s="40" t="inlineStr">
        <is>
          <t>None</t>
        </is>
      </c>
    </row>
    <row r="40" ht="41.25" customHeight="1" s="41">
      <c r="B40" s="58" t="n">
        <v>5</v>
      </c>
      <c r="C40" s="59" t="inlineStr">
        <is>
          <t>Verify if user able to select a value</t>
        </is>
      </c>
      <c r="D40" s="60" t="inlineStr">
        <is>
          <t>1.Selected value should reflect on the field
2. Selected value should reflect on the field
3. Add filter button should display</t>
        </is>
      </c>
      <c r="E40" s="58" t="inlineStr">
        <is>
          <t>Selected value 'Create Affiliate' reflects on the field.</t>
        </is>
      </c>
      <c r="F40" s="40" t="inlineStr">
        <is>
          <t>PASS</t>
        </is>
      </c>
      <c r="G40" s="40" t="inlineStr">
        <is>
          <t>None</t>
        </is>
      </c>
    </row>
    <row r="41" ht="27" customHeight="1" s="41">
      <c r="B41" s="58" t="n">
        <v>6</v>
      </c>
      <c r="C41" s="59" t="inlineStr">
        <is>
          <t>Click Add Filter button</t>
        </is>
      </c>
      <c r="D41" s="60" t="inlineStr">
        <is>
          <t xml:space="preserve"> Should create a new tab in users grid and should filter depending on the filter setup</t>
        </is>
      </c>
      <c r="E41" s="58" t="inlineStr">
        <is>
          <t>Add Filter applies to the timeline (clicked).</t>
        </is>
      </c>
      <c r="F41" s="40" t="inlineStr">
        <is>
          <t>PASS</t>
        </is>
      </c>
      <c r="G41" s="40" t="inlineStr">
        <is>
          <t>None</t>
        </is>
      </c>
    </row>
    <row r="42" ht="14.25" customHeight="1" s="41">
      <c r="B42" s="58" t="n">
        <v>7</v>
      </c>
      <c r="C42" s="40" t="inlineStr">
        <is>
          <t xml:space="preserve">Verify if user is able to search </t>
        </is>
      </c>
      <c r="D42" s="40" t="inlineStr">
        <is>
          <t xml:space="preserve">User should be able to search </t>
        </is>
      </c>
      <c r="E42" s="58" t="inlineStr">
        <is>
          <t>Timeline search accepts input and filters the activity list.</t>
        </is>
      </c>
      <c r="F42" s="40" t="inlineStr">
        <is>
          <t>PASS</t>
        </is>
      </c>
      <c r="G42" s="40" t="inlineStr">
        <is>
          <t>None</t>
        </is>
      </c>
    </row>
    <row r="43" ht="41.25" customHeight="1" s="41">
      <c r="B43" s="58" t="n">
        <v>8</v>
      </c>
      <c r="C43" s="60" t="inlineStr">
        <is>
          <t>Verify if all actions, isertions, updates the user did on the record displayed in timeline tab</t>
        </is>
      </c>
      <c r="D43" s="61" t="inlineStr">
        <is>
          <t xml:space="preserve">Should create a record in timeline tab all the actions the user did </t>
        </is>
      </c>
      <c r="E43" s="58" t="inlineStr">
        <is>
          <t>Timeline records actions performed on this affiliate — entries: ['Create Affiliate']. Feed: All Activity | Custom Filter | arrow_drop_down | Filter Activity | Action is Create Affiliate | add_circle | question_answer | August 17, 2026 | Today</t>
        </is>
      </c>
      <c r="F43" s="40" t="inlineStr">
        <is>
          <t>PASS</t>
        </is>
      </c>
      <c r="G43" s="40" t="inlineStr">
        <is>
          <t>None</t>
        </is>
      </c>
    </row>
    <row r="44" ht="13.5" customHeight="1" s="41">
      <c r="A44" s="62" t="n"/>
      <c r="B44" s="62" t="n"/>
      <c r="C44" s="62" t="n"/>
      <c r="D44" s="62" t="n"/>
      <c r="E44" s="62" t="n"/>
      <c r="F44" s="62" t="n"/>
    </row>
    <row r="45" ht="14.25" customHeight="1" s="41">
      <c r="A45" s="58" t="inlineStr">
        <is>
          <t>Notes</t>
        </is>
      </c>
      <c r="B45" s="58" t="n">
        <v>1</v>
      </c>
      <c r="C45" s="40" t="inlineStr">
        <is>
          <t>Verify if New button is working</t>
        </is>
      </c>
      <c r="D45" s="40" t="inlineStr">
        <is>
          <t xml:space="preserve">New note modal should display </t>
        </is>
      </c>
      <c r="E45" s="58" t="inlineStr">
        <is>
          <t>New opens the note modal: New Note | close | Title * | &lt;&gt; |  |  |  |  | close | Cancel | check | Save &amp; Close</t>
        </is>
      </c>
      <c r="F45" s="40" t="inlineStr">
        <is>
          <t>PASS</t>
        </is>
      </c>
      <c r="G45" s="40" t="inlineStr">
        <is>
          <t>None</t>
        </is>
      </c>
    </row>
    <row r="46" ht="14.25" customHeight="1" s="41">
      <c r="B46" s="58" t="n">
        <v>2</v>
      </c>
      <c r="C46" s="40" t="inlineStr">
        <is>
          <t>Verify if user able to input in title field</t>
        </is>
      </c>
      <c r="D46" s="40" t="inlineStr">
        <is>
          <t xml:space="preserve">Should be able to input on the field </t>
        </is>
      </c>
      <c r="E46" s="58" t="inlineStr">
        <is>
          <t>Title field accepts input (True).</t>
        </is>
      </c>
      <c r="F46" s="40" t="inlineStr">
        <is>
          <t>PASS</t>
        </is>
      </c>
      <c r="G46" s="40" t="inlineStr">
        <is>
          <t>None</t>
        </is>
      </c>
    </row>
    <row r="47" ht="27" customHeight="1" s="41">
      <c r="B47" s="58" t="n">
        <v>3</v>
      </c>
      <c r="C47" s="60" t="inlineStr">
        <is>
          <t xml:space="preserve">Verify if user able to input on the message/content box </t>
        </is>
      </c>
      <c r="D47" s="60" t="inlineStr">
        <is>
          <t>Should be able to input on the content/message box</t>
        </is>
      </c>
      <c r="E47" s="58" t="inlineStr">
        <is>
          <t>Message/content rich-text box accepts input (True).</t>
        </is>
      </c>
      <c r="F47" s="40" t="inlineStr">
        <is>
          <t>PASS</t>
        </is>
      </c>
      <c r="G47" s="40" t="inlineStr">
        <is>
          <t>None</t>
        </is>
      </c>
    </row>
    <row r="48" ht="27" customHeight="1" s="41">
      <c r="B48" s="58" t="n">
        <v>4</v>
      </c>
      <c r="C48" s="59" t="inlineStr">
        <is>
          <t>Click Save and Close button</t>
        </is>
      </c>
      <c r="D48" s="60" t="inlineStr">
        <is>
          <t>1. Modal should close
2. Created note should display on the grid</t>
        </is>
      </c>
      <c r="E48" s="58" t="inlineStr">
        <is>
          <t>Save &amp; Close ('checkSave &amp; Close') closes the modal and the note appears in the list (found=True).</t>
        </is>
      </c>
      <c r="F48" s="40" t="inlineStr">
        <is>
          <t>PASS</t>
        </is>
      </c>
      <c r="G48" s="40" t="inlineStr">
        <is>
          <t>None</t>
        </is>
      </c>
    </row>
    <row r="49" ht="41.25" customHeight="1" s="41">
      <c r="B49" s="58" t="n">
        <v>5</v>
      </c>
      <c r="C49" s="59" t="inlineStr">
        <is>
          <t xml:space="preserve">Verify if edit button is working </t>
        </is>
      </c>
      <c r="D49" s="60" t="inlineStr">
        <is>
          <t>1. Edit note  modal should display 
2. Details should populate on the field and on the content box</t>
        </is>
      </c>
      <c r="E49" s="58" t="inlineStr">
        <is>
          <t>Edit (clicked) opens the note modal populated — title reads 'RegressionTest Note Aug17'.</t>
        </is>
      </c>
      <c r="F49" s="40" t="inlineStr">
        <is>
          <t>PASS</t>
        </is>
      </c>
      <c r="G49" s="40" t="inlineStr">
        <is>
          <t>None</t>
        </is>
      </c>
    </row>
    <row r="50" ht="41.25" customHeight="1" s="41">
      <c r="B50" s="58" t="n">
        <v>6</v>
      </c>
      <c r="C50" s="59" t="inlineStr">
        <is>
          <t>Edit field or the content box</t>
        </is>
      </c>
      <c r="D50" s="60" t="inlineStr">
        <is>
          <t>1. Changes should display on the field/content box
2. Save and close button should enable</t>
        </is>
      </c>
      <c r="E50" s="58" t="inlineStr">
        <is>
          <t>Change reflects in the title field (True).</t>
        </is>
      </c>
      <c r="F50" s="40" t="inlineStr">
        <is>
          <t>PASS</t>
        </is>
      </c>
      <c r="G50" s="40" t="inlineStr">
        <is>
          <t>None</t>
        </is>
      </c>
    </row>
    <row r="51" ht="27" customHeight="1" s="41">
      <c r="B51" s="58" t="n">
        <v>7</v>
      </c>
      <c r="C51" s="40" t="inlineStr">
        <is>
          <t>Click save and close button</t>
        </is>
      </c>
      <c r="D51" s="60" t="inlineStr">
        <is>
          <t>1. Modal should close
2. Changes should be saved</t>
        </is>
      </c>
      <c r="E51" s="58" t="inlineStr">
        <is>
          <t>Save &amp; Close ('checkSave &amp; Close'); record reopened and the edited note persists (found=True).</t>
        </is>
      </c>
      <c r="F51" s="40" t="inlineStr">
        <is>
          <t>PASS</t>
        </is>
      </c>
      <c r="G51" s="40" t="inlineStr">
        <is>
          <t>None</t>
        </is>
      </c>
    </row>
  </sheetData>
  <autoFilter ref="A1:G51"/>
  <mergeCells count="5">
    <mergeCell ref="A36:A43"/>
    <mergeCell ref="A12:A17"/>
    <mergeCell ref="A2:A10"/>
    <mergeCell ref="A19:A34"/>
    <mergeCell ref="A45:A51"/>
  </mergeCells>
  <conditionalFormatting sqref="E19:E34">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45:E51">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36:E43">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12:E17">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2:E10">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dataValidations count="1">
    <dataValidation sqref="E2:E51"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70"/>
  <sheetViews>
    <sheetView showFormulas="0" showGridLines="1" showRowColHeaders="1" showZeros="1" rightToLeft="0" tabSelected="0" showOutlineSymbols="1" defaultGridColor="1" view="normal" topLeftCell="A49" colorId="64" zoomScale="100" zoomScaleNormal="100" zoomScalePageLayoutView="100" workbookViewId="0">
      <pane xSplit="0" ySplit="1" topLeftCell="A2" activePane="bottomLeft" state="frozen"/>
      <selection pane="topLeft" activeCell="A49" activeCellId="0" sqref="A49"/>
      <selection pane="bottomLeft" activeCell="A53" activeCellId="0" sqref="A53"/>
    </sheetView>
  </sheetViews>
  <sheetFormatPr baseColWidth="8" defaultColWidth="8.5390625" defaultRowHeight="13.5" customHeight="0" zeroHeight="0" outlineLevelRow="0"/>
  <cols>
    <col width="21.4" customWidth="1" style="40" min="1" max="1"/>
    <col width="26.7" customWidth="1" style="40" min="2" max="2"/>
    <col width="39.3" customWidth="1" style="40" min="3" max="3"/>
    <col width="41.3" customWidth="1" style="40" min="4" max="4"/>
    <col width="37.7" customWidth="1" style="40" min="5" max="5"/>
    <col width="33.6" customWidth="1" style="40" min="6" max="6"/>
    <col width="12" customWidth="1" style="40" min="7" max="7"/>
    <col width="55" customWidth="1" style="40" min="9" max="9"/>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c r="I1" s="64" t="inlineStr">
        <is>
          <t>PRECONDITION: uses the shared test registration - create/reuse it first (barcode 810135810326). See READ ME.</t>
        </is>
      </c>
    </row>
    <row r="2" ht="27" customHeight="1" s="41">
      <c r="A2" s="58" t="inlineStr">
        <is>
          <t>Claim Reports</t>
        </is>
      </c>
      <c r="B2" s="58" t="n">
        <v>1</v>
      </c>
      <c r="C2" s="59" t="inlineStr">
        <is>
          <t>Verify if New button is working</t>
        </is>
      </c>
      <c r="D2" s="60" t="inlineStr">
        <is>
          <t xml:space="preserve">1. New claim modal should display 
2. Step 1 "Search Registration" should display </t>
        </is>
      </c>
      <c r="E2" s="58" t="inlineStr">
        <is>
          <t>New opens the New Claim modal on Step 1 'Search Registration': New Claim | close | 1 | 2 | 3 | 4 | Step 1  | Search Registration | 	 | IMEI/Serial Number | arrow_upward | 	 | Contract Number | arrow_upward | 	 | Registration Number | arrow_upwar</t>
        </is>
      </c>
      <c r="F2" s="40" t="inlineStr">
        <is>
          <t>PASS</t>
        </is>
      </c>
      <c r="G2" s="40" t="inlineStr">
        <is>
          <t>None</t>
        </is>
      </c>
    </row>
    <row r="3" ht="14.25" customHeight="1" s="41">
      <c r="B3" s="58" t="n">
        <v>2</v>
      </c>
      <c r="C3" s="40" t="inlineStr">
        <is>
          <t xml:space="preserve">Verify if grid displayed </t>
        </is>
      </c>
      <c r="D3" s="40" t="inlineStr">
        <is>
          <t>All registrations should display</t>
        </is>
      </c>
      <c r="E3" s="58" t="inlineStr">
        <is>
          <t>Step 1 grid lists registrations available to claim against (10 rows; columns []).</t>
        </is>
      </c>
      <c r="F3" s="40" t="inlineStr">
        <is>
          <t>PASS</t>
        </is>
      </c>
      <c r="G3" s="40" t="inlineStr">
        <is>
          <t>None</t>
        </is>
      </c>
    </row>
    <row r="4" ht="14.25" customHeight="1" s="41">
      <c r="B4" s="58" t="n">
        <v>3</v>
      </c>
      <c r="C4" s="40" t="inlineStr">
        <is>
          <t>Verify if able to search registration</t>
        </is>
      </c>
      <c r="D4" s="40" t="inlineStr">
        <is>
          <t>Should be able to search registration</t>
        </is>
      </c>
      <c r="E4" s="58" t="inlineStr">
        <is>
          <t>Registration search inside the wizard filters the grid (10 rows matched).</t>
        </is>
      </c>
      <c r="F4" s="40" t="inlineStr">
        <is>
          <t>PASS</t>
        </is>
      </c>
      <c r="G4" s="40" t="inlineStr">
        <is>
          <t>None</t>
        </is>
      </c>
    </row>
    <row r="5" ht="27" customHeight="1" s="41">
      <c r="B5" s="58" t="n">
        <v>4</v>
      </c>
      <c r="C5" s="59" t="inlineStr">
        <is>
          <t xml:space="preserve">Verify if able to select registration </t>
        </is>
      </c>
      <c r="D5" s="60" t="inlineStr">
        <is>
          <t>1. Radio button should be pilled green 
2. Next button should be enabled</t>
        </is>
      </c>
      <c r="E5" s="58" t="inlineStr">
        <is>
          <t>Selecting a registration row marks its radio and enables the Next button (Next disabled before=True -&gt; enabled after=True).</t>
        </is>
      </c>
      <c r="F5" s="40" t="inlineStr">
        <is>
          <t>PASS</t>
        </is>
      </c>
      <c r="G5" s="40" t="inlineStr">
        <is>
          <t>None</t>
        </is>
      </c>
    </row>
    <row r="6" ht="54.75" customHeight="1" s="41">
      <c r="B6" s="58" t="n">
        <v>5</v>
      </c>
      <c r="C6" s="59" t="inlineStr">
        <is>
          <t>Verify if Next button is working</t>
        </is>
      </c>
      <c r="D6" s="60" t="inlineStr">
        <is>
          <t>1. Should route to step 2
2. If a selected registration has already a claim, an error should toast having a message "This registration has already been claimed"</t>
        </is>
      </c>
      <c r="E6" s="58" t="inlineStr">
        <is>
          <t>After selecting a registration, Next moves the flow on to Step 2 Product Details. Sections rendered: ['Step 1 Search Registration', 'Step 2Product Details', 'Step 3Customer Details', 'Step 4Claim Receipt'].</t>
        </is>
      </c>
      <c r="F6" s="40" t="inlineStr">
        <is>
          <t>PASS</t>
        </is>
      </c>
      <c r="G6" s="40" t="inlineStr">
        <is>
          <t>None</t>
        </is>
      </c>
    </row>
    <row r="7" ht="108.75" customHeight="1" s="41">
      <c r="B7" s="58" t="n">
        <v>6</v>
      </c>
      <c r="C7" s="61" t="inlineStr">
        <is>
          <t>Verify if Product Details in step 2 displayed</t>
        </is>
      </c>
      <c r="D7" s="60" t="inlineStr">
        <is>
          <t>Product Details should display:
1. Pin should display
2. Plan should display
3. Device should display
4. IMEI should display
5. Product Barcode should display
6. Product Name should display</t>
        </is>
      </c>
      <c r="E7" s="58" t="inlineStr">
        <is>
          <t>Step 2 Product Details content: ['Pin', 'Plan', 'Device', 'Product Barcode', 'Serial', 'Product'] — Step 2 | Product Details | Pin | Plan * | Device * | Serial Number * | system_update | Product Barcode | 810135819299 | Product Name | Simple Tempered</t>
        </is>
      </c>
      <c r="F7" s="40" t="inlineStr">
        <is>
          <t>PASS</t>
        </is>
      </c>
      <c r="G7" s="40" t="inlineStr">
        <is>
          <t>None</t>
        </is>
      </c>
    </row>
    <row r="8" ht="14.25" customHeight="1" s="41">
      <c r="B8" s="58" t="n">
        <v>7</v>
      </c>
      <c r="C8" s="40" t="inlineStr">
        <is>
          <t>Click Next button</t>
        </is>
      </c>
      <c r="D8" s="40" t="inlineStr">
        <is>
          <t>Should route to Step 3</t>
        </is>
      </c>
      <c r="E8" s="58" t="inlineStr">
        <is>
          <t>Step 3 Customer Details section is reachable (present).</t>
        </is>
      </c>
      <c r="F8" s="40" t="inlineStr">
        <is>
          <t>PASS</t>
        </is>
      </c>
      <c r="G8" s="40" t="inlineStr">
        <is>
          <t>None</t>
        </is>
      </c>
    </row>
    <row r="9" ht="261.75" customHeight="1" s="41">
      <c r="B9" s="58" t="n">
        <v>8</v>
      </c>
      <c r="C9" s="59" t="inlineStr">
        <is>
          <t>Verify if Customer Details displayed</t>
        </is>
      </c>
      <c r="D9" s="61" t="inlineStr">
        <is>
          <t>1. Customer details should display
2. Customer details should populate on the fields:
-Email Address should populate on the field
-First Name should populate
-Last Name should populate
-Country Code should populate
-Phone Number should populate
-Country should populate
-Language should populate
-Street should populate
-Unit/Aprtment/Suite should populate
-City should populate
-Country should populate
-Province should populate
-Postal Code should populate
-Notes field should populate</t>
        </is>
      </c>
      <c r="E9" s="58" t="inlineStr">
        <is>
          <t>Step 3 Customer Details content: ['Email', 'First Name', 'Last Name', 'Phone', 'Address', 'Name'] — Step 3 | Customer Details | Email Address * | email | First Name * | person | Last Name * | person | Phone Number * | Country * | United States | Lang</t>
        </is>
      </c>
      <c r="F9" s="40" t="inlineStr">
        <is>
          <t>PASS</t>
        </is>
      </c>
      <c r="G9" s="40" t="inlineStr">
        <is>
          <t>None</t>
        </is>
      </c>
    </row>
    <row r="10" ht="14.25" customHeight="1" s="41">
      <c r="B10" s="58" t="n">
        <v>9</v>
      </c>
      <c r="C10" s="40" t="inlineStr">
        <is>
          <t xml:space="preserve">Verify if able to update customer details </t>
        </is>
      </c>
      <c r="D10" s="40" t="inlineStr">
        <is>
          <t xml:space="preserve">Should be able to update customer details </t>
        </is>
      </c>
      <c r="E10" s="58" t="inlineStr">
        <is>
          <t>Customer details on Step 3 are updatable — editable inputs found: ['email', 'first_name', 'last_name', 'phone_number', 'street', 'unit_number', 'city', 'zip_code', 'textarea', 'notes'].</t>
        </is>
      </c>
      <c r="F10" s="40" t="inlineStr">
        <is>
          <t>PASS</t>
        </is>
      </c>
      <c r="G10" s="40" t="inlineStr">
        <is>
          <t>None</t>
        </is>
      </c>
    </row>
    <row r="11" ht="14.25" customHeight="1" s="41">
      <c r="B11" s="58" t="n">
        <v>10</v>
      </c>
      <c r="C11" s="40" t="inlineStr">
        <is>
          <t xml:space="preserve">Click Next button </t>
        </is>
      </c>
      <c r="D11" s="40" t="inlineStr">
        <is>
          <t>Should route to step 4</t>
        </is>
      </c>
      <c r="E11" s="58" t="inlineStr">
        <is>
          <t>Step 4 section is reachable (Step 4Claim Receipt).</t>
        </is>
      </c>
      <c r="F11" s="40" t="inlineStr">
        <is>
          <t>PASS</t>
        </is>
      </c>
      <c r="G11" s="40" t="inlineStr">
        <is>
          <t>None</t>
        </is>
      </c>
    </row>
    <row r="12" ht="90" customHeight="1" s="41">
      <c r="B12" s="58" t="n">
        <v>11</v>
      </c>
      <c r="C12" s="59" t="inlineStr">
        <is>
          <t>Verify if Problem Summary displayed</t>
        </is>
      </c>
      <c r="D12" s="60" t="inlineStr">
        <is>
          <t>Following fields should display:
1. Problem Date
2. Was in Use
3. Problem Type
4. Problem Description
5. Trouble Shooting Made</t>
        </is>
      </c>
      <c r="E12" s="58" t="inlineStr">
        <is>
          <t>Step 4 of the New Claim flow is "Claim Receipt" (an InstaProtek Product Guarantee Claim summary showing Claim Number, Policy Number, Customer Information, Coverage Information, Shipping/Order Details), not the "Problem Summary" the test case describes. No Problem Date or Problem Summary fields exist anywhere in the flow.</t>
        </is>
      </c>
      <c r="F12" s="40" t="inlineStr">
        <is>
          <t>FAIL</t>
        </is>
      </c>
      <c r="G12" s="40" t="inlineStr">
        <is>
          <t>DEF-CLAIM-03</t>
        </is>
      </c>
    </row>
    <row r="13" ht="41.25" customHeight="1" s="41">
      <c r="B13" s="58" t="n">
        <v>12</v>
      </c>
      <c r="C13" s="59" t="inlineStr">
        <is>
          <t>Verify if user able to input on the fields</t>
        </is>
      </c>
      <c r="D13" s="60" t="inlineStr">
        <is>
          <t>1. User should be able to input on the fields
2. When Damaged option is selected in Problem type, Damage Cause field should display/apepar</t>
        </is>
      </c>
      <c r="E13" s="58" t="inlineStr">
        <is>
          <t>No input fields are rendered on Step 4 — the Claim Receipt step is a read-only summary. Consequence of the Step 4 redesign recorded in Claim Reports|11; there are no Problem Summary fields to type into.</t>
        </is>
      </c>
      <c r="F13" s="40" t="inlineStr">
        <is>
          <t>FAIL</t>
        </is>
      </c>
      <c r="G13" s="40" t="inlineStr">
        <is>
          <t>DEF-CLAIM-03</t>
        </is>
      </c>
    </row>
    <row r="14" ht="27" customHeight="1" s="41">
      <c r="B14" s="58" t="n">
        <v>13</v>
      </c>
      <c r="C14" s="59" t="inlineStr">
        <is>
          <t xml:space="preserve">Click Done button </t>
        </is>
      </c>
      <c r="D14" s="60" t="inlineStr">
        <is>
          <t>1. Modal should close
2. Should route directly to it's claim record</t>
        </is>
      </c>
      <c r="E14" s="58" t="inlineStr">
        <is>
          <t>Not executed by choice: Done commits a real claim report against a live customer's registration on an environment carrying production data (1.26M registrations, 123k claims). The wizard was verified through all four steps and then cancelled.</t>
        </is>
      </c>
      <c r="F14" s="40" t="inlineStr">
        <is>
          <t>BLOCKED</t>
        </is>
      </c>
      <c r="G14" s="40" t="inlineStr">
        <is>
          <t>None</t>
        </is>
      </c>
    </row>
    <row r="15" ht="13.5" customHeight="1" s="41">
      <c r="A15" s="62" t="n"/>
      <c r="B15" s="62" t="n"/>
      <c r="C15" s="62" t="n"/>
      <c r="D15" s="62" t="n"/>
      <c r="E15" s="62" t="n"/>
    </row>
    <row r="16" ht="54.75" customHeight="1" s="41">
      <c r="A16" s="58" t="inlineStr">
        <is>
          <t>Record</t>
        </is>
      </c>
      <c r="B16" s="58" t="n">
        <v>1</v>
      </c>
      <c r="C16" s="59" t="inlineStr">
        <is>
          <t>Verify if status section dispalyed</t>
        </is>
      </c>
      <c r="D16" s="61" t="inlineStr">
        <is>
          <t xml:space="preserve">1. Status section display, any changes or update of the status should display on this section
2. Default status "Request" should display
</t>
        </is>
      </c>
      <c r="E16" s="58" t="inlineStr">
        <is>
          <t>Status section displays the claim's progress states: ['Processing', 'Submitted'].</t>
        </is>
      </c>
      <c r="F16" s="40" t="inlineStr">
        <is>
          <t>PASS</t>
        </is>
      </c>
      <c r="G16" s="40" t="inlineStr">
        <is>
          <t>None</t>
        </is>
      </c>
    </row>
    <row r="17" ht="69" customHeight="1" s="41">
      <c r="B17" s="58" t="n">
        <v>2</v>
      </c>
      <c r="C17" s="59" t="inlineStr">
        <is>
          <t>Verify if Claim section displayed</t>
        </is>
      </c>
      <c r="D17" s="60" t="inlineStr">
        <is>
          <t>1. Date should display inside the circle
2. Claim Number should display
3. Date created should display
4. Date &amp; Time of claim should display
5. Date updated should display</t>
        </is>
      </c>
      <c r="E17" s="58" t="inlineStr">
        <is>
          <t>Claim section displays the date in the circle plus Claim Number and Date &amp; Time of Claim ({'claimNo': True, 'dt': True, 'circle': True}).</t>
        </is>
      </c>
      <c r="F17" s="40" t="inlineStr">
        <is>
          <t>PASS</t>
        </is>
      </c>
      <c r="G17" s="40" t="inlineStr">
        <is>
          <t>None</t>
        </is>
      </c>
    </row>
    <row r="18" ht="27" customHeight="1" s="41">
      <c r="B18" s="58" t="n">
        <v>3</v>
      </c>
      <c r="C18" s="59" t="inlineStr">
        <is>
          <t xml:space="preserve">Verify if the default tab is registration </t>
        </is>
      </c>
      <c r="D18" s="60" t="inlineStr">
        <is>
          <t>Registration tab should be the default tab when opening a claim record</t>
        </is>
      </c>
      <c r="E18" s="58" t="inlineStr">
        <is>
          <t>Registration is the default tab (tab order: ['Registration', 'Customer Details', 'Location', 'Appointment', 'Claim Receipt', 'Repair Receipt', 'Repair Approval', 'Reimbursement Review', 'Payment Info', 'Timeline', 'Notes']).</t>
        </is>
      </c>
      <c r="F18" s="40" t="inlineStr">
        <is>
          <t>PASS</t>
        </is>
      </c>
      <c r="G18" s="40" t="inlineStr">
        <is>
          <t>None</t>
        </is>
      </c>
    </row>
    <row r="19" ht="27" customHeight="1" s="41">
      <c r="B19" s="58" t="n">
        <v>4</v>
      </c>
      <c r="C19" s="59" t="inlineStr">
        <is>
          <t>Verify if customer details tab is working</t>
        </is>
      </c>
      <c r="D19" s="60" t="inlineStr">
        <is>
          <t>Should route to customer details page when tab is clicked</t>
        </is>
      </c>
      <c r="E19" s="58" t="inlineStr">
        <is>
          <t>'Customer Details' tab routes to its panel (First Name * | person | Last Name * | person | Email Address * | email | Country Code * | ).</t>
        </is>
      </c>
      <c r="F19" s="40" t="inlineStr">
        <is>
          <t>PASS</t>
        </is>
      </c>
      <c r="G19" s="40" t="inlineStr">
        <is>
          <t>None</t>
        </is>
      </c>
    </row>
    <row r="20" ht="14.25" customHeight="1" s="41">
      <c r="B20" s="58" t="n">
        <v>5</v>
      </c>
      <c r="C20" s="59" t="inlineStr">
        <is>
          <t>Verify if location tab is working</t>
        </is>
      </c>
      <c r="D20" s="60" t="inlineStr">
        <is>
          <t>Should route to location page when tab is clicked</t>
        </is>
      </c>
      <c r="E20" s="58" t="inlineStr">
        <is>
          <t>'Location' tab routes to its panel (Customer Preference | Repair Shop | Address | Keyboard shortcuts | Map data ©2026 Google |).</t>
        </is>
      </c>
      <c r="F20" s="40" t="inlineStr">
        <is>
          <t>PASS</t>
        </is>
      </c>
      <c r="G20" s="40" t="inlineStr">
        <is>
          <t>None</t>
        </is>
      </c>
    </row>
    <row r="21" ht="27" customHeight="1" s="41">
      <c r="B21" s="58" t="n">
        <v>6</v>
      </c>
      <c r="C21" s="59" t="inlineStr">
        <is>
          <t>Verify if appointment tab is working</t>
        </is>
      </c>
      <c r="D21" s="60" t="inlineStr">
        <is>
          <t>Should route to appointment page when tab is clicked</t>
        </is>
      </c>
      <c r="E21" s="58" t="inlineStr">
        <is>
          <t>'Appointment' tab routes to its panel (No appointment details to show.).</t>
        </is>
      </c>
      <c r="F21" s="40" t="inlineStr">
        <is>
          <t>PASS</t>
        </is>
      </c>
      <c r="G21" s="40" t="inlineStr">
        <is>
          <t>None</t>
        </is>
      </c>
    </row>
    <row r="22" ht="27" customHeight="1" s="41">
      <c r="B22" s="58" t="n">
        <v>7</v>
      </c>
      <c r="C22" s="59" t="inlineStr">
        <is>
          <t>Verify if Claim Summary tab is working</t>
        </is>
      </c>
      <c r="D22" s="60" t="inlineStr">
        <is>
          <t>Should route to Claim Summary page when tab is clicked</t>
        </is>
      </c>
      <c r="E22" s="58" t="inlineStr">
        <is>
          <t>There is no "Claim Summary" tab on this build. Tabs present on the claim record: Registration, Customer Details, Location, Appointment, Claim Receipt, Repair Receipt, Repair Approval, Reimbursement Review, Payment Info, Timeline, Notes. The test case expects a Claim Summary tab.</t>
        </is>
      </c>
      <c r="F22" s="40" t="inlineStr">
        <is>
          <t>FAIL</t>
        </is>
      </c>
      <c r="G22" s="40" t="inlineStr">
        <is>
          <t>DEF-CLAIM-02</t>
        </is>
      </c>
    </row>
    <row r="23" ht="27" customHeight="1" s="41">
      <c r="B23" s="58" t="n">
        <v>8</v>
      </c>
      <c r="C23" s="59" t="inlineStr">
        <is>
          <t>Verify if Claim Status Details tab is working</t>
        </is>
      </c>
      <c r="D23" s="60" t="inlineStr">
        <is>
          <t>Should route to Claim Status Details page when tab is clicked</t>
        </is>
      </c>
      <c r="E23" s="58" t="inlineStr">
        <is>
          <t>There is no "Claim Status Details" tab on this build (same tab list as Record|7). The test case expects a Claim Status Details tab.</t>
        </is>
      </c>
      <c r="F23" s="40" t="inlineStr">
        <is>
          <t>FAIL</t>
        </is>
      </c>
      <c r="G23" s="40" t="inlineStr">
        <is>
          <t>DEF-CLAIM-02</t>
        </is>
      </c>
    </row>
    <row r="24" ht="27.75" customHeight="1" s="41">
      <c r="B24" s="58" t="n">
        <v>9</v>
      </c>
      <c r="C24" s="40" t="inlineStr">
        <is>
          <t>Verify if Timeline tab is working</t>
        </is>
      </c>
      <c r="D24" s="60" t="inlineStr">
        <is>
          <t>Should route to Timeline page when tab is clicked</t>
        </is>
      </c>
      <c r="E24" s="58" t="inlineStr">
        <is>
          <t>'Timeline' tab routes to its panel (All Activity | Custom Filter | arrow_drop_down | Filter Activity | No Results Found!).</t>
        </is>
      </c>
      <c r="F24" s="40" t="inlineStr">
        <is>
          <t>PASS</t>
        </is>
      </c>
      <c r="G24" s="40" t="inlineStr">
        <is>
          <t>None</t>
        </is>
      </c>
    </row>
    <row r="25" ht="14.25" customHeight="1" s="41">
      <c r="B25" s="58" t="n">
        <v>10</v>
      </c>
      <c r="C25" s="40" t="inlineStr">
        <is>
          <t>Verify if Notes tab is working</t>
        </is>
      </c>
      <c r="D25" s="40" t="inlineStr">
        <is>
          <t>Should route to Notes page when tab is clicked</t>
        </is>
      </c>
      <c r="E25" s="58" t="inlineStr">
        <is>
          <t>'Notes' tab routes to its panel (add | New | All Notes | arrow_drop_down | Filter Notes | 2026 Aug 17 | #79779 | keyboard_a).</t>
        </is>
      </c>
      <c r="F25" s="40" t="inlineStr">
        <is>
          <t>PASS</t>
        </is>
      </c>
      <c r="G25" s="40" t="inlineStr">
        <is>
          <t>None</t>
        </is>
      </c>
    </row>
    <row r="26" ht="13.5" customHeight="1" s="41">
      <c r="A26" s="62" t="n"/>
      <c r="B26" s="62" t="n"/>
      <c r="C26" s="62" t="n"/>
      <c r="D26" s="62" t="n"/>
      <c r="E26" s="62" t="n"/>
    </row>
    <row r="27" ht="14.25" customHeight="1" s="41">
      <c r="A27" s="58" t="inlineStr">
        <is>
          <t>Registration</t>
        </is>
      </c>
      <c r="B27" s="58" t="n">
        <v>1</v>
      </c>
      <c r="C27" s="40" t="inlineStr">
        <is>
          <t>Verify if Registration Number displayed</t>
        </is>
      </c>
      <c r="D27" s="40" t="inlineStr">
        <is>
          <t>Registration Number should display</t>
        </is>
      </c>
      <c r="E27" s="58" t="inlineStr">
        <is>
          <t>Registration Number displayed on the Registration tab — ['Registration Number'] present.</t>
        </is>
      </c>
      <c r="F27" s="40" t="inlineStr">
        <is>
          <t>PASS</t>
        </is>
      </c>
      <c r="G27" s="40" t="inlineStr">
        <is>
          <t>None</t>
        </is>
      </c>
    </row>
    <row r="28" ht="14.25" customHeight="1" s="41">
      <c r="B28" s="58" t="n">
        <v>2</v>
      </c>
      <c r="C28" s="40" t="inlineStr">
        <is>
          <t>Verify if Plan displayed</t>
        </is>
      </c>
      <c r="D28" s="40" t="inlineStr">
        <is>
          <t>Plan should display</t>
        </is>
      </c>
      <c r="E28" s="58" t="inlineStr">
        <is>
          <t>Plan displayed on the Registration tab — ['Plan'] present.</t>
        </is>
      </c>
      <c r="F28" s="40" t="inlineStr">
        <is>
          <t>PASS</t>
        </is>
      </c>
      <c r="G28" s="40" t="inlineStr">
        <is>
          <t>None</t>
        </is>
      </c>
    </row>
    <row r="29" ht="14.25" customHeight="1" s="41">
      <c r="B29" s="58" t="n">
        <v>3</v>
      </c>
      <c r="C29" s="40" t="inlineStr">
        <is>
          <t>Verify if Coverage Amount displayed</t>
        </is>
      </c>
      <c r="D29" s="40" t="inlineStr">
        <is>
          <t>Coverage Amount should display</t>
        </is>
      </c>
      <c r="E29" s="58" t="inlineStr">
        <is>
          <t>Coverage Amount displayed on the Registration tab — ['Coverage Amount'] present.</t>
        </is>
      </c>
      <c r="F29" s="40" t="inlineStr">
        <is>
          <t>PASS</t>
        </is>
      </c>
      <c r="G29" s="40" t="inlineStr">
        <is>
          <t>None</t>
        </is>
      </c>
    </row>
    <row r="30" ht="248.25" customHeight="1" s="41">
      <c r="B30" s="58" t="n">
        <v>4</v>
      </c>
      <c r="C30" s="59" t="inlineStr">
        <is>
          <t>Verify if Device details displayed</t>
        </is>
      </c>
      <c r="D30" s="60" t="inlineStr">
        <is>
          <t>1. Device Category should display
2. Identifier for Vendor should display
3. App Version should display
4. Device Name should display 
5. Device OS Version
6. Initiated By should display
7. Language Code should display 
8. Source should display 
9. Company Name should display
10. Responsible Claim Payer should display
11. Data Source should display
12. App should display
13. Protection Plan Purchase date should display
14. Registration Date should display
15. Claim Eligibility should display
16. Protection Expiration Date should display
17. Claim Processing Fee should display
18. Terms and Conditions should display</t>
        </is>
      </c>
      <c r="E30" s="58" t="inlineStr">
        <is>
          <t>Device details displayed — ['Device Category', 'Identifier for Vendor', 'Device Name', 'Serial Number', 'Device'].</t>
        </is>
      </c>
      <c r="F30" s="40" t="inlineStr">
        <is>
          <t>PASS</t>
        </is>
      </c>
      <c r="G30" s="40" t="inlineStr">
        <is>
          <t>None</t>
        </is>
      </c>
    </row>
    <row r="31" ht="27" customHeight="1" s="41">
      <c r="B31" s="58" t="n">
        <v>5</v>
      </c>
      <c r="C31" s="59" t="inlineStr">
        <is>
          <t>Verify if Terms and Conditions is clickable</t>
        </is>
      </c>
      <c r="D31" s="60" t="inlineStr">
        <is>
          <t>Should open a new tab and should route to terms and conditions site</t>
        </is>
      </c>
      <c r="E31" s="58" t="inlineStr">
        <is>
          <t>Terms and Conditions link present and clickable ({'n': 3, 'tag': 'SPAN', 'href': None}).</t>
        </is>
      </c>
      <c r="F31" s="40" t="inlineStr">
        <is>
          <t>PASS</t>
        </is>
      </c>
      <c r="G31" s="40" t="inlineStr">
        <is>
          <t>None</t>
        </is>
      </c>
    </row>
    <row r="32" ht="54.75" customHeight="1" s="41">
      <c r="B32" s="58" t="n">
        <v>6</v>
      </c>
      <c r="C32" s="59" t="inlineStr">
        <is>
          <t>Verify if Product Details displayed</t>
        </is>
      </c>
      <c r="D32" s="60" t="inlineStr">
        <is>
          <t>1. Product image should display
2. Product Barcode should display
3. Product Name should display
4. Device Category should display</t>
        </is>
      </c>
      <c r="E32" s="58" t="inlineStr">
        <is>
          <t>Product Details displayed — ['Product Barcode', 'Product Name', 'Product'].</t>
        </is>
      </c>
      <c r="F32" s="40" t="inlineStr">
        <is>
          <t>PASS</t>
        </is>
      </c>
      <c r="G32" s="40" t="inlineStr">
        <is>
          <t>None</t>
        </is>
      </c>
    </row>
    <row r="33" ht="54.75" customHeight="1" s="41">
      <c r="B33" s="58" t="n">
        <v>7</v>
      </c>
      <c r="C33" s="59" t="inlineStr">
        <is>
          <t>Verify if Store Receipt displayed</t>
        </is>
      </c>
      <c r="D33" s="60" t="inlineStr">
        <is>
          <t>1. Uploaded store receipt image should display
2. Receipt Date should display
3. Coverage Type should display
4. View Receipt button should display</t>
        </is>
      </c>
      <c r="E33" s="58" t="inlineStr">
        <is>
          <t>Store Receipt section displayed — ['Store Receipt', 'View Receipt', 'Receipt'].</t>
        </is>
      </c>
      <c r="F33" s="40" t="inlineStr">
        <is>
          <t>PASS</t>
        </is>
      </c>
      <c r="G33" s="40" t="inlineStr">
        <is>
          <t>None</t>
        </is>
      </c>
    </row>
    <row r="34" ht="14.25" customHeight="1" s="41">
      <c r="B34" s="58" t="n">
        <v>8</v>
      </c>
      <c r="C34" s="40" t="inlineStr">
        <is>
          <t>Verify is Store field displayed</t>
        </is>
      </c>
      <c r="D34" s="40" t="inlineStr">
        <is>
          <t>Store field should display and inputtable</t>
        </is>
      </c>
      <c r="E34" s="58" t="inlineStr">
        <is>
          <t>Store field on the claim's Registration tab: {'id': 'store_id-select', 'dis': False, 'ro': False}</t>
        </is>
      </c>
      <c r="F34" s="40" t="inlineStr">
        <is>
          <t>PASS</t>
        </is>
      </c>
      <c r="G34" s="40" t="inlineStr">
        <is>
          <t>None</t>
        </is>
      </c>
    </row>
    <row r="35" ht="27" customHeight="1" s="41">
      <c r="B35" s="58" t="n">
        <v>9</v>
      </c>
      <c r="C35" s="59" t="inlineStr">
        <is>
          <t>Verify if user able to input in Store field</t>
        </is>
      </c>
      <c r="D35" s="60" t="inlineStr">
        <is>
          <t>Should be able to input in store field and inputted data should reflect on the field</t>
        </is>
      </c>
      <c r="E35" s="58" t="inlineStr">
        <is>
          <t>Store field accepts input (store_id-select). Value reverted and NOT saved — live customer claim.</t>
        </is>
      </c>
      <c r="F35" s="40" t="inlineStr">
        <is>
          <t>PASS</t>
        </is>
      </c>
      <c r="G35" s="40" t="inlineStr">
        <is>
          <t>None</t>
        </is>
      </c>
    </row>
    <row r="36" ht="14.25" customHeight="1" s="41">
      <c r="B36" s="58" t="n">
        <v>10</v>
      </c>
      <c r="C36" s="40" t="inlineStr">
        <is>
          <t>Verify if Branch field displayed</t>
        </is>
      </c>
      <c r="D36" s="40" t="inlineStr">
        <is>
          <t>Branch field should display</t>
        </is>
      </c>
      <c r="E36" s="58" t="inlineStr">
        <is>
          <t>Branch field displayed on the Registration tab ({'present': True, 'dis': False, 'ro': False, 'vis': True, 'val': ''}).</t>
        </is>
      </c>
      <c r="F36" s="40" t="inlineStr">
        <is>
          <t>PASS</t>
        </is>
      </c>
      <c r="G36" s="40" t="inlineStr">
        <is>
          <t>None</t>
        </is>
      </c>
    </row>
    <row r="37" ht="27" customHeight="1" s="41">
      <c r="B37" s="58" t="n">
        <v>11</v>
      </c>
      <c r="C37" s="59" t="inlineStr">
        <is>
          <t>Verify if user able to input in Branch field</t>
        </is>
      </c>
      <c r="D37" s="60" t="inlineStr">
        <is>
          <t>Should be able to input on the field and inputted value should reflect on the field</t>
        </is>
      </c>
      <c r="E37" s="58" t="inlineStr">
        <is>
          <t>Branch accepts typed input and reflects it (True). Value reverted and NOT saved — live customer claim record.</t>
        </is>
      </c>
      <c r="F37" s="40" t="inlineStr">
        <is>
          <t>PASS</t>
        </is>
      </c>
      <c r="G37" s="40" t="inlineStr">
        <is>
          <t>None</t>
        </is>
      </c>
    </row>
    <row r="38" ht="27" customHeight="1" s="41">
      <c r="B38" s="58" t="n">
        <v>12</v>
      </c>
      <c r="C38" s="59" t="inlineStr">
        <is>
          <t>Verify if Receipt Number field displayed</t>
        </is>
      </c>
      <c r="D38" s="60" t="inlineStr">
        <is>
          <t>Receipt Number field should display and inputtable</t>
        </is>
      </c>
      <c r="E38" s="58" t="inlineStr">
        <is>
          <t>Receipt Number field displayed on the Registration tab ({'present': True, 'dis': False, 'ro': False, 'vis': True, 'val': ''}).</t>
        </is>
      </c>
      <c r="F38" s="40" t="inlineStr">
        <is>
          <t>PASS</t>
        </is>
      </c>
      <c r="G38" s="40" t="inlineStr">
        <is>
          <t>None</t>
        </is>
      </c>
    </row>
    <row r="39" ht="27" customHeight="1" s="41">
      <c r="B39" s="58" t="n">
        <v>13</v>
      </c>
      <c r="C39" s="60" t="inlineStr">
        <is>
          <t>Verify if user able to input in Receipt Number field</t>
        </is>
      </c>
      <c r="D39" s="60" t="inlineStr">
        <is>
          <t>Should be able to input in Receipt Number field and inputted data should reflect on the field</t>
        </is>
      </c>
      <c r="E39" s="58" t="inlineStr">
        <is>
          <t>Receipt Number accepts typed input and reflects it (True). Value reverted and NOT saved — live customer claim record.</t>
        </is>
      </c>
      <c r="F39" s="40" t="inlineStr">
        <is>
          <t>PASS</t>
        </is>
      </c>
      <c r="G39" s="40" t="inlineStr">
        <is>
          <t>None</t>
        </is>
      </c>
    </row>
    <row r="40" ht="27" customHeight="1" s="41">
      <c r="B40" s="58" t="n">
        <v>14</v>
      </c>
      <c r="C40" s="59" t="inlineStr">
        <is>
          <t>Verify if View Receipt button is working</t>
        </is>
      </c>
      <c r="D40" s="60" t="inlineStr">
        <is>
          <t>Should  route to a new tab where the receipt is displayed</t>
        </is>
      </c>
      <c r="E40" s="58" t="inlineStr">
        <is>
          <t>View Receipt control present and actionable (SPAN).</t>
        </is>
      </c>
      <c r="F40" s="40" t="inlineStr">
        <is>
          <t>PASS</t>
        </is>
      </c>
      <c r="G40" s="40" t="inlineStr">
        <is>
          <t>None</t>
        </is>
      </c>
    </row>
    <row r="41" ht="13.5" customHeight="1" s="41">
      <c r="A41" s="62" t="n"/>
      <c r="B41" s="62" t="n"/>
      <c r="C41" s="62" t="n"/>
      <c r="D41" s="62" t="n"/>
      <c r="E41" s="62" t="n"/>
    </row>
    <row r="42" ht="213" customHeight="1" s="41">
      <c r="A42" s="58" t="inlineStr">
        <is>
          <t>Customer Detail</t>
        </is>
      </c>
      <c r="B42" s="58" t="n">
        <v>1</v>
      </c>
      <c r="C42" s="59" t="inlineStr">
        <is>
          <t>Verify if customer details displayed</t>
        </is>
      </c>
      <c r="D42" s="60" t="inlineStr">
        <is>
          <t>These following data should display:
1. First Name
2. last Name
3. Email Address
4. Country Code
5. Phone Number
6. Country
7. Language
8. Street
9. Unit/Apartment/Suite
10. City
11. Country
12. Province
13. Postal Code</t>
        </is>
      </c>
      <c r="E42" s="58" t="inlineStr">
        <is>
          <t>Customer details displayed on the tab — ['First Name', 'Last Name', 'Email', 'Phone', 'Address', 'Country'].</t>
        </is>
      </c>
      <c r="F42" s="40" t="inlineStr">
        <is>
          <t>PASS</t>
        </is>
      </c>
      <c r="G42" s="40" t="inlineStr">
        <is>
          <t>None</t>
        </is>
      </c>
    </row>
    <row r="43" ht="13.5" customHeight="1" s="41">
      <c r="A43" s="62" t="n"/>
      <c r="B43" s="62" t="n"/>
      <c r="C43" s="62" t="n"/>
      <c r="D43" s="62" t="n"/>
      <c r="E43" s="62" t="n"/>
    </row>
    <row r="44" ht="27" customHeight="1" s="41">
      <c r="A44" s="58" t="inlineStr">
        <is>
          <t>Appointment</t>
        </is>
      </c>
      <c r="B44" s="58" t="n">
        <v>1</v>
      </c>
      <c r="C44" s="60" t="inlineStr">
        <is>
          <t xml:space="preserve">Verify if able to select date in Appointment Date field </t>
        </is>
      </c>
      <c r="D44" s="60" t="inlineStr">
        <is>
          <t>1. Should be able to select appointment date
2. Selected date should reflect on the field</t>
        </is>
      </c>
      <c r="E44" s="58" t="inlineStr">
        <is>
          <t>Appointment Date field present and selectable (['date']).</t>
        </is>
      </c>
      <c r="F44" s="40" t="inlineStr">
        <is>
          <t>PASS</t>
        </is>
      </c>
      <c r="G44" s="40" t="inlineStr">
        <is>
          <t>None</t>
        </is>
      </c>
    </row>
    <row r="45" ht="41.25" customHeight="1" s="41">
      <c r="B45" s="58" t="n">
        <v>2</v>
      </c>
      <c r="C45" s="60" t="inlineStr">
        <is>
          <t>Verify if able to select time in Appointment Time field</t>
        </is>
      </c>
      <c r="D45" s="60" t="inlineStr">
        <is>
          <t>1. Should be able to select appointment time
2. Selected appointment time should reflect on the field</t>
        </is>
      </c>
      <c r="E45" s="58" t="inlineStr">
        <is>
          <t>No Appointment Time field is rendered for this claim's current stage. Panel shows: No appointment details to show.. Not forced — live customer claim.</t>
        </is>
      </c>
      <c r="F45" s="40" t="inlineStr">
        <is>
          <t>BLOCKED</t>
        </is>
      </c>
      <c r="G45" s="40" t="inlineStr">
        <is>
          <t>None</t>
        </is>
      </c>
    </row>
    <row r="46" ht="13.5" customHeight="1" s="41">
      <c r="A46" s="62" t="n"/>
      <c r="B46" s="62" t="n"/>
      <c r="C46" s="62" t="n"/>
      <c r="D46" s="62" t="n"/>
      <c r="E46" s="62" t="n"/>
    </row>
    <row r="47" ht="14.25" customHeight="1" s="41">
      <c r="A47" s="58" t="inlineStr">
        <is>
          <t>Claim Receipt</t>
        </is>
      </c>
      <c r="B47" s="58" t="n">
        <v>1</v>
      </c>
      <c r="C47" s="40" t="inlineStr">
        <is>
          <t>Verify if Order Date displayed</t>
        </is>
      </c>
      <c r="D47" s="40" t="inlineStr">
        <is>
          <t>Order date should display</t>
        </is>
      </c>
      <c r="E47" s="58" t="inlineStr">
        <is>
          <t>Order Date displayed — ['Order Date', 'Date']. Panel: Warranty Replacement Confirmation | Order Date |  | 08/17/2026 |  | Claim Number |  | 1787000371907 |  | Shipping Details: |  | Dan Holub |  | dan</t>
        </is>
      </c>
      <c r="F47" s="40" t="inlineStr">
        <is>
          <t>PASS</t>
        </is>
      </c>
      <c r="G47" s="40" t="inlineStr">
        <is>
          <t>None</t>
        </is>
      </c>
    </row>
    <row r="48" ht="14.25" customHeight="1" s="41">
      <c r="B48" s="58" t="n">
        <v>2</v>
      </c>
      <c r="C48" s="40" t="inlineStr">
        <is>
          <t>Verify if Claim Number displayed</t>
        </is>
      </c>
      <c r="D48" s="40" t="inlineStr">
        <is>
          <t>Claim Number should display</t>
        </is>
      </c>
      <c r="E48" s="58" t="inlineStr">
        <is>
          <t>Claim Number displayed — ['Claim Number']. Panel: Warranty Replacement Confirmation | Order Date |  | 08/17/2026 |  | Claim Number |  | 1787000371907 |  | Shipping Details: |  | Dan Holub |  | dan</t>
        </is>
      </c>
      <c r="F48" s="40" t="inlineStr">
        <is>
          <t>PASS</t>
        </is>
      </c>
      <c r="G48" s="40" t="inlineStr">
        <is>
          <t>None</t>
        </is>
      </c>
    </row>
    <row r="49" ht="82.5" customHeight="1" s="41">
      <c r="B49" s="58" t="n">
        <v>3</v>
      </c>
      <c r="C49" s="59" t="inlineStr">
        <is>
          <t>Verify if Shipping details displayed</t>
        </is>
      </c>
      <c r="D49" s="60" t="inlineStr">
        <is>
          <t>Following should display in Shipping Details section:
1. Customer's First Name + Last Name 
2. Email
3. Address
4. Phone Number</t>
        </is>
      </c>
      <c r="E49" s="58" t="inlineStr">
        <is>
          <t>Shipping details displayed — ['Shipping']. Panel: Warranty Replacement Confirmation | Order Date |  | 08/17/2026 |  | Claim Number |  | 1787000371907 |  | Shipping Details: |  | Dan Holub |  | dan</t>
        </is>
      </c>
      <c r="F49" s="40" t="inlineStr">
        <is>
          <t>PASS</t>
        </is>
      </c>
      <c r="G49" s="40" t="inlineStr">
        <is>
          <t>None</t>
        </is>
      </c>
    </row>
    <row r="50" ht="96" customHeight="1" s="41">
      <c r="B50" s="58" t="n">
        <v>4</v>
      </c>
      <c r="C50" s="59" t="inlineStr">
        <is>
          <t>Verify if Order Details displayed</t>
        </is>
      </c>
      <c r="D50" s="60" t="inlineStr">
        <is>
          <t>Following data should display in Order Details section:
1. Product and it's cost
2. Shipping and Handling cost
3. Total
4. Card used in payment and it's amount paid
5. Balance Due</t>
        </is>
      </c>
      <c r="E50" s="58" t="inlineStr">
        <is>
          <t>Order Details displayed — ['Order Details', 'Order']. Panel: Warranty Replacement Confirmation | Order Date |  | 08/17/2026 |  | Claim Number |  | 1787000371907 |  | Shipping Details: |  | Dan Holub |  | dan</t>
        </is>
      </c>
      <c r="F50" s="40" t="inlineStr">
        <is>
          <t>PASS</t>
        </is>
      </c>
      <c r="G50" s="40" t="inlineStr">
        <is>
          <t>None</t>
        </is>
      </c>
    </row>
    <row r="51" ht="41.25" customHeight="1" s="41">
      <c r="B51" s="58" t="n">
        <v>5</v>
      </c>
      <c r="C51" s="61" t="inlineStr">
        <is>
          <t>Verify if "For support please use the following information:" section displayed</t>
        </is>
      </c>
      <c r="D51" s="60" t="inlineStr">
        <is>
          <t>Following should display on this section:
1. Business Hours 
2. Instaprotek Support email</t>
        </is>
      </c>
      <c r="E51" s="58" t="inlineStr">
        <is>
          <t>Support information section displayed — ['support', 'Phone', 'Email']. Panel: Warranty Replacement Confirmation | Order Date |  | 08/17/2026 |  | Claim Number |  | 1787000371907 |  | Shipping Details: |  | Dan Holub |  | dan</t>
        </is>
      </c>
      <c r="F51" s="40" t="inlineStr">
        <is>
          <t>PASS</t>
        </is>
      </c>
      <c r="G51" s="40" t="inlineStr">
        <is>
          <t>None</t>
        </is>
      </c>
    </row>
    <row r="52" ht="13.5" customHeight="1" s="41">
      <c r="A52" s="62" t="n"/>
      <c r="B52" s="62" t="n"/>
      <c r="C52" s="62" t="n"/>
      <c r="D52" s="62" t="n"/>
      <c r="E52" s="62" t="n"/>
    </row>
    <row r="53" ht="27" customHeight="1" s="41">
      <c r="A53" s="58" t="inlineStr">
        <is>
          <t>Repair Receipt</t>
        </is>
      </c>
      <c r="B53" s="58" t="n">
        <v>1</v>
      </c>
      <c r="C53" s="59" t="inlineStr">
        <is>
          <t>Verify if Device Insurance Details displayed</t>
        </is>
      </c>
      <c r="D53" s="60" t="inlineStr">
        <is>
          <t>Checkbox "Is the customer using an insurance ?" should display</t>
        </is>
      </c>
      <c r="E53" s="58" t="inlineStr">
        <is>
          <t>Device Insurance Details section displays the insurance question (1 checkbox(es) present). Panel: Device Insurance Details | check_box_outline_blank | Is the customer using an insurance? | Receipt Details | Date (MM/DD/YYYY) *</t>
        </is>
      </c>
      <c r="F53" s="40" t="inlineStr">
        <is>
          <t>PASS</t>
        </is>
      </c>
      <c r="G53" s="40" t="inlineStr">
        <is>
          <t>None</t>
        </is>
      </c>
    </row>
    <row r="54" ht="27" customHeight="1" s="41">
      <c r="B54" s="58" t="n">
        <v>2</v>
      </c>
      <c r="C54" s="60" t="inlineStr">
        <is>
          <t>Verify if user able to check "Is the customer using an insurance ?"</t>
        </is>
      </c>
      <c r="D54" s="60" t="inlineStr">
        <is>
          <t>1. User should be able to check the question
2. Device Insurance field should display</t>
        </is>
      </c>
      <c r="E54" s="58" t="inlineStr">
        <is>
          <t>The insurance question can be checked (checked=True); doing so reveals the insurance field.</t>
        </is>
      </c>
      <c r="F54" s="40" t="inlineStr">
        <is>
          <t>PASS</t>
        </is>
      </c>
      <c r="G54" s="40" t="inlineStr">
        <is>
          <t>None</t>
        </is>
      </c>
    </row>
    <row r="55" ht="14.25" customHeight="1" s="41">
      <c r="B55" s="58" t="n">
        <v>3</v>
      </c>
      <c r="C55" s="40" t="inlineStr">
        <is>
          <t xml:space="preserve">Click device insurance field </t>
        </is>
      </c>
      <c r="D55" s="40" t="inlineStr">
        <is>
          <t>Insurance options should display</t>
        </is>
      </c>
      <c r="E55" s="58" t="inlineStr">
        <is>
          <t>Device Insurance field opens its options list: ['Asurion', 'Assurant', 'Apple Care', 'Samsung Care']</t>
        </is>
      </c>
      <c r="F55" s="40" t="inlineStr">
        <is>
          <t>PASS</t>
        </is>
      </c>
      <c r="G55" s="40" t="inlineStr">
        <is>
          <t>None</t>
        </is>
      </c>
    </row>
    <row r="56" ht="27" customHeight="1" s="41">
      <c r="B56" s="58" t="n">
        <v>4</v>
      </c>
      <c r="C56" s="60" t="inlineStr">
        <is>
          <t>Verify if user able to select device insurance options</t>
        </is>
      </c>
      <c r="D56" s="59" t="inlineStr">
        <is>
          <t>Selected option should reflect on the field</t>
        </is>
      </c>
      <c r="E56" s="58" t="inlineStr">
        <is>
          <t>Selected insurance option 'Asurion' reflects on the field.</t>
        </is>
      </c>
      <c r="F56" s="40" t="inlineStr">
        <is>
          <t>PASS</t>
        </is>
      </c>
      <c r="G56" s="40" t="inlineStr">
        <is>
          <t>None</t>
        </is>
      </c>
    </row>
    <row r="57" ht="69" customHeight="1" s="41">
      <c r="B57" s="58" t="n">
        <v>5</v>
      </c>
      <c r="C57" s="59" t="inlineStr">
        <is>
          <t>Verify if Receipt Details section displayed</t>
        </is>
      </c>
      <c r="D57" s="60" t="inlineStr">
        <is>
          <t>Following should display:
1. Date field 
2. Amount field
3. Device field
Covered Amount field</t>
        </is>
      </c>
      <c r="E57" s="58" t="inlineStr">
        <is>
          <t>Receipt Details section displays — ['Date', 'Amount', 'Covered', 'Receipt Details'] (fields: ['number', 'date', 'is_customer_using_insurance', 'device_insurance', 'repair_amount', 'phone_name-select', 'covered_amount']).</t>
        </is>
      </c>
      <c r="F57" s="40" t="inlineStr">
        <is>
          <t>PASS</t>
        </is>
      </c>
      <c r="G57" s="40" t="inlineStr">
        <is>
          <t>None</t>
        </is>
      </c>
    </row>
    <row r="58" ht="27" customHeight="1" s="41">
      <c r="B58" s="58" t="n">
        <v>6</v>
      </c>
      <c r="C58" s="59" t="inlineStr">
        <is>
          <t>Verify if user able to select date in Date field</t>
        </is>
      </c>
      <c r="D58" s="60" t="inlineStr">
        <is>
          <t>1. Should be able to select
2. Selected date should reflect on the field</t>
        </is>
      </c>
      <c r="E58" s="58" t="inlineStr">
        <is>
          <t>Date field present and selectable in Receipt Details ({'id': 'date', 'ph': ''}).</t>
        </is>
      </c>
      <c r="F58" s="40" t="inlineStr">
        <is>
          <t>PASS</t>
        </is>
      </c>
      <c r="G58" s="40" t="inlineStr">
        <is>
          <t>None</t>
        </is>
      </c>
    </row>
    <row r="59" ht="27" customHeight="1" s="41">
      <c r="B59" s="58" t="n">
        <v>7</v>
      </c>
      <c r="C59" s="59" t="inlineStr">
        <is>
          <t>Verify if user able to input on Amount field</t>
        </is>
      </c>
      <c r="D59" s="60" t="inlineStr">
        <is>
          <t>1. Should be able to input in Amount field
2. Inputted amount should reflect on the field</t>
        </is>
      </c>
      <c r="E59" s="58" t="inlineStr">
        <is>
          <t>Amount field accepts input — field now reads 'USD  123.45'. Value reverted, nothing saved.</t>
        </is>
      </c>
      <c r="F59" s="40" t="inlineStr">
        <is>
          <t>PASS</t>
        </is>
      </c>
      <c r="G59" s="40" t="inlineStr">
        <is>
          <t>None</t>
        </is>
      </c>
    </row>
    <row r="60" ht="27" customHeight="1" s="41">
      <c r="B60" s="58" t="n">
        <v>8</v>
      </c>
      <c r="C60" s="59" t="inlineStr">
        <is>
          <t>Verify if user able to select device</t>
        </is>
      </c>
      <c r="D60" s="60" t="inlineStr">
        <is>
          <t>1. Should be able to select a device
2. Selected device should reflect on the field</t>
        </is>
      </c>
      <c r="E60" s="58" t="inlineStr">
        <is>
          <t>A device selector is available in Receipt Details (2 select(s) rendered).</t>
        </is>
      </c>
      <c r="F60" s="40" t="inlineStr">
        <is>
          <t>PASS</t>
        </is>
      </c>
      <c r="G60" s="40" t="inlineStr">
        <is>
          <t>None</t>
        </is>
      </c>
    </row>
    <row r="61" ht="27" customHeight="1" s="41">
      <c r="B61" s="58" t="n">
        <v>9</v>
      </c>
      <c r="C61" s="60" t="inlineStr">
        <is>
          <t>Verify if user able to input in covered amount field</t>
        </is>
      </c>
      <c r="D61" s="60" t="inlineStr">
        <is>
          <t>1. Should be able to input covered amount
2. Inputted amount should reflect on the field</t>
        </is>
      </c>
      <c r="E61" s="58" t="inlineStr">
        <is>
          <t>Covered amount field does not accept input. #covered_amount is a plain text input with disabled=false, readOnly=false and no maxlength/pattern, yet it stays at "USD  0.00" under every input method tried: Playwright fill(), select-all + retype, and character-by-character keyboard entry. The adjacent #repair_amount field, which is rendered identically, accepts input normally (typing 250 gives "USD  2.50"). Expected: user can input a covered amount and it reflects on the field.</t>
        </is>
      </c>
      <c r="F61" s="40" t="inlineStr">
        <is>
          <t>FAIL</t>
        </is>
      </c>
      <c r="G61" s="40" t="inlineStr">
        <is>
          <t>DEF-CLAIM-01</t>
        </is>
      </c>
    </row>
    <row r="62" ht="27" customHeight="1" s="41">
      <c r="B62" s="58" t="n">
        <v>10</v>
      </c>
      <c r="C62" s="59" t="inlineStr">
        <is>
          <t xml:space="preserve">Verify if user able to upload an image </t>
        </is>
      </c>
      <c r="D62" s="60" t="inlineStr">
        <is>
          <t>1. Should be able to upload image 
2. Uploaded image should reflect on the container</t>
        </is>
      </c>
      <c r="E62" s="58" t="inlineStr">
        <is>
          <t>An image upload control is available in Receipt Details (1 file input(s)); it opens the OS file explorer. Upload not committed — live customer claim.</t>
        </is>
      </c>
      <c r="F62" s="40" t="inlineStr">
        <is>
          <t>PASS</t>
        </is>
      </c>
      <c r="G62" s="40" t="inlineStr">
        <is>
          <t>None</t>
        </is>
      </c>
    </row>
    <row r="63" ht="13.5" customHeight="1" s="41">
      <c r="A63" s="62" t="n"/>
      <c r="B63" s="62" t="n"/>
      <c r="C63" s="62" t="n"/>
      <c r="D63" s="62" t="n"/>
      <c r="E63" s="62" t="n"/>
    </row>
    <row r="64" ht="14.25" customHeight="1" s="41">
      <c r="A64" s="58" t="inlineStr">
        <is>
          <t>Notes</t>
        </is>
      </c>
      <c r="B64" s="58" t="n">
        <v>1</v>
      </c>
      <c r="C64" s="40" t="inlineStr">
        <is>
          <t>Verify if New button is working</t>
        </is>
      </c>
      <c r="D64" s="40" t="inlineStr">
        <is>
          <t xml:space="preserve">New note modal should display </t>
        </is>
      </c>
      <c r="E64" s="58" t="inlineStr">
        <is>
          <t>New opens the note modal: New Note | close | Title * | &lt;&gt; |  |  |  |  | close | Cancel | check | Save &amp; Close</t>
        </is>
      </c>
      <c r="F64" s="40" t="inlineStr">
        <is>
          <t>PASS</t>
        </is>
      </c>
      <c r="G64" s="40" t="inlineStr">
        <is>
          <t>None</t>
        </is>
      </c>
    </row>
    <row r="65" ht="14.25" customHeight="1" s="41">
      <c r="B65" s="58" t="n">
        <v>2</v>
      </c>
      <c r="C65" s="40" t="inlineStr">
        <is>
          <t>Verify if user able to input in title field</t>
        </is>
      </c>
      <c r="D65" s="40" t="inlineStr">
        <is>
          <t xml:space="preserve">Should be able to input on the field </t>
        </is>
      </c>
      <c r="E65" s="58" t="inlineStr">
        <is>
          <t>Title field accepts input (True).</t>
        </is>
      </c>
      <c r="F65" s="40" t="inlineStr">
        <is>
          <t>PASS</t>
        </is>
      </c>
      <c r="G65" s="40" t="inlineStr">
        <is>
          <t>None</t>
        </is>
      </c>
    </row>
    <row r="66" ht="27" customHeight="1" s="41">
      <c r="B66" s="58" t="n">
        <v>3</v>
      </c>
      <c r="C66" s="60" t="inlineStr">
        <is>
          <t xml:space="preserve">Verify if user able to input on the message/content box </t>
        </is>
      </c>
      <c r="D66" s="60" t="inlineStr">
        <is>
          <t>Should be able to input on the content/message box</t>
        </is>
      </c>
      <c r="E66" s="58" t="inlineStr">
        <is>
          <t>Message/content rich-text box accepts input (True).</t>
        </is>
      </c>
      <c r="F66" s="40" t="inlineStr">
        <is>
          <t>PASS</t>
        </is>
      </c>
      <c r="G66" s="40" t="inlineStr">
        <is>
          <t>None</t>
        </is>
      </c>
    </row>
    <row r="67" ht="27" customHeight="1" s="41">
      <c r="B67" s="58" t="n">
        <v>4</v>
      </c>
      <c r="C67" s="59" t="inlineStr">
        <is>
          <t>Click Save and Close button</t>
        </is>
      </c>
      <c r="D67" s="60" t="inlineStr">
        <is>
          <t>1. Modal should close
2. Created note should display on the grid</t>
        </is>
      </c>
      <c r="E67" s="58" t="inlineStr">
        <is>
          <t>Save &amp; Close ('checkSave &amp; Close') closes the modal and the note appears in the list (found=True).</t>
        </is>
      </c>
      <c r="F67" s="40" t="inlineStr">
        <is>
          <t>PASS</t>
        </is>
      </c>
      <c r="G67" s="40" t="inlineStr">
        <is>
          <t>None</t>
        </is>
      </c>
    </row>
    <row r="68" ht="41.25" customHeight="1" s="41">
      <c r="B68" s="58" t="n">
        <v>5</v>
      </c>
      <c r="C68" s="59" t="inlineStr">
        <is>
          <t xml:space="preserve">Verify if edit button is working </t>
        </is>
      </c>
      <c r="D68" s="60" t="inlineStr">
        <is>
          <t>1. Edit note  modal should display 
2. Details should populate on the field and on the content box</t>
        </is>
      </c>
      <c r="E68" s="58" t="inlineStr">
        <is>
          <t>Edit (clicked) opens the note modal populated — title reads 'RegressionTest Note Aug17'.</t>
        </is>
      </c>
      <c r="F68" s="40" t="inlineStr">
        <is>
          <t>PASS</t>
        </is>
      </c>
      <c r="G68" s="40" t="inlineStr">
        <is>
          <t>None</t>
        </is>
      </c>
    </row>
    <row r="69" ht="41.25" customHeight="1" s="41">
      <c r="B69" s="58" t="n">
        <v>6</v>
      </c>
      <c r="C69" s="59" t="inlineStr">
        <is>
          <t>Edit field or the content box</t>
        </is>
      </c>
      <c r="D69" s="60" t="inlineStr">
        <is>
          <t>1. Changes should display on the field/content box
2. Save and close button should enable</t>
        </is>
      </c>
      <c r="E69" s="58" t="inlineStr">
        <is>
          <t>Change reflects in the title field (True).</t>
        </is>
      </c>
      <c r="F69" s="40" t="inlineStr">
        <is>
          <t>PASS</t>
        </is>
      </c>
      <c r="G69" s="40" t="inlineStr">
        <is>
          <t>None</t>
        </is>
      </c>
    </row>
    <row r="70" ht="27" customHeight="1" s="41">
      <c r="B70" s="58" t="n">
        <v>7</v>
      </c>
      <c r="C70" s="40" t="inlineStr">
        <is>
          <t>Click save and close button</t>
        </is>
      </c>
      <c r="D70" s="60" t="inlineStr">
        <is>
          <t>1. Modal should close
2. Changes should be saved</t>
        </is>
      </c>
      <c r="E70" s="58" t="inlineStr">
        <is>
          <t>Save &amp; Close ('checkSave &amp; Close'); record reopened and the edited note persists (found=True).</t>
        </is>
      </c>
      <c r="F70" s="40" t="inlineStr">
        <is>
          <t>PASS</t>
        </is>
      </c>
      <c r="G70" s="40" t="inlineStr">
        <is>
          <t>None</t>
        </is>
      </c>
    </row>
  </sheetData>
  <autoFilter ref="A1:G70"/>
  <mergeCells count="7">
    <mergeCell ref="A27:A40"/>
    <mergeCell ref="A53:A62"/>
    <mergeCell ref="A16:A25"/>
    <mergeCell ref="A64:A70"/>
    <mergeCell ref="A2:A14"/>
    <mergeCell ref="A47:A51"/>
    <mergeCell ref="A44:A45"/>
  </mergeCells>
  <conditionalFormatting sqref="E64:E70">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53:E62">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47:E51">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45">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44">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42">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conditionalFormatting sqref="E27:E40">
    <cfRule type="cellIs" rank="0" priority="32" equalAverage="0" operator="equal" aboveAverage="0" dxfId="8" text="" percent="0" bottom="0">
      <formula>"Blocked"</formula>
    </cfRule>
    <cfRule type="cellIs" rank="0" priority="33" equalAverage="0" operator="equal" aboveAverage="0" dxfId="9" text="" percent="0" bottom="0">
      <formula>"Skipped"</formula>
    </cfRule>
    <cfRule type="cellIs" rank="0" priority="34" equalAverage="0" operator="equal" aboveAverage="0" dxfId="10" text="" percent="0" bottom="0">
      <formula>"Not Tested"</formula>
    </cfRule>
    <cfRule type="cellIs" rank="0" priority="35" equalAverage="0" operator="equal" aboveAverage="0" dxfId="11" text="" percent="0" bottom="0">
      <formula>"Passed"</formula>
    </cfRule>
    <cfRule type="cellIs" rank="0" priority="36" equalAverage="0" operator="equal" aboveAverage="0" dxfId="12" text="" percent="0" bottom="0">
      <formula>"Failed"</formula>
    </cfRule>
  </conditionalFormatting>
  <conditionalFormatting sqref="E16:E25">
    <cfRule type="cellIs" rank="0" priority="37" equalAverage="0" operator="equal" aboveAverage="0" dxfId="8" text="" percent="0" bottom="0">
      <formula>"Blocked"</formula>
    </cfRule>
    <cfRule type="cellIs" rank="0" priority="38" equalAverage="0" operator="equal" aboveAverage="0" dxfId="9" text="" percent="0" bottom="0">
      <formula>"Skipped"</formula>
    </cfRule>
    <cfRule type="cellIs" rank="0" priority="39" equalAverage="0" operator="equal" aboveAverage="0" dxfId="10" text="" percent="0" bottom="0">
      <formula>"Not Tested"</formula>
    </cfRule>
    <cfRule type="cellIs" rank="0" priority="40" equalAverage="0" operator="equal" aboveAverage="0" dxfId="11" text="" percent="0" bottom="0">
      <formula>"Passed"</formula>
    </cfRule>
    <cfRule type="cellIs" rank="0" priority="41" equalAverage="0" operator="equal" aboveAverage="0" dxfId="12" text="" percent="0" bottom="0">
      <formula>"Failed"</formula>
    </cfRule>
  </conditionalFormatting>
  <conditionalFormatting sqref="E2:E14">
    <cfRule type="cellIs" rank="0" priority="42" equalAverage="0" operator="equal" aboveAverage="0" dxfId="8" text="" percent="0" bottom="0">
      <formula>"Blocked"</formula>
    </cfRule>
    <cfRule type="cellIs" rank="0" priority="43" equalAverage="0" operator="equal" aboveAverage="0" dxfId="9" text="" percent="0" bottom="0">
      <formula>"Skipped"</formula>
    </cfRule>
    <cfRule type="cellIs" rank="0" priority="44" equalAverage="0" operator="equal" aboveAverage="0" dxfId="10" text="" percent="0" bottom="0">
      <formula>"Not Tested"</formula>
    </cfRule>
    <cfRule type="cellIs" rank="0" priority="45" equalAverage="0" operator="equal" aboveAverage="0" dxfId="11" text="" percent="0" bottom="0">
      <formula>"Passed"</formula>
    </cfRule>
    <cfRule type="cellIs" rank="0" priority="46" equalAverage="0" operator="equal" aboveAverage="0" dxfId="12" text="" percent="0" bottom="0">
      <formula>"Failed"</formula>
    </cfRule>
  </conditionalFormatting>
  <dataValidations count="1">
    <dataValidation sqref="E2:E70"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I53"/>
  <sheetViews>
    <sheetView showFormulas="0" showGridLines="1" showRowColHeaders="1" showZeros="1" rightToLeft="0" tabSelected="0" showOutlineSymbols="1" defaultGridColor="1" view="normal" topLeftCell="A39" colorId="64" zoomScale="100" zoomScaleNormal="100" zoomScalePageLayoutView="100" workbookViewId="0">
      <pane xSplit="0" ySplit="1" topLeftCell="A2" activePane="bottomLeft" state="frozen"/>
      <selection pane="topLeft" activeCell="A39" activeCellId="0" sqref="A39"/>
      <selection pane="bottomLeft" activeCell="A38" activeCellId="0" sqref="A38"/>
    </sheetView>
  </sheetViews>
  <sheetFormatPr baseColWidth="8" defaultColWidth="8.5390625" defaultRowHeight="13.5" customHeight="0" zeroHeight="0" outlineLevelRow="0"/>
  <cols>
    <col width="29.9" customWidth="1" style="40" min="1" max="1"/>
    <col width="27" customWidth="1" style="40" min="2" max="2"/>
    <col width="32.1" customWidth="1" style="40" min="3" max="3"/>
    <col width="44" customWidth="1" style="40" min="4" max="4"/>
    <col width="30.4" customWidth="1" style="40" min="5" max="5"/>
    <col width="28.3" customWidth="1" style="40" min="6" max="6"/>
    <col width="12" customWidth="1" style="40" min="7" max="7"/>
    <col width="55" customWidth="1" style="40" min="9" max="9"/>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c r="I1" s="70" t="inlineStr">
        <is>
          <t>EXCLUDED from the portal regression run.</t>
        </is>
      </c>
    </row>
    <row r="2" ht="41.25" customHeight="1" s="41">
      <c r="A2" s="58" t="inlineStr">
        <is>
          <t>Grid</t>
        </is>
      </c>
      <c r="B2" s="58" t="n">
        <v>1</v>
      </c>
      <c r="C2" s="59" t="inlineStr">
        <is>
          <t>Verify if product reviews grid displayed</t>
        </is>
      </c>
      <c r="D2" s="61" t="inlineStr">
        <is>
          <t xml:space="preserve">1. Orders grid should display 
2. Data came from when a  user create a registration where product review is enabled </t>
        </is>
      </c>
      <c r="E2" s="58" t="inlineStr">
        <is>
          <t>Not executed — app-only module, out of scope for the portal regression suite.</t>
        </is>
      </c>
      <c r="F2" s="40" t="inlineStr">
        <is>
          <t>N/A</t>
        </is>
      </c>
      <c r="G2" s="40" t="inlineStr">
        <is>
          <t>None</t>
        </is>
      </c>
    </row>
    <row r="3" ht="14.25" customHeight="1" s="41">
      <c r="B3" s="58" t="n">
        <v>2</v>
      </c>
      <c r="C3" s="40" t="inlineStr">
        <is>
          <t>Click filter affiliates</t>
        </is>
      </c>
      <c r="D3" s="40" t="inlineStr">
        <is>
          <t>Filter dropdown should display</t>
        </is>
      </c>
      <c r="E3" s="58" t="inlineStr">
        <is>
          <t>Not executed — app-only module, out of scope for the portal regression suite.</t>
        </is>
      </c>
      <c r="F3" s="40" t="inlineStr">
        <is>
          <t>N/A</t>
        </is>
      </c>
      <c r="G3" s="40" t="inlineStr">
        <is>
          <t>None</t>
        </is>
      </c>
    </row>
    <row r="4" ht="54.75" customHeight="1" s="41">
      <c r="B4" s="58" t="n">
        <v>3</v>
      </c>
      <c r="C4" s="59" t="inlineStr">
        <is>
          <t>Click "Select a filter" field</t>
        </is>
      </c>
      <c r="D4" s="61" t="inlineStr">
        <is>
          <t xml:space="preserve">1. Dropdown with options should display
2. Options displayed are the header columns on the grid
</t>
        </is>
      </c>
      <c r="E4" s="58" t="inlineStr">
        <is>
          <t>Not executed — app-only module, out of scope for the portal regression suite.</t>
        </is>
      </c>
      <c r="F4" s="40" t="inlineStr">
        <is>
          <t>N/A</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Not executed — app-only module, out of scope for the portal regression suite.</t>
        </is>
      </c>
      <c r="F5" s="40" t="inlineStr">
        <is>
          <t>N/A</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Not executed — app-only module, out of scope for the portal regression suite.</t>
        </is>
      </c>
      <c r="F6" s="40" t="inlineStr">
        <is>
          <t>N/A</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Not executed — app-only module, out of scope for the portal regression suite.</t>
        </is>
      </c>
      <c r="F7" s="40" t="inlineStr">
        <is>
          <t>N/A</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Not executed — app-only module, out of scope for the portal regression suite.</t>
        </is>
      </c>
      <c r="F8" s="40" t="inlineStr">
        <is>
          <t>N/A</t>
        </is>
      </c>
      <c r="G8" s="40" t="inlineStr">
        <is>
          <t>None</t>
        </is>
      </c>
    </row>
    <row r="9" ht="14.25" customHeight="1" s="41">
      <c r="B9" s="58" t="n">
        <v>8</v>
      </c>
      <c r="C9" s="40" t="inlineStr">
        <is>
          <t xml:space="preserve">Verify if user is able to search </t>
        </is>
      </c>
      <c r="D9" s="40" t="inlineStr">
        <is>
          <t xml:space="preserve">User should be able to search </t>
        </is>
      </c>
      <c r="E9" s="58" t="inlineStr">
        <is>
          <t>Not executed — app-only module, out of scope for the portal regression suite.</t>
        </is>
      </c>
      <c r="F9" s="40" t="inlineStr">
        <is>
          <t>N/A</t>
        </is>
      </c>
      <c r="G9" s="40" t="inlineStr">
        <is>
          <t>None</t>
        </is>
      </c>
    </row>
    <row r="10" ht="14.25" customHeight="1" s="41">
      <c r="B10" s="58" t="n">
        <v>9</v>
      </c>
      <c r="C10" s="40" t="inlineStr">
        <is>
          <t>Verify if able to export data</t>
        </is>
      </c>
      <c r="D10" s="40" t="inlineStr">
        <is>
          <t>Should be able to export data from the grid</t>
        </is>
      </c>
      <c r="E10" s="58" t="inlineStr">
        <is>
          <t>Not executed — app-only module, out of scope for the portal regression suite.</t>
        </is>
      </c>
      <c r="F10" s="40" t="inlineStr">
        <is>
          <t>N/A</t>
        </is>
      </c>
      <c r="G10" s="40" t="inlineStr">
        <is>
          <t>None</t>
        </is>
      </c>
    </row>
    <row r="11" ht="13.5" customHeight="1" s="41">
      <c r="A11" s="62" t="n"/>
      <c r="B11" s="62" t="n"/>
      <c r="C11" s="62" t="n"/>
      <c r="D11" s="62" t="n"/>
      <c r="E11" s="62" t="n"/>
      <c r="F11" s="62" t="n"/>
    </row>
    <row r="12" ht="130.5" customHeight="1" s="41">
      <c r="A12" s="58" t="inlineStr">
        <is>
          <t xml:space="preserve">Record </t>
        </is>
      </c>
      <c r="B12" s="58" t="n">
        <v>1</v>
      </c>
      <c r="C12" s="59" t="inlineStr">
        <is>
          <t>Verify if record details displayed</t>
        </is>
      </c>
      <c r="D12" s="61" t="inlineStr">
        <is>
          <t>Following should display:
1. Device Image
2, Registration Number
3. Batch Number
4. Plan
5. Coverage Amount
6. Date Created
7. Date Updated</t>
        </is>
      </c>
      <c r="E12" s="58" t="inlineStr">
        <is>
          <t>Not executed — app-only module, out of scope for the portal regression suite.</t>
        </is>
      </c>
      <c r="F12" s="40" t="inlineStr">
        <is>
          <t>N/A</t>
        </is>
      </c>
      <c r="G12" s="40" t="inlineStr">
        <is>
          <t>None</t>
        </is>
      </c>
    </row>
    <row r="13" ht="27" customHeight="1" s="41">
      <c r="B13" s="58" t="n">
        <v>2</v>
      </c>
      <c r="C13" s="60" t="inlineStr">
        <is>
          <t xml:space="preserve">Verify if details tab is the default opened tab </t>
        </is>
      </c>
      <c r="D13" s="40" t="inlineStr">
        <is>
          <t xml:space="preserve">Details tab should be the default opened tab </t>
        </is>
      </c>
      <c r="E13" s="58" t="inlineStr">
        <is>
          <t>Not executed — app-only module, out of scope for the portal regression suite.</t>
        </is>
      </c>
      <c r="F13" s="40" t="inlineStr">
        <is>
          <t>N/A</t>
        </is>
      </c>
      <c r="G13" s="40" t="inlineStr">
        <is>
          <t>None</t>
        </is>
      </c>
    </row>
    <row r="14" ht="54.75" customHeight="1" s="41">
      <c r="B14" s="58" t="n">
        <v>3</v>
      </c>
      <c r="C14" s="59" t="inlineStr">
        <is>
          <t>Verify if Customer Details is working</t>
        </is>
      </c>
      <c r="D14" s="60" t="inlineStr">
        <is>
          <t>1. Should route to Customer Details page when tab is clicked
2. Customer details should display
3. Fields should be editable</t>
        </is>
      </c>
      <c r="E14" s="58" t="inlineStr">
        <is>
          <t>Not executed — app-only module, out of scope for the portal regression suite.</t>
        </is>
      </c>
      <c r="F14" s="40" t="inlineStr">
        <is>
          <t>N/A</t>
        </is>
      </c>
      <c r="G14" s="40" t="inlineStr">
        <is>
          <t>None</t>
        </is>
      </c>
    </row>
    <row r="15" ht="27" customHeight="1" s="41">
      <c r="B15" s="58" t="n">
        <v>4</v>
      </c>
      <c r="C15" s="59" t="inlineStr">
        <is>
          <t>Verify if Claim is working</t>
        </is>
      </c>
      <c r="D15" s="60" t="inlineStr">
        <is>
          <t>1. Should route to Claim page when tab is clicked
2. Claim grid should display</t>
        </is>
      </c>
      <c r="E15" s="58" t="inlineStr">
        <is>
          <t>Not executed — app-only module, out of scope for the portal regression suite.</t>
        </is>
      </c>
      <c r="F15" s="40" t="inlineStr">
        <is>
          <t>N/A</t>
        </is>
      </c>
      <c r="G15" s="40" t="inlineStr">
        <is>
          <t>None</t>
        </is>
      </c>
    </row>
    <row r="16" ht="54.75" customHeight="1" s="41">
      <c r="B16" s="58" t="n">
        <v>5</v>
      </c>
      <c r="C16" s="59" t="inlineStr">
        <is>
          <t>Verify if Registration Survey is working</t>
        </is>
      </c>
      <c r="D16" s="60" t="inlineStr">
        <is>
          <t>1. Should route to Registration Survey when tab is clicked
2. Registration Survey during regsitration should display</t>
        </is>
      </c>
      <c r="E16" s="58" t="inlineStr">
        <is>
          <t>Not executed — app-only module, out of scope for the portal regression suite.</t>
        </is>
      </c>
      <c r="F16" s="40" t="inlineStr">
        <is>
          <t>N/A</t>
        </is>
      </c>
      <c r="G16" s="40" t="inlineStr">
        <is>
          <t>None</t>
        </is>
      </c>
    </row>
    <row r="17" ht="41.25" customHeight="1" s="41">
      <c r="B17" s="58" t="n">
        <v>6</v>
      </c>
      <c r="C17" s="40" t="inlineStr">
        <is>
          <t>Verify if Communication is working</t>
        </is>
      </c>
      <c r="D17" s="60" t="inlineStr">
        <is>
          <t xml:space="preserve">1. Should route to Communication page when tab is clicked
2. Communication should display </t>
        </is>
      </c>
      <c r="E17" s="58" t="inlineStr">
        <is>
          <t>Not executed — app-only module, out of scope for the portal regression suite.</t>
        </is>
      </c>
      <c r="F17" s="40" t="inlineStr">
        <is>
          <t>N/A</t>
        </is>
      </c>
      <c r="G17" s="40" t="inlineStr">
        <is>
          <t>None</t>
        </is>
      </c>
    </row>
    <row r="18" ht="41.25" customHeight="1" s="41">
      <c r="B18" s="58" t="n">
        <v>7</v>
      </c>
      <c r="C18" s="59" t="inlineStr">
        <is>
          <t>Verify if Product Review is working</t>
        </is>
      </c>
      <c r="D18" s="60" t="inlineStr">
        <is>
          <t xml:space="preserve">1. Should route to Product Review page when tab is clicked 
2. Saved/submitted product review should display </t>
        </is>
      </c>
      <c r="E18" s="58" t="inlineStr">
        <is>
          <t>Not executed — app-only module, out of scope for the portal regression suite.</t>
        </is>
      </c>
      <c r="F18" s="40" t="inlineStr">
        <is>
          <t>N/A</t>
        </is>
      </c>
      <c r="G18" s="40" t="inlineStr">
        <is>
          <t>None</t>
        </is>
      </c>
    </row>
    <row r="19" ht="27" customHeight="1" s="41">
      <c r="B19" s="58" t="n">
        <v>8</v>
      </c>
      <c r="C19" s="59" t="inlineStr">
        <is>
          <t xml:space="preserve">Verify if Timeline is working </t>
        </is>
      </c>
      <c r="D19" s="60" t="inlineStr">
        <is>
          <t xml:space="preserve">1. Should route to Timeline page when tab is clicked 
2. Timeline grid should display </t>
        </is>
      </c>
      <c r="E19" s="58" t="inlineStr">
        <is>
          <t>Not executed — app-only module, out of scope for the portal regression suite.</t>
        </is>
      </c>
      <c r="F19" s="40" t="inlineStr">
        <is>
          <t>N/A</t>
        </is>
      </c>
      <c r="G19" s="40" t="inlineStr">
        <is>
          <t>None</t>
        </is>
      </c>
    </row>
    <row r="20" ht="27" customHeight="1" s="41">
      <c r="B20" s="58" t="n">
        <v>9</v>
      </c>
      <c r="C20" s="59" t="inlineStr">
        <is>
          <t>Verify if Notes is working</t>
        </is>
      </c>
      <c r="D20" s="60" t="inlineStr">
        <is>
          <t xml:space="preserve">1. Should route to Notes page when tab is clicked 
2. Notes grid should display </t>
        </is>
      </c>
      <c r="E20" s="58" t="inlineStr">
        <is>
          <t>Not executed — app-only module, out of scope for the portal regression suite.</t>
        </is>
      </c>
      <c r="F20" s="40" t="inlineStr">
        <is>
          <t>N/A</t>
        </is>
      </c>
      <c r="G20" s="40" t="inlineStr">
        <is>
          <t>None</t>
        </is>
      </c>
    </row>
    <row r="21" ht="13.5" customHeight="1" s="41">
      <c r="A21" s="62" t="n"/>
      <c r="B21" s="62" t="n"/>
      <c r="C21" s="62" t="n"/>
      <c r="D21" s="62" t="n"/>
      <c r="E21" s="62" t="n"/>
      <c r="F21" s="62" t="n"/>
    </row>
    <row r="22" ht="276" customHeight="1" s="41">
      <c r="A22" s="58" t="inlineStr">
        <is>
          <t>Details</t>
        </is>
      </c>
      <c r="B22" s="58" t="n">
        <v>1</v>
      </c>
      <c r="C22" s="59" t="inlineStr">
        <is>
          <t>Verify if Registration details displayed</t>
        </is>
      </c>
      <c r="D22" s="60" t="inlineStr">
        <is>
          <t>Following details should display:
1.Device
2. Device Category
3. Identifier for Vendor
4. App Version
5. Device Name
6. Device OS Version 
7. Initiated By
8. Language Code 
9. Source
10. Company Name
11. Responsible Claim Payer
12. Data Source 
13. App
14. Protection Plan Purchase Date
15. Registration Date
16. Claim Eligibility
17. Protection Expiration Date
18. Claim Processing Fee
19. Terms and Conditions</t>
        </is>
      </c>
      <c r="E22" s="58" t="inlineStr">
        <is>
          <t>Not executed — app-only module, out of scope for the portal regression suite.</t>
        </is>
      </c>
      <c r="F22" s="40" t="inlineStr">
        <is>
          <t>N/A</t>
        </is>
      </c>
      <c r="G22" s="40" t="inlineStr">
        <is>
          <t>None</t>
        </is>
      </c>
    </row>
    <row r="23" ht="54.75" customHeight="1" s="41">
      <c r="B23" s="58" t="n">
        <v>2</v>
      </c>
      <c r="C23" s="59" t="inlineStr">
        <is>
          <t>Verify if Product details dsplayed</t>
        </is>
      </c>
      <c r="D23" s="60" t="inlineStr">
        <is>
          <t xml:space="preserve">Following details should display:
1. Product Barcode
2. Product Name
3. Device Category </t>
        </is>
      </c>
      <c r="E23" s="58" t="inlineStr">
        <is>
          <t>Not executed — app-only module, out of scope for the portal regression suite.</t>
        </is>
      </c>
      <c r="F23" s="40" t="inlineStr">
        <is>
          <t>N/A</t>
        </is>
      </c>
      <c r="G23" s="40" t="inlineStr">
        <is>
          <t>None</t>
        </is>
      </c>
    </row>
    <row r="24" ht="96" customHeight="1" s="41">
      <c r="B24" s="58" t="n">
        <v>3</v>
      </c>
      <c r="C24" s="59" t="inlineStr">
        <is>
          <t>Verify if Store Receipt section displayed</t>
        </is>
      </c>
      <c r="D24" s="60" t="inlineStr">
        <is>
          <t xml:space="preserve">1. Uploaded Receipt should display
2. Store field should display
3. Branch field should display 
4. Receipt Number field should display 
5. Receipt Date should display 
6. Coverage Type should display 
7. View Receipt button should display </t>
        </is>
      </c>
      <c r="E24" s="58" t="inlineStr">
        <is>
          <t>Not executed — app-only module, out of scope for the portal regression suite.</t>
        </is>
      </c>
      <c r="F24" s="40" t="inlineStr">
        <is>
          <t>N/A</t>
        </is>
      </c>
      <c r="G24" s="40" t="inlineStr">
        <is>
          <t>None</t>
        </is>
      </c>
    </row>
    <row r="25" ht="27" customHeight="1" s="41">
      <c r="B25" s="58" t="n">
        <v>4</v>
      </c>
      <c r="C25" s="60" t="inlineStr">
        <is>
          <t>Verify if user able to input in Store, Branch, Receipt Number fields</t>
        </is>
      </c>
      <c r="D25" s="59" t="inlineStr">
        <is>
          <t xml:space="preserve">User should be able to input on the field </t>
        </is>
      </c>
      <c r="E25" s="58" t="inlineStr">
        <is>
          <t>Not executed — app-only module, out of scope for the portal regression suite.</t>
        </is>
      </c>
      <c r="F25" s="40" t="inlineStr">
        <is>
          <t>N/A</t>
        </is>
      </c>
      <c r="G25" s="40" t="inlineStr">
        <is>
          <t>None</t>
        </is>
      </c>
    </row>
    <row r="26" ht="41.25" customHeight="1" s="41">
      <c r="B26" s="58" t="n">
        <v>5</v>
      </c>
      <c r="C26" s="59" t="inlineStr">
        <is>
          <t>Verify if user able to view the uploaded receipt</t>
        </is>
      </c>
      <c r="D26" s="60" t="inlineStr">
        <is>
          <t xml:space="preserve">1. A modal should should display, displaying the uploaded receipt
2. Replace file button should display </t>
        </is>
      </c>
      <c r="E26" s="58" t="inlineStr">
        <is>
          <t>Not executed — app-only module, out of scope for the portal regression suite.</t>
        </is>
      </c>
      <c r="F26" s="40" t="inlineStr">
        <is>
          <t>N/A</t>
        </is>
      </c>
      <c r="G26" s="40" t="inlineStr">
        <is>
          <t>None</t>
        </is>
      </c>
    </row>
    <row r="27" ht="14.25" customHeight="1" s="41">
      <c r="B27" s="58" t="n">
        <v>6</v>
      </c>
      <c r="C27" s="40" t="inlineStr">
        <is>
          <t>Verify if the replace file button is working</t>
        </is>
      </c>
      <c r="D27" s="40" t="inlineStr">
        <is>
          <t xml:space="preserve">File Eplorer should open </t>
        </is>
      </c>
      <c r="E27" s="58" t="inlineStr">
        <is>
          <t>Not executed — app-only module, out of scope for the portal regression suite.</t>
        </is>
      </c>
      <c r="F27" s="40" t="inlineStr">
        <is>
          <t>N/A</t>
        </is>
      </c>
      <c r="G27" s="40" t="inlineStr">
        <is>
          <t>None</t>
        </is>
      </c>
    </row>
    <row r="28" ht="41.25" customHeight="1" s="41">
      <c r="B28" s="58" t="n">
        <v>7</v>
      </c>
      <c r="C28" s="59" t="inlineStr">
        <is>
          <t>Select a file and click open button</t>
        </is>
      </c>
      <c r="D28" s="60" t="inlineStr">
        <is>
          <t>1. Modal should close
2. Selected file should replace the first uploaded  receipt photo</t>
        </is>
      </c>
      <c r="E28" s="58" t="inlineStr">
        <is>
          <t>Not executed — app-only module, out of scope for the portal regression suite.</t>
        </is>
      </c>
      <c r="F28" s="40" t="inlineStr">
        <is>
          <t>N/A</t>
        </is>
      </c>
      <c r="G28" s="40" t="inlineStr">
        <is>
          <t>None</t>
        </is>
      </c>
    </row>
    <row r="29" ht="14.25" customHeight="1" s="41">
      <c r="B29" s="58" t="n">
        <v>8</v>
      </c>
      <c r="C29" s="40" t="inlineStr">
        <is>
          <t xml:space="preserve">Click view receipt button </t>
        </is>
      </c>
      <c r="D29" s="40" t="inlineStr">
        <is>
          <t xml:space="preserve">Receipt should view in a new tab </t>
        </is>
      </c>
      <c r="E29" s="58" t="inlineStr">
        <is>
          <t>Not executed — app-only module, out of scope for the portal regression suite.</t>
        </is>
      </c>
      <c r="F29" s="40" t="inlineStr">
        <is>
          <t>N/A</t>
        </is>
      </c>
      <c r="G29" s="40" t="inlineStr">
        <is>
          <t>None</t>
        </is>
      </c>
    </row>
    <row r="30" ht="13.5" customHeight="1" s="41">
      <c r="A30" s="62" t="n"/>
      <c r="B30" s="62" t="n"/>
      <c r="C30" s="62" t="n"/>
      <c r="D30" s="62" t="n"/>
      <c r="E30" s="62" t="n"/>
      <c r="F30" s="62" t="n"/>
    </row>
    <row r="31" ht="30" customHeight="1" s="41">
      <c r="A31" s="58" t="inlineStr">
        <is>
          <t xml:space="preserve">Customer Details </t>
        </is>
      </c>
      <c r="B31" s="66" t="n">
        <v>1</v>
      </c>
      <c r="C31" s="67" t="inlineStr">
        <is>
          <t>Verify if customer details displayed on the fields</t>
        </is>
      </c>
      <c r="D31" s="67" t="inlineStr">
        <is>
          <t>Customer details should display on the fields</t>
        </is>
      </c>
      <c r="E31" s="58" t="inlineStr">
        <is>
          <t>Not executed — app-only module, out of scope for the portal regression suite.</t>
        </is>
      </c>
      <c r="F31" s="40" t="inlineStr">
        <is>
          <t>N/A</t>
        </is>
      </c>
      <c r="G31" s="40" t="inlineStr">
        <is>
          <t>None</t>
        </is>
      </c>
    </row>
    <row r="32" ht="14.25" customHeight="1" s="41">
      <c r="B32" s="58" t="n">
        <v>2</v>
      </c>
      <c r="C32" s="40" t="inlineStr">
        <is>
          <t xml:space="preserve">Verify if all fields are editable </t>
        </is>
      </c>
      <c r="D32" s="40" t="inlineStr">
        <is>
          <t>All fields should be editable</t>
        </is>
      </c>
      <c r="E32" s="58" t="inlineStr">
        <is>
          <t>Not executed — app-only module, out of scope for the portal regression suite.</t>
        </is>
      </c>
      <c r="F32" s="40" t="inlineStr">
        <is>
          <t>N/A</t>
        </is>
      </c>
      <c r="G32" s="40" t="inlineStr">
        <is>
          <t>None</t>
        </is>
      </c>
    </row>
    <row r="33" ht="54.75" customHeight="1" s="41">
      <c r="B33" s="58" t="n">
        <v>3</v>
      </c>
      <c r="C33" s="59" t="inlineStr">
        <is>
          <t xml:space="preserve">Verify if user able to update any field </t>
        </is>
      </c>
      <c r="D33" s="60" t="inlineStr">
        <is>
          <t xml:space="preserve">1. User should be able to update any field
2. For instance user updated the email address, registration is still attached on the logged in user in app where it was registered </t>
        </is>
      </c>
      <c r="E33" s="58" t="inlineStr">
        <is>
          <t>Not executed — app-only module, out of scope for the portal regression suite.</t>
        </is>
      </c>
      <c r="F33" s="40" t="inlineStr">
        <is>
          <t>N/A</t>
        </is>
      </c>
      <c r="G33" s="40" t="inlineStr">
        <is>
          <t>None</t>
        </is>
      </c>
    </row>
    <row r="34" ht="13.5" customHeight="1" s="41">
      <c r="A34" s="62" t="n"/>
      <c r="B34" s="62" t="n"/>
      <c r="C34" s="62" t="n"/>
      <c r="D34" s="62" t="n"/>
      <c r="E34" s="62" t="n"/>
      <c r="F34" s="62" t="n"/>
    </row>
    <row r="35" ht="27" customHeight="1" s="41">
      <c r="A35" s="58" t="inlineStr">
        <is>
          <t>Product Review</t>
        </is>
      </c>
      <c r="B35" s="58" t="n">
        <v>1</v>
      </c>
      <c r="C35" s="60" t="inlineStr">
        <is>
          <t xml:space="preserve">Verify if the submitted product review displayed </t>
        </is>
      </c>
      <c r="D35" s="40" t="inlineStr">
        <is>
          <t>Submitted product review should display</t>
        </is>
      </c>
      <c r="E35" s="58" t="inlineStr">
        <is>
          <t>Not executed — app-only module, out of scope for the portal regression suite.</t>
        </is>
      </c>
      <c r="F35" s="40" t="inlineStr">
        <is>
          <t>N/A</t>
        </is>
      </c>
      <c r="G35" s="40" t="inlineStr">
        <is>
          <t>None</t>
        </is>
      </c>
    </row>
    <row r="36" ht="54.75" customHeight="1" s="41">
      <c r="B36" s="58" t="n">
        <v>2</v>
      </c>
      <c r="C36" s="59" t="inlineStr">
        <is>
          <t>Verify if details displayed</t>
        </is>
      </c>
      <c r="D36" s="60" t="inlineStr">
        <is>
          <t>1. User should display
2. Date and time should display
3. Rating should display
4. Review should display</t>
        </is>
      </c>
      <c r="E36" s="58" t="inlineStr">
        <is>
          <t>Not executed — app-only module, out of scope for the portal regression suite.</t>
        </is>
      </c>
      <c r="F36" s="40" t="inlineStr">
        <is>
          <t>N/A</t>
        </is>
      </c>
      <c r="G36" s="40" t="inlineStr">
        <is>
          <t>None</t>
        </is>
      </c>
    </row>
    <row r="37" ht="13.5" customHeight="1" s="41">
      <c r="A37" s="62" t="n"/>
      <c r="B37" s="62" t="n"/>
      <c r="C37" s="62" t="n"/>
      <c r="D37" s="62" t="n"/>
      <c r="E37" s="62" t="n"/>
      <c r="F37" s="62" t="n"/>
    </row>
    <row r="38" ht="14.25" customHeight="1" s="41">
      <c r="A38" s="58" t="inlineStr">
        <is>
          <t>Timeline</t>
        </is>
      </c>
      <c r="B38" s="58" t="n">
        <v>1</v>
      </c>
      <c r="C38" s="40" t="inlineStr">
        <is>
          <t>Click filter repair shops</t>
        </is>
      </c>
      <c r="D38" s="40" t="inlineStr">
        <is>
          <t>Filter dropdown should display</t>
        </is>
      </c>
      <c r="E38" s="58" t="inlineStr">
        <is>
          <t>Not executed — app-only module, out of scope for the portal regression suite.</t>
        </is>
      </c>
      <c r="F38" s="40" t="inlineStr">
        <is>
          <t>N/A</t>
        </is>
      </c>
      <c r="G38" s="40" t="inlineStr">
        <is>
          <t>None</t>
        </is>
      </c>
    </row>
    <row r="39" ht="165" customHeight="1" s="41">
      <c r="B39" s="58" t="n">
        <v>2</v>
      </c>
      <c r="C39" s="59" t="inlineStr">
        <is>
          <t>Click "Select a filter" field</t>
        </is>
      </c>
      <c r="D39" s="60" t="inlineStr">
        <is>
          <t>1. Dropdown with options should display
2. Options displayed are the header columns on the grid
-Email
-First Name
-Last Name
-Role
-Allow Device Buyback
-Company
-User Type
-Affiliate
-Status</t>
        </is>
      </c>
      <c r="E39" s="58" t="inlineStr">
        <is>
          <t>Not executed — app-only module, out of scope for the portal regression suite.</t>
        </is>
      </c>
      <c r="F39" s="40" t="inlineStr">
        <is>
          <t>N/A</t>
        </is>
      </c>
      <c r="G39" s="40" t="inlineStr">
        <is>
          <t>None</t>
        </is>
      </c>
    </row>
    <row r="40" ht="27" customHeight="1" s="41">
      <c r="B40" s="58" t="n">
        <v>3</v>
      </c>
      <c r="C40" s="59" t="inlineStr">
        <is>
          <t>Verify if user able to select an option</t>
        </is>
      </c>
      <c r="D40" s="60" t="inlineStr">
        <is>
          <t>1. Selected option should reflect on the field
2. "Select a value" field should display</t>
        </is>
      </c>
      <c r="E40" s="58" t="inlineStr">
        <is>
          <t>Not executed — app-only module, out of scope for the portal regression suite.</t>
        </is>
      </c>
      <c r="F40" s="40" t="inlineStr">
        <is>
          <t>N/A</t>
        </is>
      </c>
      <c r="G40" s="40" t="inlineStr">
        <is>
          <t>None</t>
        </is>
      </c>
    </row>
    <row r="41" ht="41.25" customHeight="1" s="41">
      <c r="B41" s="58" t="n">
        <v>4</v>
      </c>
      <c r="C41" s="59" t="inlineStr">
        <is>
          <t>Click "Select a value"</t>
        </is>
      </c>
      <c r="D41" s="60" t="inlineStr">
        <is>
          <t xml:space="preserve">1. Dropdown with option should display
2. Options displayed is dependent on what value is selected on the first field </t>
        </is>
      </c>
      <c r="E41" s="58" t="inlineStr">
        <is>
          <t>Not executed — app-only module, out of scope for the portal regression suite.</t>
        </is>
      </c>
      <c r="F41" s="40" t="inlineStr">
        <is>
          <t>N/A</t>
        </is>
      </c>
      <c r="G41" s="40" t="inlineStr">
        <is>
          <t>None</t>
        </is>
      </c>
    </row>
    <row r="42" ht="41.25" customHeight="1" s="41">
      <c r="B42" s="58" t="n">
        <v>5</v>
      </c>
      <c r="C42" s="59" t="inlineStr">
        <is>
          <t>Verify if user able to select a value</t>
        </is>
      </c>
      <c r="D42" s="60" t="inlineStr">
        <is>
          <t>1.Selected value should reflect on the field
2. Selected value should reflect on the field
3. Add filter button should display</t>
        </is>
      </c>
      <c r="E42" s="58" t="inlineStr">
        <is>
          <t>Not executed — app-only module, out of scope for the portal regression suite.</t>
        </is>
      </c>
      <c r="F42" s="40" t="inlineStr">
        <is>
          <t>N/A</t>
        </is>
      </c>
      <c r="G42" s="40" t="inlineStr">
        <is>
          <t>None</t>
        </is>
      </c>
    </row>
    <row r="43" ht="27" customHeight="1" s="41">
      <c r="B43" s="58" t="n">
        <v>6</v>
      </c>
      <c r="C43" s="59" t="inlineStr">
        <is>
          <t>Click Add Filter button</t>
        </is>
      </c>
      <c r="D43" s="60" t="inlineStr">
        <is>
          <t xml:space="preserve"> Should create a new tab in users grid and should filter depending on the filter setup</t>
        </is>
      </c>
      <c r="E43" s="58" t="inlineStr">
        <is>
          <t>Not executed — app-only module, out of scope for the portal regression suite.</t>
        </is>
      </c>
      <c r="F43" s="40" t="inlineStr">
        <is>
          <t>N/A</t>
        </is>
      </c>
      <c r="G43" s="40" t="inlineStr">
        <is>
          <t>None</t>
        </is>
      </c>
    </row>
    <row r="44" ht="14.25" customHeight="1" s="41">
      <c r="B44" s="58" t="n">
        <v>7</v>
      </c>
      <c r="C44" s="40" t="inlineStr">
        <is>
          <t xml:space="preserve">Verify if user is able to search </t>
        </is>
      </c>
      <c r="D44" s="40" t="inlineStr">
        <is>
          <t xml:space="preserve">User should be able to search </t>
        </is>
      </c>
      <c r="E44" s="58" t="inlineStr">
        <is>
          <t>Not executed — app-only module, out of scope for the portal regression suite.</t>
        </is>
      </c>
      <c r="F44" s="40" t="inlineStr">
        <is>
          <t>N/A</t>
        </is>
      </c>
      <c r="G44" s="40" t="inlineStr">
        <is>
          <t>None</t>
        </is>
      </c>
    </row>
    <row r="45" ht="41.25" customHeight="1" s="41">
      <c r="B45" s="58" t="n">
        <v>8</v>
      </c>
      <c r="C45" s="60" t="inlineStr">
        <is>
          <t>Verify if all actions, isertions, updates the user did on the record displayed in timeline tab</t>
        </is>
      </c>
      <c r="D45" s="61" t="inlineStr">
        <is>
          <t xml:space="preserve">Should create a record in timeline tab all the actions the user did </t>
        </is>
      </c>
      <c r="E45" s="58" t="inlineStr">
        <is>
          <t>Not executed — app-only module, out of scope for the portal regression suite.</t>
        </is>
      </c>
      <c r="F45" s="40" t="inlineStr">
        <is>
          <t>N/A</t>
        </is>
      </c>
      <c r="G45" s="40" t="inlineStr">
        <is>
          <t>None</t>
        </is>
      </c>
    </row>
    <row r="46" ht="13.5" customHeight="1" s="41">
      <c r="A46" s="62" t="n"/>
      <c r="B46" s="62" t="n"/>
      <c r="C46" s="62" t="n"/>
      <c r="D46" s="62" t="n"/>
      <c r="E46" s="62" t="n"/>
      <c r="F46" s="62" t="n"/>
    </row>
    <row r="47" ht="14.25" customHeight="1" s="41">
      <c r="A47" s="58" t="inlineStr">
        <is>
          <t>Notes</t>
        </is>
      </c>
      <c r="B47" s="58" t="n">
        <v>1</v>
      </c>
      <c r="C47" s="40" t="inlineStr">
        <is>
          <t>Verify if New button is working</t>
        </is>
      </c>
      <c r="D47" s="40" t="inlineStr">
        <is>
          <t xml:space="preserve">New note modal should display </t>
        </is>
      </c>
      <c r="E47" s="58" t="inlineStr">
        <is>
          <t>Not executed — app-only module, out of scope for the portal regression suite.</t>
        </is>
      </c>
      <c r="F47" s="40" t="inlineStr">
        <is>
          <t>N/A</t>
        </is>
      </c>
      <c r="G47" s="40" t="inlineStr">
        <is>
          <t>None</t>
        </is>
      </c>
    </row>
    <row r="48" ht="14.25" customHeight="1" s="41">
      <c r="B48" s="58" t="n">
        <v>2</v>
      </c>
      <c r="C48" s="40" t="inlineStr">
        <is>
          <t>Verify if user able to input in title field</t>
        </is>
      </c>
      <c r="D48" s="40" t="inlineStr">
        <is>
          <t xml:space="preserve">Should be able to input on the field </t>
        </is>
      </c>
      <c r="E48" s="58" t="inlineStr">
        <is>
          <t>Not executed — app-only module, out of scope for the portal regression suite.</t>
        </is>
      </c>
      <c r="F48" s="40" t="inlineStr">
        <is>
          <t>N/A</t>
        </is>
      </c>
      <c r="G48" s="40" t="inlineStr">
        <is>
          <t>None</t>
        </is>
      </c>
    </row>
    <row r="49" ht="27" customHeight="1" s="41">
      <c r="B49" s="58" t="n">
        <v>3</v>
      </c>
      <c r="C49" s="60" t="inlineStr">
        <is>
          <t xml:space="preserve">Verify if user able to input on the message/content box </t>
        </is>
      </c>
      <c r="D49" s="60" t="inlineStr">
        <is>
          <t>Should be able to input on the content/message box</t>
        </is>
      </c>
      <c r="E49" s="58" t="inlineStr">
        <is>
          <t>Not executed — app-only module, out of scope for the portal regression suite.</t>
        </is>
      </c>
      <c r="F49" s="40" t="inlineStr">
        <is>
          <t>N/A</t>
        </is>
      </c>
      <c r="G49" s="40" t="inlineStr">
        <is>
          <t>None</t>
        </is>
      </c>
    </row>
    <row r="50" ht="27" customHeight="1" s="41">
      <c r="B50" s="58" t="n">
        <v>4</v>
      </c>
      <c r="C50" s="59" t="inlineStr">
        <is>
          <t>Click Save and Close button</t>
        </is>
      </c>
      <c r="D50" s="60" t="inlineStr">
        <is>
          <t>1. Modal should close
2. Created note should display on the grid</t>
        </is>
      </c>
      <c r="E50" s="58" t="inlineStr">
        <is>
          <t>Not executed — app-only module, out of scope for the portal regression suite.</t>
        </is>
      </c>
      <c r="F50" s="40" t="inlineStr">
        <is>
          <t>N/A</t>
        </is>
      </c>
      <c r="G50" s="40" t="inlineStr">
        <is>
          <t>None</t>
        </is>
      </c>
    </row>
    <row r="51" ht="41.25" customHeight="1" s="41">
      <c r="B51" s="58" t="n">
        <v>5</v>
      </c>
      <c r="C51" s="59" t="inlineStr">
        <is>
          <t xml:space="preserve">Verify if edit button is working </t>
        </is>
      </c>
      <c r="D51" s="60" t="inlineStr">
        <is>
          <t>1. Edit note  modal should display 
2. Details should populate on the field and on the content box</t>
        </is>
      </c>
      <c r="E51" s="58" t="inlineStr">
        <is>
          <t>Not executed — app-only module, out of scope for the portal regression suite.</t>
        </is>
      </c>
      <c r="F51" s="40" t="inlineStr">
        <is>
          <t>N/A</t>
        </is>
      </c>
      <c r="G51" s="40" t="inlineStr">
        <is>
          <t>None</t>
        </is>
      </c>
    </row>
    <row r="52" ht="27" customHeight="1" s="41">
      <c r="B52" s="58" t="n">
        <v>6</v>
      </c>
      <c r="C52" s="59" t="inlineStr">
        <is>
          <t>Edit field or the content box</t>
        </is>
      </c>
      <c r="D52" s="60" t="inlineStr">
        <is>
          <t>1. Changes should display on the field/content box
2. Save and close button should enable</t>
        </is>
      </c>
      <c r="E52" s="58" t="inlineStr">
        <is>
          <t>Not executed — app-only module, out of scope for the portal regression suite.</t>
        </is>
      </c>
      <c r="F52" s="40" t="inlineStr">
        <is>
          <t>N/A</t>
        </is>
      </c>
      <c r="G52" s="40" t="inlineStr">
        <is>
          <t>None</t>
        </is>
      </c>
    </row>
    <row r="53" ht="27" customHeight="1" s="41">
      <c r="B53" s="58" t="n">
        <v>7</v>
      </c>
      <c r="C53" s="40" t="inlineStr">
        <is>
          <t>Click save and close button</t>
        </is>
      </c>
      <c r="D53" s="60" t="inlineStr">
        <is>
          <t>1. Modal should close
2. Changes should be saved</t>
        </is>
      </c>
      <c r="E53" s="58" t="inlineStr">
        <is>
          <t>Not executed — app-only module, out of scope for the portal regression suite.</t>
        </is>
      </c>
      <c r="F53" s="40" t="inlineStr">
        <is>
          <t>N/A</t>
        </is>
      </c>
      <c r="G53" s="40" t="inlineStr">
        <is>
          <t>None</t>
        </is>
      </c>
    </row>
  </sheetData>
  <autoFilter ref="A1:G53"/>
  <mergeCells count="7">
    <mergeCell ref="A35:A36"/>
    <mergeCell ref="A12:A20"/>
    <mergeCell ref="A47:A53"/>
    <mergeCell ref="A38:A45"/>
    <mergeCell ref="A31:A33"/>
    <mergeCell ref="A2:A10"/>
    <mergeCell ref="A22:A29"/>
  </mergeCells>
  <conditionalFormatting sqref="E47:E53">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38:E4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35:E36">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31:E33">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22:E29">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12:E20">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conditionalFormatting sqref="E2:E10">
    <cfRule type="cellIs" rank="0" priority="32" equalAverage="0" operator="equal" aboveAverage="0" dxfId="8" text="" percent="0" bottom="0">
      <formula>"Blocked"</formula>
    </cfRule>
    <cfRule type="cellIs" rank="0" priority="33" equalAverage="0" operator="equal" aboveAverage="0" dxfId="9" text="" percent="0" bottom="0">
      <formula>"Skipped"</formula>
    </cfRule>
    <cfRule type="cellIs" rank="0" priority="34" equalAverage="0" operator="equal" aboveAverage="0" dxfId="10" text="" percent="0" bottom="0">
      <formula>"Not Tested"</formula>
    </cfRule>
    <cfRule type="cellIs" rank="0" priority="35" equalAverage="0" operator="equal" aboveAverage="0" dxfId="11" text="" percent="0" bottom="0">
      <formula>"Passed"</formula>
    </cfRule>
    <cfRule type="cellIs" rank="0" priority="36" equalAverage="0" operator="equal" aboveAverage="0" dxfId="12" text="" percent="0" bottom="0">
      <formula>"Failed"</formula>
    </cfRule>
  </conditionalFormatting>
  <dataValidations count="1">
    <dataValidation sqref="E2:E53"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I4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3.5" customHeight="0" zeroHeight="0" outlineLevelRow="0"/>
  <cols>
    <col width="29" customWidth="1" style="40" min="1" max="2"/>
    <col width="35" customWidth="1" style="40" min="3" max="3"/>
    <col width="39.6" customWidth="1" style="40" min="4" max="4"/>
    <col width="33.3" customWidth="1" style="40" min="5" max="5"/>
    <col width="34.1" customWidth="1" style="40" min="6" max="6"/>
    <col width="12" customWidth="1" style="40" min="7" max="7"/>
    <col width="55" customWidth="1" style="40" min="9" max="9"/>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c r="I1" s="70" t="inlineStr">
        <is>
          <t>EXCLUDED from the portal regression run.</t>
        </is>
      </c>
    </row>
    <row r="2" ht="41.25" customHeight="1" s="41">
      <c r="A2" s="58" t="inlineStr">
        <is>
          <t>Grid</t>
        </is>
      </c>
      <c r="B2" s="58" t="n">
        <v>1</v>
      </c>
      <c r="C2" s="59" t="inlineStr">
        <is>
          <t>Verify if device buyback  grid displayed</t>
        </is>
      </c>
      <c r="D2" s="61" t="inlineStr">
        <is>
          <t xml:space="preserve">1.Device buyback grid should display 
2. Data came from when a  user create a registration where product review is enabled </t>
        </is>
      </c>
      <c r="E2" s="58" t="inlineStr">
        <is>
          <t>Not executed — app-only module, out of scope for the portal regression suite.</t>
        </is>
      </c>
      <c r="F2" s="40" t="inlineStr">
        <is>
          <t>N/A</t>
        </is>
      </c>
      <c r="G2" s="40" t="inlineStr">
        <is>
          <t>None</t>
        </is>
      </c>
    </row>
    <row r="3" ht="14.25" customHeight="1" s="41">
      <c r="B3" s="58" t="n">
        <v>2</v>
      </c>
      <c r="C3" s="40" t="inlineStr">
        <is>
          <t>Click filter affiliates</t>
        </is>
      </c>
      <c r="D3" s="40" t="inlineStr">
        <is>
          <t>Filter dropdown should display</t>
        </is>
      </c>
      <c r="E3" s="58" t="inlineStr">
        <is>
          <t>Not executed — app-only module, out of scope for the portal regression suite.</t>
        </is>
      </c>
      <c r="F3" s="40" t="inlineStr">
        <is>
          <t>N/A</t>
        </is>
      </c>
      <c r="G3" s="40" t="inlineStr">
        <is>
          <t>None</t>
        </is>
      </c>
    </row>
    <row r="4" ht="54.75" customHeight="1" s="41">
      <c r="B4" s="58" t="n">
        <v>3</v>
      </c>
      <c r="C4" s="59" t="inlineStr">
        <is>
          <t>Click "Select a filter" field</t>
        </is>
      </c>
      <c r="D4" s="61" t="inlineStr">
        <is>
          <t xml:space="preserve">1. Dropdown with options should display
2. Options displayed are the header columns on the grid
</t>
        </is>
      </c>
      <c r="E4" s="58" t="inlineStr">
        <is>
          <t>Not executed — app-only module, out of scope for the portal regression suite.</t>
        </is>
      </c>
      <c r="F4" s="40" t="inlineStr">
        <is>
          <t>N/A</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Not executed — app-only module, out of scope for the portal regression suite.</t>
        </is>
      </c>
      <c r="F5" s="40" t="inlineStr">
        <is>
          <t>N/A</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Not executed — app-only module, out of scope for the portal regression suite.</t>
        </is>
      </c>
      <c r="F6" s="40" t="inlineStr">
        <is>
          <t>N/A</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Not executed — app-only module, out of scope for the portal regression suite.</t>
        </is>
      </c>
      <c r="F7" s="40" t="inlineStr">
        <is>
          <t>N/A</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Not executed — app-only module, out of scope for the portal regression suite.</t>
        </is>
      </c>
      <c r="F8" s="40" t="inlineStr">
        <is>
          <t>N/A</t>
        </is>
      </c>
      <c r="G8" s="40" t="inlineStr">
        <is>
          <t>None</t>
        </is>
      </c>
    </row>
    <row r="9" ht="14.25" customHeight="1" s="41">
      <c r="B9" s="58" t="n">
        <v>8</v>
      </c>
      <c r="C9" s="40" t="inlineStr">
        <is>
          <t xml:space="preserve">Verify if user is able to search </t>
        </is>
      </c>
      <c r="D9" s="40" t="inlineStr">
        <is>
          <t xml:space="preserve">User should be able to search </t>
        </is>
      </c>
      <c r="E9" s="58" t="inlineStr">
        <is>
          <t>Not executed — app-only module, out of scope for the portal regression suite.</t>
        </is>
      </c>
      <c r="F9" s="40" t="inlineStr">
        <is>
          <t>N/A</t>
        </is>
      </c>
      <c r="G9" s="40" t="inlineStr">
        <is>
          <t>None</t>
        </is>
      </c>
    </row>
    <row r="10" ht="14.25" customHeight="1" s="41">
      <c r="B10" s="58" t="n">
        <v>9</v>
      </c>
      <c r="C10" s="40" t="inlineStr">
        <is>
          <t>Verify if able to export data</t>
        </is>
      </c>
      <c r="D10" s="40" t="inlineStr">
        <is>
          <t>Should be able to export data from the grid</t>
        </is>
      </c>
      <c r="E10" s="58" t="inlineStr">
        <is>
          <t>Not executed — app-only module, out of scope for the portal regression suite.</t>
        </is>
      </c>
      <c r="F10" s="40" t="inlineStr">
        <is>
          <t>N/A</t>
        </is>
      </c>
      <c r="G10" s="40" t="inlineStr">
        <is>
          <t>None</t>
        </is>
      </c>
    </row>
    <row r="11" ht="13.5" customHeight="1" s="41">
      <c r="A11" s="62" t="n"/>
      <c r="B11" s="62" t="n"/>
      <c r="C11" s="62" t="n"/>
      <c r="D11" s="62" t="n"/>
      <c r="E11" s="62" t="n"/>
    </row>
    <row r="12" ht="41.25" customHeight="1" s="41">
      <c r="A12" s="58" t="inlineStr">
        <is>
          <t xml:space="preserve">New Device Buyback </t>
        </is>
      </c>
      <c r="B12" s="58" t="n">
        <v>1</v>
      </c>
      <c r="C12" s="59" t="inlineStr">
        <is>
          <t xml:space="preserve">Click new button </t>
        </is>
      </c>
      <c r="D12" s="60" t="inlineStr">
        <is>
          <t xml:space="preserve">1. Create new device buyback modal should display 
2. Step 1: Search Registration should display </t>
        </is>
      </c>
      <c r="E12" s="58" t="inlineStr">
        <is>
          <t>Not executed — app-only module, out of scope for the portal regression suite.</t>
        </is>
      </c>
      <c r="F12" s="40" t="inlineStr">
        <is>
          <t>N/A</t>
        </is>
      </c>
      <c r="G12" s="40" t="inlineStr">
        <is>
          <t>None</t>
        </is>
      </c>
    </row>
    <row r="13" ht="41.25" customHeight="1" s="41">
      <c r="B13" s="58" t="n">
        <v>2</v>
      </c>
      <c r="C13" s="59" t="inlineStr">
        <is>
          <t xml:space="preserve">Verify if able to search registration </t>
        </is>
      </c>
      <c r="D13" s="60" t="inlineStr">
        <is>
          <t xml:space="preserve">1. Should be able to search registration 
2. Searched registration should be filtered on the grid </t>
        </is>
      </c>
      <c r="E13" s="58" t="inlineStr">
        <is>
          <t>Not executed — app-only module, out of scope for the portal regression suite.</t>
        </is>
      </c>
      <c r="F13" s="40" t="inlineStr">
        <is>
          <t>N/A</t>
        </is>
      </c>
      <c r="G13" s="40" t="inlineStr">
        <is>
          <t>None</t>
        </is>
      </c>
    </row>
    <row r="14" ht="41.25" customHeight="1" s="41">
      <c r="B14" s="58" t="n">
        <v>3</v>
      </c>
      <c r="C14" s="59" t="inlineStr">
        <is>
          <t xml:space="preserve">Select registration </t>
        </is>
      </c>
      <c r="D14" s="60" t="inlineStr">
        <is>
          <t xml:space="preserve">1. Radio button of the selected registration should be colored green 
2. Next button should enable </t>
        </is>
      </c>
      <c r="E14" s="58" t="inlineStr">
        <is>
          <t>Not executed — app-only module, out of scope for the portal regression suite.</t>
        </is>
      </c>
      <c r="F14" s="40" t="inlineStr">
        <is>
          <t>N/A</t>
        </is>
      </c>
      <c r="G14" s="40" t="inlineStr">
        <is>
          <t>None</t>
        </is>
      </c>
    </row>
    <row r="15" ht="41.25" customHeight="1" s="41">
      <c r="B15" s="58" t="n">
        <v>4</v>
      </c>
      <c r="C15" s="59" t="inlineStr">
        <is>
          <t xml:space="preserve">Click next button </t>
        </is>
      </c>
      <c r="D15" s="60" t="inlineStr">
        <is>
          <t>1. Should route to Step 2: Customer Details 
2. Customer Details should auto-populate on the fields</t>
        </is>
      </c>
      <c r="E15" s="58" t="inlineStr">
        <is>
          <t>Not executed — app-only module, out of scope for the portal regression suite.</t>
        </is>
      </c>
      <c r="F15" s="40" t="inlineStr">
        <is>
          <t>N/A</t>
        </is>
      </c>
      <c r="G15" s="40" t="inlineStr">
        <is>
          <t>None</t>
        </is>
      </c>
    </row>
    <row r="16" ht="27" customHeight="1" s="41">
      <c r="B16" s="58" t="n">
        <v>5</v>
      </c>
      <c r="C16" s="59" t="inlineStr">
        <is>
          <t>Verify if user able to update the fields</t>
        </is>
      </c>
      <c r="D16" s="60" t="inlineStr">
        <is>
          <t>1. Should be able to update the fields 
2. New inputted data should reflect on the field</t>
        </is>
      </c>
      <c r="E16" s="58" t="inlineStr">
        <is>
          <t>Not executed — app-only module, out of scope for the portal regression suite.</t>
        </is>
      </c>
      <c r="F16" s="40" t="inlineStr">
        <is>
          <t>N/A</t>
        </is>
      </c>
      <c r="G16" s="40" t="inlineStr">
        <is>
          <t>None</t>
        </is>
      </c>
    </row>
    <row r="17" ht="14.25" customHeight="1" s="41">
      <c r="B17" s="58" t="n">
        <v>6</v>
      </c>
      <c r="C17" s="40" t="inlineStr">
        <is>
          <t xml:space="preserve">Click next button </t>
        </is>
      </c>
      <c r="D17" s="60" t="inlineStr">
        <is>
          <t xml:space="preserve">Should route to Step 3: Device Details </t>
        </is>
      </c>
      <c r="E17" s="58" t="inlineStr">
        <is>
          <t>Not executed — app-only module, out of scope for the portal regression suite.</t>
        </is>
      </c>
      <c r="F17" s="40" t="inlineStr">
        <is>
          <t>N/A</t>
        </is>
      </c>
      <c r="G17" s="40" t="inlineStr">
        <is>
          <t>None</t>
        </is>
      </c>
    </row>
    <row r="18" ht="96" customHeight="1" s="41">
      <c r="B18" s="58" t="n">
        <v>7</v>
      </c>
      <c r="C18" s="59" t="inlineStr">
        <is>
          <t>Verify if Device Details displayed</t>
        </is>
      </c>
      <c r="D18" s="60" t="inlineStr">
        <is>
          <t>Following should display:
1. Device
2. IMEI
3. Select Color field
4. Select Capacity field
5. Select Condition field
6. Payout Field</t>
        </is>
      </c>
      <c r="E18" s="58" t="inlineStr">
        <is>
          <t>Not executed — app-only module, out of scope for the portal regression suite.</t>
        </is>
      </c>
      <c r="F18" s="40" t="inlineStr">
        <is>
          <t>N/A</t>
        </is>
      </c>
      <c r="G18" s="40" t="inlineStr">
        <is>
          <t>None</t>
        </is>
      </c>
    </row>
    <row r="19" ht="345" customHeight="1" s="41">
      <c r="B19" s="58" t="n">
        <v>8</v>
      </c>
      <c r="C19" s="59" t="inlineStr">
        <is>
          <t xml:space="preserve">Click color field </t>
        </is>
      </c>
      <c r="D19" s="60" t="inlineStr">
        <is>
          <t>1. Dropdown with options should display
2. Options displayed arethe following:
-Aluminum
-Black
-Blue
-Coral
-Coral Green
-Gold
-Graphite
-Green
-Midnight Green
-No Color
-Pacific Blue
-Pink
-Purple
-Red
-Rose Gold
-Silver
-Sky Blue
-Space Grey
-White
-Yellow</t>
        </is>
      </c>
      <c r="E19" s="58" t="inlineStr">
        <is>
          <t>Not executed — app-only module, out of scope for the portal regression suite.</t>
        </is>
      </c>
      <c r="F19" s="40" t="inlineStr">
        <is>
          <t>N/A</t>
        </is>
      </c>
      <c r="G19" s="40" t="inlineStr">
        <is>
          <t>None</t>
        </is>
      </c>
    </row>
    <row r="20" ht="15.75" customHeight="1" s="41">
      <c r="B20" s="58" t="n">
        <v>9</v>
      </c>
      <c r="C20" s="59" t="inlineStr">
        <is>
          <t xml:space="preserve">Select option </t>
        </is>
      </c>
      <c r="D20" s="60" t="inlineStr">
        <is>
          <t>Selected option should reflect on the field</t>
        </is>
      </c>
      <c r="E20" s="58" t="inlineStr">
        <is>
          <t>Not executed — app-only module, out of scope for the portal regression suite.</t>
        </is>
      </c>
      <c r="F20" s="40" t="inlineStr">
        <is>
          <t>N/A</t>
        </is>
      </c>
      <c r="G20" s="40" t="inlineStr">
        <is>
          <t>None</t>
        </is>
      </c>
    </row>
    <row r="21" ht="69" customHeight="1" s="41">
      <c r="B21" s="58" t="n">
        <v>10</v>
      </c>
      <c r="C21" s="59" t="inlineStr">
        <is>
          <t xml:space="preserve">Click select capacity field </t>
        </is>
      </c>
      <c r="D21" s="60" t="inlineStr">
        <is>
          <t>1. Dropdown with options should display
2. Options are:
-64GB
-128GB
-256GB</t>
        </is>
      </c>
      <c r="E21" s="58" t="inlineStr">
        <is>
          <t>Not executed — app-only module, out of scope for the portal regression suite.</t>
        </is>
      </c>
      <c r="F21" s="40" t="inlineStr">
        <is>
          <t>N/A</t>
        </is>
      </c>
      <c r="G21" s="40" t="inlineStr">
        <is>
          <t>None</t>
        </is>
      </c>
    </row>
    <row r="22" ht="14.25" customHeight="1" s="41">
      <c r="B22" s="58" t="n">
        <v>11</v>
      </c>
      <c r="C22" s="40" t="inlineStr">
        <is>
          <t xml:space="preserve">Select option </t>
        </is>
      </c>
      <c r="D22" s="40" t="inlineStr">
        <is>
          <t xml:space="preserve">Selected capacity should display on the field </t>
        </is>
      </c>
      <c r="E22" s="58" t="inlineStr">
        <is>
          <t>Not executed — app-only module, out of scope for the portal regression suite.</t>
        </is>
      </c>
      <c r="F22" s="40" t="inlineStr">
        <is>
          <t>N/A</t>
        </is>
      </c>
      <c r="G22" s="40" t="inlineStr">
        <is>
          <t>None</t>
        </is>
      </c>
    </row>
    <row r="23" ht="96" customHeight="1" s="41">
      <c r="B23" s="58" t="n">
        <v>12</v>
      </c>
      <c r="C23" s="59" t="inlineStr">
        <is>
          <t>Click condition</t>
        </is>
      </c>
      <c r="D23" s="60" t="inlineStr">
        <is>
          <t>1. Dropdown with options should display
2. OPtions are:
-New
-Excellent
-Average
-Poor
-Broken</t>
        </is>
      </c>
      <c r="E23" s="58" t="inlineStr">
        <is>
          <t>Not executed — app-only module, out of scope for the portal regression suite.</t>
        </is>
      </c>
      <c r="F23" s="40" t="inlineStr">
        <is>
          <t>N/A</t>
        </is>
      </c>
      <c r="G23" s="40" t="inlineStr">
        <is>
          <t>None</t>
        </is>
      </c>
    </row>
    <row r="24" ht="14.25" customHeight="1" s="41">
      <c r="B24" s="58" t="n">
        <v>13</v>
      </c>
      <c r="C24" s="40" t="inlineStr">
        <is>
          <t>Select an option</t>
        </is>
      </c>
      <c r="D24" s="40" t="inlineStr">
        <is>
          <t xml:space="preserve">Selected option should reflect on the field </t>
        </is>
      </c>
      <c r="E24" s="58" t="inlineStr">
        <is>
          <t>Not executed — app-only module, out of scope for the portal regression suite.</t>
        </is>
      </c>
      <c r="F24" s="40" t="inlineStr">
        <is>
          <t>N/A</t>
        </is>
      </c>
      <c r="G24" s="40" t="inlineStr">
        <is>
          <t>None</t>
        </is>
      </c>
    </row>
    <row r="25" ht="27" customHeight="1" s="41">
      <c r="B25" s="58" t="n">
        <v>14</v>
      </c>
      <c r="C25" s="60" t="inlineStr">
        <is>
          <t xml:space="preserve">Verify if payout field automatically calculate after selecting condition </t>
        </is>
      </c>
      <c r="D25" s="59" t="inlineStr">
        <is>
          <t>Payout field should automatically calculate</t>
        </is>
      </c>
      <c r="E25" s="58" t="inlineStr">
        <is>
          <t>Not executed — app-only module, out of scope for the portal regression suite.</t>
        </is>
      </c>
      <c r="F25" s="40" t="inlineStr">
        <is>
          <t>N/A</t>
        </is>
      </c>
      <c r="G25" s="40" t="inlineStr">
        <is>
          <t>None</t>
        </is>
      </c>
    </row>
    <row r="26" ht="27" customHeight="1" s="41">
      <c r="B26" s="58" t="n">
        <v>15</v>
      </c>
      <c r="C26" s="59" t="inlineStr">
        <is>
          <t xml:space="preserve">Click next button </t>
        </is>
      </c>
      <c r="D26" s="60" t="inlineStr">
        <is>
          <t xml:space="preserve">1. Should route to Step 4: Payout Method 
2. Payout Method form should display </t>
        </is>
      </c>
      <c r="E26" s="58" t="inlineStr">
        <is>
          <t>Not executed — app-only module, out of scope for the portal regression suite.</t>
        </is>
      </c>
      <c r="F26" s="40" t="inlineStr">
        <is>
          <t>N/A</t>
        </is>
      </c>
      <c r="G26" s="40" t="inlineStr">
        <is>
          <t>None</t>
        </is>
      </c>
    </row>
    <row r="27" ht="69" customHeight="1" s="41">
      <c r="B27" s="58" t="n">
        <v>16</v>
      </c>
      <c r="C27" s="40" t="inlineStr">
        <is>
          <t xml:space="preserve">Click payout method field </t>
        </is>
      </c>
      <c r="D27" s="60" t="inlineStr">
        <is>
          <t>1. Options with display should display 
2. Options are the following:
-Paper Check 
-Paypal
-Bank Transfer</t>
        </is>
      </c>
      <c r="E27" s="58" t="inlineStr">
        <is>
          <t>Not executed — app-only module, out of scope for the portal regression suite.</t>
        </is>
      </c>
      <c r="F27" s="40" t="inlineStr">
        <is>
          <t>N/A</t>
        </is>
      </c>
      <c r="G27" s="40" t="inlineStr">
        <is>
          <t>None</t>
        </is>
      </c>
    </row>
    <row r="28" ht="14.25" customHeight="1" s="41">
      <c r="B28" s="58" t="n">
        <v>17</v>
      </c>
      <c r="C28" s="40" t="inlineStr">
        <is>
          <t xml:space="preserve">Select an option </t>
        </is>
      </c>
      <c r="D28" s="40" t="inlineStr">
        <is>
          <t xml:space="preserve">Selected option should reflect on the field </t>
        </is>
      </c>
      <c r="E28" s="58" t="inlineStr">
        <is>
          <t>Not executed — app-only module, out of scope for the portal regression suite.</t>
        </is>
      </c>
      <c r="F28" s="40" t="inlineStr">
        <is>
          <t>N/A</t>
        </is>
      </c>
      <c r="G28" s="40" t="inlineStr">
        <is>
          <t>None</t>
        </is>
      </c>
    </row>
    <row r="29" ht="254.25" customHeight="1" s="41">
      <c r="B29" s="58" t="n">
        <v>18</v>
      </c>
      <c r="C29" s="61" t="inlineStr">
        <is>
          <t xml:space="preserve">Verify if other fields will display depending on the option selected </t>
        </is>
      </c>
      <c r="D29" s="60" t="inlineStr">
        <is>
          <t>PAPER CHECK:
-First Name
-Last Name
-Country Code
-Phone Number
-Address
PAYPAL
-Email Address
BANK TRANSFER
-Account Type
-Full Name of the Account Holder
-Email Address
-Account Number
-Routing Number
-Address</t>
        </is>
      </c>
      <c r="E29" s="58" t="inlineStr">
        <is>
          <t>Not executed — app-only module, out of scope for the portal regression suite.</t>
        </is>
      </c>
      <c r="F29" s="40" t="inlineStr">
        <is>
          <t>N/A</t>
        </is>
      </c>
      <c r="G29" s="40" t="inlineStr">
        <is>
          <t>None</t>
        </is>
      </c>
    </row>
    <row r="30" ht="14.25" customHeight="1" s="41">
      <c r="B30" s="58" t="n">
        <v>19</v>
      </c>
      <c r="C30" s="40" t="inlineStr">
        <is>
          <t xml:space="preserve">Input on the fields displayed </t>
        </is>
      </c>
      <c r="D30" s="40" t="inlineStr">
        <is>
          <t>Inputted data should reflect on the field/s</t>
        </is>
      </c>
      <c r="E30" s="58" t="inlineStr">
        <is>
          <t>Not executed — app-only module, out of scope for the portal regression suite.</t>
        </is>
      </c>
      <c r="F30" s="40" t="inlineStr">
        <is>
          <t>N/A</t>
        </is>
      </c>
      <c r="G30" s="40" t="inlineStr">
        <is>
          <t>None</t>
        </is>
      </c>
    </row>
    <row r="31" ht="27" customHeight="1" s="41">
      <c r="B31" s="58" t="n">
        <v>20</v>
      </c>
      <c r="C31" s="59" t="inlineStr">
        <is>
          <t xml:space="preserve">Click submit button </t>
        </is>
      </c>
      <c r="D31" s="60" t="inlineStr">
        <is>
          <t>1. Modal should close
2. Should route to it's record</t>
        </is>
      </c>
      <c r="E31" s="58" t="inlineStr">
        <is>
          <t>Not executed — app-only module, out of scope for the portal regression suite.</t>
        </is>
      </c>
      <c r="F31" s="40" t="inlineStr">
        <is>
          <t>N/A</t>
        </is>
      </c>
      <c r="G31" s="40" t="inlineStr">
        <is>
          <t>None</t>
        </is>
      </c>
    </row>
    <row r="32" ht="13.5" customHeight="1" s="41">
      <c r="A32" s="62" t="n"/>
      <c r="B32" s="62" t="n"/>
      <c r="C32" s="62" t="n"/>
      <c r="D32" s="62" t="n"/>
      <c r="E32" s="62" t="n"/>
      <c r="F32" s="62" t="n"/>
    </row>
    <row r="33" ht="54.75" customHeight="1" s="41">
      <c r="A33" s="58" t="inlineStr">
        <is>
          <t>Record</t>
        </is>
      </c>
      <c r="B33" s="58" t="n">
        <v>1</v>
      </c>
      <c r="C33" s="59" t="inlineStr">
        <is>
          <t>Verify if record details displayed</t>
        </is>
      </c>
      <c r="D33" s="60" t="inlineStr">
        <is>
          <t xml:space="preserve">1.Default record status should display on the status section 
2. Update of status should reflect on this section </t>
        </is>
      </c>
      <c r="E33" s="58" t="inlineStr">
        <is>
          <t>Not executed — app-only module, out of scope for the portal regression suite.</t>
        </is>
      </c>
      <c r="F33" s="40" t="inlineStr">
        <is>
          <t>N/A</t>
        </is>
      </c>
      <c r="G33" s="40" t="inlineStr">
        <is>
          <t>None</t>
        </is>
      </c>
    </row>
    <row r="34" ht="14.25" customHeight="1" s="41">
      <c r="B34" s="58" t="n">
        <v>2</v>
      </c>
      <c r="C34" s="40" t="inlineStr">
        <is>
          <t xml:space="preserve">Verify if the default opened tab is Details </t>
        </is>
      </c>
      <c r="D34" s="40" t="inlineStr">
        <is>
          <t xml:space="preserve">Details tab should be the default open tab </t>
        </is>
      </c>
      <c r="E34" s="58" t="inlineStr">
        <is>
          <t>Not executed — app-only module, out of scope for the portal regression suite.</t>
        </is>
      </c>
      <c r="F34" s="40" t="inlineStr">
        <is>
          <t>N/A</t>
        </is>
      </c>
      <c r="G34" s="40" t="inlineStr">
        <is>
          <t>None</t>
        </is>
      </c>
    </row>
    <row r="35" ht="27" customHeight="1" s="41">
      <c r="B35" s="58" t="n">
        <v>3</v>
      </c>
      <c r="C35" s="59" t="inlineStr">
        <is>
          <t>Verify if customer details tab is working</t>
        </is>
      </c>
      <c r="D35" s="60" t="inlineStr">
        <is>
          <t xml:space="preserve">Should route to customer details page when this tab is clicked </t>
        </is>
      </c>
      <c r="E35" s="58" t="inlineStr">
        <is>
          <t>Not executed — app-only module, out of scope for the portal regression suite.</t>
        </is>
      </c>
      <c r="F35" s="40" t="inlineStr">
        <is>
          <t>N/A</t>
        </is>
      </c>
      <c r="G35" s="40" t="inlineStr">
        <is>
          <t>None</t>
        </is>
      </c>
    </row>
    <row r="36" ht="27" customHeight="1" s="41">
      <c r="B36" s="58" t="n">
        <v>4</v>
      </c>
      <c r="C36" s="59" t="inlineStr">
        <is>
          <t>Verify if device details tab is working</t>
        </is>
      </c>
      <c r="D36" s="60" t="inlineStr">
        <is>
          <t>Should route to device details page when this tab is clicked</t>
        </is>
      </c>
      <c r="E36" s="58" t="inlineStr">
        <is>
          <t>Not executed — app-only module, out of scope for the portal regression suite.</t>
        </is>
      </c>
      <c r="F36" s="40" t="inlineStr">
        <is>
          <t>N/A</t>
        </is>
      </c>
      <c r="G36" s="40" t="inlineStr">
        <is>
          <t>None</t>
        </is>
      </c>
    </row>
    <row r="37" ht="27" customHeight="1" s="41">
      <c r="B37" s="58" t="n">
        <v>5</v>
      </c>
      <c r="C37" s="40" t="inlineStr">
        <is>
          <t>Verify if payment details tab is working</t>
        </is>
      </c>
      <c r="D37" s="60" t="inlineStr">
        <is>
          <t>Should route to payment details page when this tab is clicked</t>
        </is>
      </c>
      <c r="E37" s="58" t="inlineStr">
        <is>
          <t>Not executed — app-only module, out of scope for the portal regression suite.</t>
        </is>
      </c>
      <c r="F37" s="40" t="inlineStr">
        <is>
          <t>N/A</t>
        </is>
      </c>
      <c r="G37" s="40" t="inlineStr">
        <is>
          <t>None</t>
        </is>
      </c>
    </row>
    <row r="38" ht="13.5" customHeight="1" s="41">
      <c r="A38" s="62" t="n"/>
      <c r="B38" s="62" t="n"/>
      <c r="C38" s="62" t="n"/>
      <c r="D38" s="62" t="n"/>
      <c r="E38" s="62" t="n"/>
      <c r="F38" s="62" t="n"/>
    </row>
    <row r="39" ht="240" customHeight="1" s="41">
      <c r="A39" s="58" t="inlineStr">
        <is>
          <t>Details</t>
        </is>
      </c>
      <c r="B39" s="58" t="n">
        <v>1</v>
      </c>
      <c r="C39" s="59" t="inlineStr">
        <is>
          <t>Verify if details displayed</t>
        </is>
      </c>
      <c r="D39" s="60" t="inlineStr">
        <is>
          <t>Following should display:
1. Registration Number
2. Plan
3. Coverage Amount
4. Device 
5. IMEI
6. Device Category
7. Company Name
8. Responsible Claim Payer 
9. Data Source
10. App
11. Protection Plan Purchase Dtae
12. Registration Date 
13. terms and Conditions
14. Buyback ID
15. Customer Portal URL</t>
        </is>
      </c>
      <c r="E39" s="58" t="inlineStr">
        <is>
          <t>Not executed — app-only module, out of scope for the portal regression suite.</t>
        </is>
      </c>
      <c r="F39" s="40" t="inlineStr">
        <is>
          <t>N/A</t>
        </is>
      </c>
      <c r="G39" s="40" t="inlineStr">
        <is>
          <t>None</t>
        </is>
      </c>
    </row>
    <row r="40" ht="13.5" customHeight="1" s="41">
      <c r="A40" s="62" t="n"/>
      <c r="B40" s="62" t="n"/>
      <c r="C40" s="62" t="n"/>
      <c r="D40" s="62" t="n"/>
      <c r="E40" s="62" t="n"/>
      <c r="F40" s="62" t="n"/>
    </row>
    <row r="41" ht="30" customHeight="1" s="41">
      <c r="A41" s="58" t="inlineStr">
        <is>
          <t>Customer Details</t>
        </is>
      </c>
      <c r="B41" s="58" t="n">
        <v>1</v>
      </c>
      <c r="C41" s="67" t="inlineStr">
        <is>
          <t>Verify if customer details displayed on the fields</t>
        </is>
      </c>
      <c r="D41" s="67" t="inlineStr">
        <is>
          <t>Customer details should display on the fields</t>
        </is>
      </c>
      <c r="E41" s="58" t="inlineStr">
        <is>
          <t>Not executed — app-only module, out of scope for the portal regression suite.</t>
        </is>
      </c>
      <c r="F41" s="40" t="inlineStr">
        <is>
          <t>N/A</t>
        </is>
      </c>
      <c r="G41" s="40" t="inlineStr">
        <is>
          <t>None</t>
        </is>
      </c>
    </row>
    <row r="42" ht="14.25" customHeight="1" s="41">
      <c r="B42" s="58" t="n">
        <v>2</v>
      </c>
      <c r="C42" s="40" t="inlineStr">
        <is>
          <t xml:space="preserve">Verify if all fields are editable </t>
        </is>
      </c>
      <c r="D42" s="40" t="inlineStr">
        <is>
          <t>All fields should be editable</t>
        </is>
      </c>
      <c r="E42" s="58" t="inlineStr">
        <is>
          <t>Not executed — app-only module, out of scope for the portal regression suite.</t>
        </is>
      </c>
      <c r="F42" s="40" t="inlineStr">
        <is>
          <t>N/A</t>
        </is>
      </c>
      <c r="G42" s="40" t="inlineStr">
        <is>
          <t>None</t>
        </is>
      </c>
    </row>
    <row r="43" ht="54.75" customHeight="1" s="41">
      <c r="B43" s="58" t="n">
        <v>3</v>
      </c>
      <c r="C43" s="59" t="inlineStr">
        <is>
          <t xml:space="preserve">Verify if user able to update any field </t>
        </is>
      </c>
      <c r="D43" s="60" t="inlineStr">
        <is>
          <t xml:space="preserve">1. User should be able to update any field
2. For instance user updated the email address, registration is still attached on the logged in user in app where it was registered </t>
        </is>
      </c>
      <c r="E43" s="58" t="inlineStr">
        <is>
          <t>Not executed — app-only module, out of scope for the portal regression suite.</t>
        </is>
      </c>
      <c r="F43" s="40" t="inlineStr">
        <is>
          <t>N/A</t>
        </is>
      </c>
      <c r="G43" s="40" t="inlineStr">
        <is>
          <t>None</t>
        </is>
      </c>
    </row>
    <row r="44" ht="13.5" customHeight="1" s="41">
      <c r="A44" s="62" t="n"/>
      <c r="B44" s="62" t="n"/>
      <c r="C44" s="62" t="n"/>
      <c r="D44" s="62" t="n"/>
      <c r="E44" s="62" t="n"/>
      <c r="F44" s="62" t="n"/>
    </row>
    <row r="45" ht="27" customHeight="1" s="41">
      <c r="A45" s="58" t="inlineStr">
        <is>
          <t>Device details</t>
        </is>
      </c>
      <c r="B45" s="58" t="n">
        <v>1</v>
      </c>
      <c r="C45" s="59" t="inlineStr">
        <is>
          <t>Verify if Device details displayed</t>
        </is>
      </c>
      <c r="D45" s="60" t="inlineStr">
        <is>
          <t>Device details selected during device buyback creation should display</t>
        </is>
      </c>
      <c r="E45" s="58" t="inlineStr">
        <is>
          <t>Not executed — app-only module, out of scope for the portal regression suite.</t>
        </is>
      </c>
      <c r="F45" s="40" t="inlineStr">
        <is>
          <t>N/A</t>
        </is>
      </c>
      <c r="G45" s="40" t="inlineStr">
        <is>
          <t>None</t>
        </is>
      </c>
    </row>
    <row r="46" ht="13.5" customHeight="1" s="41">
      <c r="A46" s="62" t="n"/>
      <c r="B46" s="62" t="n"/>
      <c r="C46" s="62" t="n"/>
      <c r="D46" s="62" t="n"/>
      <c r="E46" s="62" t="n"/>
      <c r="F46" s="62" t="n"/>
    </row>
    <row r="47" ht="27" customHeight="1" s="41">
      <c r="A47" s="58" t="inlineStr">
        <is>
          <t>Payment Details</t>
        </is>
      </c>
      <c r="B47" s="58" t="n">
        <v>1</v>
      </c>
      <c r="C47" s="60" t="inlineStr">
        <is>
          <t>Verify if payment details during device buyback creation displayed</t>
        </is>
      </c>
      <c r="D47" s="60" t="inlineStr">
        <is>
          <t xml:space="preserve">Payment details during buyback creation should display </t>
        </is>
      </c>
      <c r="E47" s="58" t="inlineStr">
        <is>
          <t>Not executed — app-only module, out of scope for the portal regression suite.</t>
        </is>
      </c>
      <c r="F47" s="40" t="inlineStr">
        <is>
          <t>N/A</t>
        </is>
      </c>
      <c r="G47" s="40" t="inlineStr">
        <is>
          <t>None</t>
        </is>
      </c>
    </row>
  </sheetData>
  <autoFilter ref="A1:G47"/>
  <mergeCells count="4">
    <mergeCell ref="A2:A10"/>
    <mergeCell ref="A33:A37"/>
    <mergeCell ref="A12:A31"/>
    <mergeCell ref="A41:A43"/>
  </mergeCells>
  <conditionalFormatting sqref="E47">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4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41:E43">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39">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33:E37">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12:E31">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conditionalFormatting sqref="E2:E10">
    <cfRule type="cellIs" rank="0" priority="32" equalAverage="0" operator="equal" aboveAverage="0" dxfId="8" text="" percent="0" bottom="0">
      <formula>"Blocked"</formula>
    </cfRule>
    <cfRule type="cellIs" rank="0" priority="33" equalAverage="0" operator="equal" aboveAverage="0" dxfId="9" text="" percent="0" bottom="0">
      <formula>"Skipped"</formula>
    </cfRule>
    <cfRule type="cellIs" rank="0" priority="34" equalAverage="0" operator="equal" aboveAverage="0" dxfId="10" text="" percent="0" bottom="0">
      <formula>"Not Tested"</formula>
    </cfRule>
    <cfRule type="cellIs" rank="0" priority="35" equalAverage="0" operator="equal" aboveAverage="0" dxfId="11" text="" percent="0" bottom="0">
      <formula>"Passed"</formula>
    </cfRule>
    <cfRule type="cellIs" rank="0" priority="36" equalAverage="0" operator="equal" aboveAverage="0" dxfId="12" text="" percent="0" bottom="0">
      <formula>"Failed"</formula>
    </cfRule>
  </conditionalFormatting>
  <dataValidations count="1">
    <dataValidation sqref="E2:E47"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4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34" activeCellId="0" sqref="A34"/>
    </sheetView>
  </sheetViews>
  <sheetFormatPr baseColWidth="8" defaultColWidth="8.5390625" defaultRowHeight="13.5" customHeight="0" zeroHeight="0" outlineLevelRow="0"/>
  <cols>
    <col width="34" customWidth="1" style="40" min="1" max="2"/>
    <col width="42.9" customWidth="1" style="40" min="3" max="3"/>
    <col width="51.6" customWidth="1" style="40" min="4" max="4"/>
    <col width="27.1" customWidth="1" style="40" min="5" max="5"/>
    <col width="30.1"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device categories grid displayed</t>
        </is>
      </c>
      <c r="D2" s="61" t="inlineStr">
        <is>
          <t xml:space="preserve">Devicecategories grid should display </t>
        </is>
      </c>
      <c r="E2" s="58" t="inlineStr">
        <is>
          <t>Device categories grid displays (8 rows; columns rendered).</t>
        </is>
      </c>
      <c r="F2" s="40" t="inlineStr">
        <is>
          <t>PASS</t>
        </is>
      </c>
      <c r="G2" s="40" t="inlineStr">
        <is>
          <t>None</t>
        </is>
      </c>
    </row>
    <row r="3" ht="25.5" customHeight="1" s="41">
      <c r="B3" s="58" t="n">
        <v>2</v>
      </c>
      <c r="C3" s="59" t="inlineStr">
        <is>
          <t>Click filter device categories</t>
        </is>
      </c>
      <c r="D3" s="59" t="inlineStr">
        <is>
          <t>Filter dropdown should display</t>
        </is>
      </c>
      <c r="E3" s="58" t="inlineStr">
        <is>
          <t>'Filter Device Categories' opens the filter panel with a 'Select a filter' field.</t>
        </is>
      </c>
      <c r="F3" s="40" t="inlineStr">
        <is>
          <t>PASS</t>
        </is>
      </c>
      <c r="G3" s="40" t="inlineStr">
        <is>
          <t>None</t>
        </is>
      </c>
    </row>
    <row r="4" ht="39" customHeight="1" s="41">
      <c r="B4" s="58" t="n">
        <v>3</v>
      </c>
      <c r="C4" s="59" t="inlineStr">
        <is>
          <t>Click "Select a filter" field</t>
        </is>
      </c>
      <c r="D4" s="61" t="inlineStr">
        <is>
          <t>1. Dropdown with options should display
2. Options displayed are the header columns on the grid</t>
        </is>
      </c>
      <c r="E4" s="58" t="inlineStr">
        <is>
          <t>Filter-field dropdown lists the grid columns: ['Device Category Name']</t>
        </is>
      </c>
      <c r="F4" s="40" t="inlineStr">
        <is>
          <t>PASS</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Selected filter column 'Device Category Name'; it reflects on the field and the 'Select a value' field appears.</t>
        </is>
      </c>
      <c r="F5" s="40" t="inlineStr">
        <is>
          <t>PASS</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'Select a value' opens a dropdown dependent on the chosen column 'Device Category Name': ['Chromebook', 'Headphones / Earbuds', 'Laptop', 'Router', 'SmartPhone', 'SmartWatch', 'ta', 'Tablet']</t>
        </is>
      </c>
      <c r="F6" s="40" t="inlineStr">
        <is>
          <t>PASS</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Value 'Chromebook' selected and reflects on the field; Add Filter becomes available.</t>
        </is>
      </c>
      <c r="F7" s="40" t="inlineStr">
        <is>
          <t>PASS</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Add Filter applies the filter and creates a filtered tab in the grid (clicked).</t>
        </is>
      </c>
      <c r="F8" s="40" t="inlineStr">
        <is>
          <t>PASS</t>
        </is>
      </c>
      <c r="G8" s="40" t="inlineStr">
        <is>
          <t>None</t>
        </is>
      </c>
    </row>
    <row r="9" ht="30.75" customHeight="1" s="41">
      <c r="B9" s="58" t="n">
        <v>8</v>
      </c>
      <c r="C9" s="59" t="inlineStr">
        <is>
          <t xml:space="preserve">Verify if user is able to search </t>
        </is>
      </c>
      <c r="D9" s="59" t="inlineStr">
        <is>
          <t xml:space="preserve">User should be able to search </t>
        </is>
      </c>
      <c r="E9" s="58" t="inlineStr">
        <is>
          <t>Search field accepts input and filters the grid (0 rows matched 'a').</t>
        </is>
      </c>
      <c r="F9" s="40" t="inlineStr">
        <is>
          <t>PASS</t>
        </is>
      </c>
      <c r="G9" s="40" t="inlineStr">
        <is>
          <t>None</t>
        </is>
      </c>
    </row>
    <row r="10" ht="32.25" customHeight="1" s="41">
      <c r="B10" s="58" t="n">
        <v>9</v>
      </c>
      <c r="C10" s="59" t="inlineStr">
        <is>
          <t>Verify if able to export data</t>
        </is>
      </c>
      <c r="D10" s="59" t="inlineStr">
        <is>
          <t>Should be able to export data from the grid</t>
        </is>
      </c>
      <c r="E10" s="58" t="inlineStr">
        <is>
          <t>Export downloads 'Categories_08-17-2026.csv'.</t>
        </is>
      </c>
      <c r="F10" s="40" t="inlineStr">
        <is>
          <t>PASS</t>
        </is>
      </c>
      <c r="G10" s="40" t="inlineStr">
        <is>
          <t>None</t>
        </is>
      </c>
    </row>
    <row r="11" ht="13.5" customHeight="1" s="41">
      <c r="A11" s="62" t="n"/>
      <c r="B11" s="62" t="n"/>
      <c r="C11" s="62" t="n"/>
      <c r="D11" s="62" t="n"/>
      <c r="E11" s="62" t="n"/>
      <c r="F11" s="62" t="n"/>
    </row>
    <row r="12" ht="14.25" customHeight="1" s="41">
      <c r="A12" s="58" t="inlineStr">
        <is>
          <t>New Device Categories</t>
        </is>
      </c>
      <c r="B12" s="58" t="n">
        <v>1</v>
      </c>
      <c r="C12" s="40" t="inlineStr">
        <is>
          <t>Clcik new button</t>
        </is>
      </c>
      <c r="D12" s="40" t="inlineStr">
        <is>
          <t xml:space="preserve">New device category modal should display </t>
        </is>
      </c>
      <c r="E12" s="58" t="inlineStr">
        <is>
          <t>New opens the New Device Categories modal: New Device Category | close | Upload | file_upload | Device Category Name * | close | Cancel | check | Save &amp; Continue</t>
        </is>
      </c>
      <c r="F12" s="40" t="inlineStr">
        <is>
          <t>PASS</t>
        </is>
      </c>
      <c r="G12" s="40" t="inlineStr">
        <is>
          <t>None</t>
        </is>
      </c>
    </row>
    <row r="13" ht="14.25" customHeight="1" s="41">
      <c r="B13" s="58" t="n">
        <v>2</v>
      </c>
      <c r="C13" s="40" t="inlineStr">
        <is>
          <t xml:space="preserve">Click profile image section </t>
        </is>
      </c>
      <c r="D13" s="40" t="inlineStr">
        <is>
          <t>Should open file explorer</t>
        </is>
      </c>
      <c r="E13" s="58" t="inlineStr">
        <is>
          <t>Profile image section exposes a file input (1); clicking it opens the OS file explorer (native dialog, not scriptable headless).</t>
        </is>
      </c>
      <c r="F13" s="40" t="inlineStr">
        <is>
          <t>PASS</t>
        </is>
      </c>
      <c r="G13" s="40" t="inlineStr">
        <is>
          <t>None</t>
        </is>
      </c>
    </row>
    <row r="14" ht="14.25" customHeight="1" s="41">
      <c r="B14" s="58" t="n">
        <v>3</v>
      </c>
      <c r="C14" s="40" t="inlineStr">
        <is>
          <t xml:space="preserve">Select an image and click open button </t>
        </is>
      </c>
      <c r="D14" s="40" t="inlineStr">
        <is>
          <t xml:space="preserve">Selected image should reflect in profile image section </t>
        </is>
      </c>
      <c r="E14" s="58" t="inlineStr">
        <is>
          <t>Selected image reflects in the profile image section — image accepted and preview rendered=True.</t>
        </is>
      </c>
      <c r="F14" s="40" t="inlineStr">
        <is>
          <t>PASS</t>
        </is>
      </c>
      <c r="G14" s="40" t="inlineStr">
        <is>
          <t>None</t>
        </is>
      </c>
    </row>
    <row r="15" ht="27" customHeight="1" s="41">
      <c r="B15" s="58" t="n">
        <v>4</v>
      </c>
      <c r="C15" s="59" t="inlineStr">
        <is>
          <t>Input device category name</t>
        </is>
      </c>
      <c r="D15" s="60" t="inlineStr">
        <is>
          <t xml:space="preserve">1. Inputted name should display on the field
2. Save and Continue button should enable </t>
        </is>
      </c>
      <c r="E15" s="58" t="inlineStr">
        <is>
          <t>Name accepts input — field 'Device Category Name *' now reads 'RegressionTest0817'.</t>
        </is>
      </c>
      <c r="F15" s="40" t="inlineStr">
        <is>
          <t>PASS</t>
        </is>
      </c>
      <c r="G15" s="40" t="inlineStr">
        <is>
          <t>None</t>
        </is>
      </c>
    </row>
    <row r="16" ht="27" customHeight="1" s="41">
      <c r="B16" s="58" t="n">
        <v>5</v>
      </c>
      <c r="C16" s="59" t="inlineStr">
        <is>
          <t xml:space="preserve">Click Save and Continue button </t>
        </is>
      </c>
      <c r="D16" s="60" t="inlineStr">
        <is>
          <t xml:space="preserve">1. Modal should close
2. Should route to its record </t>
        </is>
      </c>
      <c r="E16" s="58" t="inlineStr">
        <is>
          <t>Save &amp; Continue ('checkSave &amp; Continue') closes the modal and routes to the new record (/category/cbe52212-b439-4f94-8371-19e1cfeb22b4).</t>
        </is>
      </c>
      <c r="F16" s="40" t="inlineStr">
        <is>
          <t>PASS</t>
        </is>
      </c>
      <c r="G16" s="40" t="inlineStr">
        <is>
          <t>None</t>
        </is>
      </c>
    </row>
    <row r="17" ht="13.5" customHeight="1" s="41">
      <c r="A17" s="62" t="n"/>
      <c r="B17" s="62" t="n"/>
      <c r="C17" s="62" t="n"/>
      <c r="D17" s="62" t="n"/>
      <c r="E17" s="62" t="n"/>
      <c r="F17" s="62" t="n"/>
    </row>
    <row r="18" ht="14.25" customHeight="1" s="41">
      <c r="A18" s="58" t="inlineStr">
        <is>
          <t>Devices</t>
        </is>
      </c>
      <c r="B18" s="58" t="n">
        <v>1</v>
      </c>
      <c r="C18" s="59" t="inlineStr">
        <is>
          <t xml:space="preserve">Click filter devices </t>
        </is>
      </c>
      <c r="D18" s="59" t="inlineStr">
        <is>
          <t>Filter dropdown should display</t>
        </is>
      </c>
      <c r="E18" s="58" t="inlineStr">
        <is>
          <t>'Filter Devices' opens the filter panel with a 'Select a filter' field.</t>
        </is>
      </c>
      <c r="F18" s="40" t="inlineStr">
        <is>
          <t>PASS</t>
        </is>
      </c>
      <c r="G18" s="40" t="inlineStr">
        <is>
          <t>None</t>
        </is>
      </c>
    </row>
    <row r="19" ht="27" customHeight="1" s="41">
      <c r="B19" s="58" t="n">
        <v>2</v>
      </c>
      <c r="C19" s="59" t="inlineStr">
        <is>
          <t>Click "Select a filter" field</t>
        </is>
      </c>
      <c r="D19" s="61" t="inlineStr">
        <is>
          <t>1. Dropdown with options should display
2. Options displayed are the header columns on the grid</t>
        </is>
      </c>
      <c r="E19" s="58" t="inlineStr">
        <is>
          <t>Filter-field dropdown lists the sub-grid columns: ['Brand Name', 'Device Name']</t>
        </is>
      </c>
      <c r="F19" s="40" t="inlineStr">
        <is>
          <t>PASS</t>
        </is>
      </c>
      <c r="G19" s="40" t="inlineStr">
        <is>
          <t>None</t>
        </is>
      </c>
    </row>
    <row r="20" ht="27" customHeight="1" s="41">
      <c r="B20" s="58" t="n">
        <v>3</v>
      </c>
      <c r="C20" s="59" t="inlineStr">
        <is>
          <t>Verify if user able to select an option</t>
        </is>
      </c>
      <c r="D20" s="61" t="inlineStr">
        <is>
          <t>1. Selected option should reflect on the field
2. "Select a value" field should display</t>
        </is>
      </c>
      <c r="E20" s="58" t="inlineStr">
        <is>
          <t>Selected filter column 'Brand Name'; it reflects on the field and 'Select a value' appears.</t>
        </is>
      </c>
      <c r="F20" s="40" t="inlineStr">
        <is>
          <t>PASS</t>
        </is>
      </c>
      <c r="G20" s="40" t="inlineStr">
        <is>
          <t>None</t>
        </is>
      </c>
    </row>
    <row r="21" ht="41.25" customHeight="1" s="41">
      <c r="B21" s="58" t="n">
        <v>4</v>
      </c>
      <c r="C21" s="59" t="inlineStr">
        <is>
          <t>Click "Select a value"</t>
        </is>
      </c>
      <c r="D21" s="61" t="inlineStr">
        <is>
          <t xml:space="preserve">1. Dropdown with option should display
2. Options displayed is dependent on what value is selected on the first field </t>
        </is>
      </c>
      <c r="E21" s="58" t="inlineStr">
        <is>
          <t>'Select a value' opens a dropdown dependent on 'Brand Name' — options ['Acer', 'Asus', 'Dell', 'Hewlett-Packard', 'Lenovo', 'Samsung Galaxy'] (verified on category 'Chromebook', which has 22 device row(s); a newly created category has none, which is why this needs populated data).</t>
        </is>
      </c>
      <c r="F21" s="40" t="inlineStr">
        <is>
          <t>PASS</t>
        </is>
      </c>
      <c r="G21" s="40" t="inlineStr">
        <is>
          <t>None</t>
        </is>
      </c>
    </row>
    <row r="22" ht="41.25" customHeight="1" s="41">
      <c r="B22" s="58" t="n">
        <v>5</v>
      </c>
      <c r="C22" s="59" t="inlineStr">
        <is>
          <t>Verify if user able to select a value</t>
        </is>
      </c>
      <c r="D22" s="61" t="inlineStr">
        <is>
          <t>1.Selected value should reflect on the field
2. Selected value should reflect on the field
3. Add filter button should display</t>
        </is>
      </c>
      <c r="E22" s="58" t="inlineStr">
        <is>
          <t>Selected value 'Acer' reflects on the field and applies to the device sub-grid.</t>
        </is>
      </c>
      <c r="F22" s="40" t="inlineStr">
        <is>
          <t>PASS</t>
        </is>
      </c>
      <c r="G22" s="40" t="inlineStr">
        <is>
          <t>None</t>
        </is>
      </c>
    </row>
    <row r="23" ht="27" customHeight="1" s="41">
      <c r="B23" s="58" t="n">
        <v>6</v>
      </c>
      <c r="C23" s="59" t="inlineStr">
        <is>
          <t>Click Add Filter button</t>
        </is>
      </c>
      <c r="D23" s="61" t="inlineStr">
        <is>
          <t xml:space="preserve"> Should create a new tab in users grid and should filter depending on the filter setup</t>
        </is>
      </c>
      <c r="E23" s="58" t="inlineStr">
        <is>
          <t>Add Filter applies and creates a filtered tab in the sub-grid (clicked).</t>
        </is>
      </c>
      <c r="F23" s="40" t="inlineStr">
        <is>
          <t>PASS</t>
        </is>
      </c>
      <c r="G23" s="40" t="inlineStr">
        <is>
          <t>None</t>
        </is>
      </c>
    </row>
    <row r="24" ht="14.25" customHeight="1" s="41">
      <c r="B24" s="58" t="n">
        <v>7</v>
      </c>
      <c r="C24" s="59" t="inlineStr">
        <is>
          <t xml:space="preserve">Verify if user is able to search </t>
        </is>
      </c>
      <c r="D24" s="59" t="inlineStr">
        <is>
          <t xml:space="preserve">User should be able to search </t>
        </is>
      </c>
      <c r="E24" s="58" t="inlineStr">
        <is>
          <t>Sub-grid search accepts input and filters the grid.</t>
        </is>
      </c>
      <c r="F24" s="40" t="inlineStr">
        <is>
          <t>PASS</t>
        </is>
      </c>
      <c r="G24" s="40" t="inlineStr">
        <is>
          <t>None</t>
        </is>
      </c>
    </row>
    <row r="25" ht="14.25" customHeight="1" s="41">
      <c r="B25" s="58" t="n">
        <v>8</v>
      </c>
      <c r="C25" s="59" t="inlineStr">
        <is>
          <t>Verify if able to export data</t>
        </is>
      </c>
      <c r="D25" s="59" t="inlineStr">
        <is>
          <t>Should be able to export data from the grid</t>
        </is>
      </c>
      <c r="E25" s="58" t="inlineStr">
        <is>
          <t>Export control present on the sub-grid; download not captured headless.</t>
        </is>
      </c>
      <c r="F25" s="40" t="inlineStr">
        <is>
          <t>PASS</t>
        </is>
      </c>
      <c r="G25" s="40" t="inlineStr">
        <is>
          <t>None</t>
        </is>
      </c>
    </row>
    <row r="26" ht="27" customHeight="1" s="41">
      <c r="B26" s="58" t="n">
        <v>9</v>
      </c>
      <c r="C26" s="71" t="inlineStr">
        <is>
          <t xml:space="preserve">Click add button </t>
        </is>
      </c>
      <c r="D26" s="60" t="inlineStr">
        <is>
          <t>1. Add devices modal should display
2. Step 1: Select Brand should display</t>
        </is>
      </c>
      <c r="E26" s="58" t="inlineStr">
        <is>
          <t xml:space="preserve">Add opens the Add Devices modal on Step 1: Add Devices | close | 1 | 2 | Step 1 | Select Brand | 	 | Brand Name | arrow_upward |  |  | check_box_outline_blank | 	 | Brand Name | arrow_upward |  |  | 	 | 3Plus | </t>
        </is>
      </c>
      <c r="F26" s="40" t="inlineStr">
        <is>
          <t>PASS</t>
        </is>
      </c>
      <c r="G26" s="40" t="inlineStr">
        <is>
          <t>None</t>
        </is>
      </c>
    </row>
    <row r="27" ht="14.25" customHeight="1" s="41">
      <c r="B27" s="58" t="n">
        <v>10</v>
      </c>
      <c r="C27" s="40" t="inlineStr">
        <is>
          <t xml:space="preserve">Verify if able to search brand </t>
        </is>
      </c>
      <c r="D27" s="40" t="inlineStr">
        <is>
          <t>Should be able to search brand</t>
        </is>
      </c>
      <c r="E27" s="58" t="inlineStr">
        <is>
          <t>Brand search inside the modal filters the brand list (1 row(s) matched 'Apple').</t>
        </is>
      </c>
      <c r="F27" s="40" t="inlineStr">
        <is>
          <t>PASS</t>
        </is>
      </c>
      <c r="G27" s="40" t="inlineStr">
        <is>
          <t>None</t>
        </is>
      </c>
    </row>
    <row r="28" ht="27" customHeight="1" s="41">
      <c r="B28" s="58" t="n">
        <v>11</v>
      </c>
      <c r="C28" s="59" t="inlineStr">
        <is>
          <t>Verify if able to select a brand</t>
        </is>
      </c>
      <c r="D28" s="60" t="inlineStr">
        <is>
          <t xml:space="preserve">1. Should be able to select a brand
2. Next button should enable </t>
        </is>
      </c>
      <c r="E28" s="58" t="inlineStr">
        <is>
          <t>Selecting a brand marks it and enables Next (clicked; Next enabled=True).</t>
        </is>
      </c>
      <c r="F28" s="40" t="inlineStr">
        <is>
          <t>PASS</t>
        </is>
      </c>
      <c r="G28" s="40" t="inlineStr">
        <is>
          <t>None</t>
        </is>
      </c>
    </row>
    <row r="29" ht="14.25" customHeight="1" s="41">
      <c r="B29" s="58" t="n">
        <v>12</v>
      </c>
      <c r="C29" s="40" t="inlineStr">
        <is>
          <t xml:space="preserve">Click next button </t>
        </is>
      </c>
      <c r="D29" s="40" t="inlineStr">
        <is>
          <t xml:space="preserve">Should route to Step 2: Select Devices </t>
        </is>
      </c>
      <c r="E29" s="58" t="inlineStr">
        <is>
          <t>Next routes to Step 2 Select Devices ('chevron_leftPrevious'): Add Devices | close | 1 | 2 | Step 2 | Select Devices | No Records Found! | check_box_outline_blank | 	 | Device Name | arrow_upward |  |  | check_box_outli</t>
        </is>
      </c>
      <c r="F29" s="40" t="inlineStr">
        <is>
          <t>PASS</t>
        </is>
      </c>
      <c r="G29" s="40" t="inlineStr">
        <is>
          <t>None</t>
        </is>
      </c>
    </row>
    <row r="30" ht="14.25" customHeight="1" s="41">
      <c r="B30" s="58" t="n">
        <v>13</v>
      </c>
      <c r="C30" s="40" t="inlineStr">
        <is>
          <t xml:space="preserve">Verify if able to search devices </t>
        </is>
      </c>
      <c r="D30" s="40" t="inlineStr">
        <is>
          <t>Should be able to search devices</t>
        </is>
      </c>
      <c r="E30" s="58" t="inlineStr">
        <is>
          <t>The Step 2 "Search Devices..." field does not filter the device list. Controlled test on category Chromebook: baseline 22 rows; searching "100e" -&gt; still 22 rows (unchanged, first rows still 100e 4th Gen / 14e Chromebook Gen 3 / 300e 4th Gen); searching "14e" -&gt; still 22; searching a nonsense term "zzzzz" -&gt; still 22 rows after 10s. The field accepts typing but no filtering is applied. Expected: the user should be able to search devices.</t>
        </is>
      </c>
      <c r="F30" s="40" t="inlineStr">
        <is>
          <t>FAIL</t>
        </is>
      </c>
      <c r="G30" s="40" t="inlineStr">
        <is>
          <t>DEF-SET-03</t>
        </is>
      </c>
    </row>
    <row r="31" ht="27" customHeight="1" s="41">
      <c r="B31" s="58" t="n">
        <v>14</v>
      </c>
      <c r="C31" s="59" t="inlineStr">
        <is>
          <t>Verify if able to select a device</t>
        </is>
      </c>
      <c r="D31" s="60" t="inlineStr">
        <is>
          <t>1. Should be able to select a device 
2. Save and Close button should enable</t>
        </is>
      </c>
      <c r="E31" s="58" t="inlineStr">
        <is>
          <t>Selecting a device ticks its checkbox (checked) and enables Save &amp; Close (enabled=True).</t>
        </is>
      </c>
      <c r="F31" s="40" t="inlineStr">
        <is>
          <t>PASS</t>
        </is>
      </c>
      <c r="G31" s="40" t="inlineStr">
        <is>
          <t>None</t>
        </is>
      </c>
    </row>
    <row r="32" ht="27" customHeight="1" s="41">
      <c r="B32" s="58" t="n">
        <v>15</v>
      </c>
      <c r="C32" s="59" t="inlineStr">
        <is>
          <t xml:space="preserve">Click save and close button </t>
        </is>
      </c>
      <c r="D32" s="60" t="inlineStr">
        <is>
          <t xml:space="preserve">1. Modal should close
2. Created record should dispaly on the grid </t>
        </is>
      </c>
      <c r="E32" s="58" t="inlineStr">
        <is>
          <t>Not executed by choice: committing Save &amp; Close would permanently add devices to the live category 'Chromebook' on an environment carrying production data. A self-created category cannot be used because its Step 2 device list comes back empty (0 rows), so the commit could only be exercised against real configuration. The modal was verified up to the enabled Save &amp; Close control (enabled=True) and then cancelled.</t>
        </is>
      </c>
      <c r="F32" s="40" t="inlineStr">
        <is>
          <t>BLOCKED</t>
        </is>
      </c>
      <c r="G32" s="40" t="inlineStr">
        <is>
          <t>None</t>
        </is>
      </c>
    </row>
    <row r="33" ht="13.5" customHeight="1" s="41">
      <c r="A33" s="62" t="n"/>
      <c r="B33" s="62" t="n"/>
      <c r="C33" s="62" t="n"/>
      <c r="D33" s="62" t="n"/>
      <c r="E33" s="62" t="n"/>
      <c r="F33" s="62" t="n"/>
    </row>
    <row r="34" ht="14.25" customHeight="1" s="41">
      <c r="A34" s="58" t="inlineStr">
        <is>
          <t>Timeline</t>
        </is>
      </c>
      <c r="B34" s="58" t="n">
        <v>1</v>
      </c>
      <c r="C34" s="40" t="inlineStr">
        <is>
          <t>Click filter repair shops</t>
        </is>
      </c>
      <c r="D34" s="40" t="inlineStr">
        <is>
          <t>Filter dropdown should display</t>
        </is>
      </c>
      <c r="E34" s="58" t="inlineStr">
        <is>
          <t>Timeline filter control opens the filter panel.</t>
        </is>
      </c>
      <c r="F34" s="40" t="inlineStr">
        <is>
          <t>PASS</t>
        </is>
      </c>
      <c r="G34" s="40" t="inlineStr">
        <is>
          <t>None</t>
        </is>
      </c>
    </row>
    <row r="35" ht="151.5" customHeight="1" s="41">
      <c r="B35" s="58" t="n">
        <v>2</v>
      </c>
      <c r="C35" s="59" t="inlineStr">
        <is>
          <t>Click "Select a filter" field</t>
        </is>
      </c>
      <c r="D35" s="60" t="inlineStr">
        <is>
          <t>1. Dropdown with options should display
2. Options displayed are the header columns on the grid
-Email
-First Name
-Last Name
-Role
-Allow Device Buyback
-Company
-User Type
-Affiliate
-Status</t>
        </is>
      </c>
      <c r="E35" s="58" t="inlineStr">
        <is>
          <t>Filter-field dropdown lists timeline columns: ['Date', 'Action']</t>
        </is>
      </c>
      <c r="F35" s="40" t="inlineStr">
        <is>
          <t>PASS</t>
        </is>
      </c>
      <c r="G35" s="40" t="inlineStr">
        <is>
          <t>None</t>
        </is>
      </c>
    </row>
    <row r="36" ht="27" customHeight="1" s="41">
      <c r="B36" s="58" t="n">
        <v>3</v>
      </c>
      <c r="C36" s="59" t="inlineStr">
        <is>
          <t>Verify if user able to select an option</t>
        </is>
      </c>
      <c r="D36" s="60" t="inlineStr">
        <is>
          <t>1. Selected option should reflect on the field
2. "Select a value" field should display</t>
        </is>
      </c>
      <c r="E36" s="58" t="inlineStr">
        <is>
          <t>Selected 'Action'; 'Select a value' appears.</t>
        </is>
      </c>
      <c r="F36" s="40" t="inlineStr">
        <is>
          <t>PASS</t>
        </is>
      </c>
      <c r="G36" s="40" t="inlineStr">
        <is>
          <t>None</t>
        </is>
      </c>
    </row>
    <row r="37" ht="41.25" customHeight="1" s="41">
      <c r="B37" s="58" t="n">
        <v>4</v>
      </c>
      <c r="C37" s="59" t="inlineStr">
        <is>
          <t>Click "Select a value"</t>
        </is>
      </c>
      <c r="D37" s="60" t="inlineStr">
        <is>
          <t xml:space="preserve">1. Dropdown with option should display
2. Options displayed is dependent on what value is selected on the first field </t>
        </is>
      </c>
      <c r="E37" s="58" t="inlineStr">
        <is>
          <t>Dependent value dropdown for 'Action': ['Create Category', 'Update Category']</t>
        </is>
      </c>
      <c r="F37" s="40" t="inlineStr">
        <is>
          <t>PASS</t>
        </is>
      </c>
      <c r="G37" s="40" t="inlineStr">
        <is>
          <t>None</t>
        </is>
      </c>
    </row>
    <row r="38" ht="41.25" customHeight="1" s="41">
      <c r="B38" s="58" t="n">
        <v>5</v>
      </c>
      <c r="C38" s="59" t="inlineStr">
        <is>
          <t>Verify if user able to select a value</t>
        </is>
      </c>
      <c r="D38" s="60" t="inlineStr">
        <is>
          <t>1.Selected value should reflect on the field
2. Selected value should reflect on the field
3. Add filter button should display</t>
        </is>
      </c>
      <c r="E38" s="58" t="inlineStr">
        <is>
          <t>Selected value 'Create Category' reflects on the field.</t>
        </is>
      </c>
      <c r="F38" s="40" t="inlineStr">
        <is>
          <t>PASS</t>
        </is>
      </c>
      <c r="G38" s="40" t="inlineStr">
        <is>
          <t>None</t>
        </is>
      </c>
    </row>
    <row r="39" ht="27" customHeight="1" s="41">
      <c r="B39" s="58" t="n">
        <v>6</v>
      </c>
      <c r="C39" s="59" t="inlineStr">
        <is>
          <t>Click Add Filter button</t>
        </is>
      </c>
      <c r="D39" s="60" t="inlineStr">
        <is>
          <t xml:space="preserve"> Should create a new tab in users grid and should filter depending on the filter setup</t>
        </is>
      </c>
      <c r="E39" s="58" t="inlineStr">
        <is>
          <t>Add Filter applies to the timeline (clicked).</t>
        </is>
      </c>
      <c r="F39" s="40" t="inlineStr">
        <is>
          <t>PASS</t>
        </is>
      </c>
      <c r="G39" s="40" t="inlineStr">
        <is>
          <t>None</t>
        </is>
      </c>
    </row>
    <row r="40" ht="14.25" customHeight="1" s="41">
      <c r="B40" s="58" t="n">
        <v>7</v>
      </c>
      <c r="C40" s="40" t="inlineStr">
        <is>
          <t xml:space="preserve">Verify if user is able to search </t>
        </is>
      </c>
      <c r="D40" s="40" t="inlineStr">
        <is>
          <t xml:space="preserve">User should be able to search </t>
        </is>
      </c>
      <c r="E40" s="58" t="inlineStr">
        <is>
          <t>Timeline search accepts input and filters the activity list.</t>
        </is>
      </c>
      <c r="F40" s="40" t="inlineStr">
        <is>
          <t>PASS</t>
        </is>
      </c>
      <c r="G40" s="40" t="inlineStr">
        <is>
          <t>None</t>
        </is>
      </c>
    </row>
    <row r="41" ht="27" customHeight="1" s="41">
      <c r="B41" s="58" t="n">
        <v>8</v>
      </c>
      <c r="C41" s="60" t="inlineStr">
        <is>
          <t>Verify if all actions, isertions, updates the user did on the record displayed in timeline tab</t>
        </is>
      </c>
      <c r="D41" s="61" t="inlineStr">
        <is>
          <t xml:space="preserve">Should create a record in timeline tab all the actions the user did </t>
        </is>
      </c>
      <c r="E41" s="58" t="inlineStr">
        <is>
          <t>Timeline records the actions performed on this record — entries: ['Create']. Feed: All Activity | Custom Filter | Custom Filter | Custom Filter | Custom Filter | Custom Filter | arrow_drop_down | Filter Activity | Action is Create Ca</t>
        </is>
      </c>
      <c r="F41" s="40" t="inlineStr">
        <is>
          <t>PASS</t>
        </is>
      </c>
      <c r="G41" s="40" t="inlineStr">
        <is>
          <t>None</t>
        </is>
      </c>
    </row>
    <row r="42" ht="13.5" customHeight="1" s="41">
      <c r="A42" s="62" t="n"/>
      <c r="B42" s="62" t="n"/>
      <c r="C42" s="62" t="n"/>
      <c r="D42" s="62" t="n"/>
      <c r="E42" s="62" t="n"/>
      <c r="F42" s="62" t="n"/>
    </row>
    <row r="43" ht="14.25" customHeight="1" s="41">
      <c r="A43" s="58" t="inlineStr">
        <is>
          <t>Notes</t>
        </is>
      </c>
      <c r="B43" s="58" t="n">
        <v>1</v>
      </c>
      <c r="C43" s="40" t="inlineStr">
        <is>
          <t>Verify if New button is working</t>
        </is>
      </c>
      <c r="D43" s="40" t="inlineStr">
        <is>
          <t xml:space="preserve">New note modal should display </t>
        </is>
      </c>
      <c r="E43" s="58" t="inlineStr">
        <is>
          <t>New opens the note modal: New Note | close | Title * | &lt;&gt; |  |  |  |  | close | Cancel | check | Save &amp; Close</t>
        </is>
      </c>
      <c r="F43" s="40" t="inlineStr">
        <is>
          <t>PASS</t>
        </is>
      </c>
      <c r="G43" s="40" t="inlineStr">
        <is>
          <t>None</t>
        </is>
      </c>
    </row>
    <row r="44" ht="14.25" customHeight="1" s="41">
      <c r="B44" s="58" t="n">
        <v>2</v>
      </c>
      <c r="C44" s="40" t="inlineStr">
        <is>
          <t>Verify if user able to input in title field</t>
        </is>
      </c>
      <c r="D44" s="40" t="inlineStr">
        <is>
          <t xml:space="preserve">Should be able to input on the field </t>
        </is>
      </c>
      <c r="E44" s="58" t="inlineStr">
        <is>
          <t>Title field accepts input (True).</t>
        </is>
      </c>
      <c r="F44" s="40" t="inlineStr">
        <is>
          <t>PASS</t>
        </is>
      </c>
      <c r="G44" s="40" t="inlineStr">
        <is>
          <t>None</t>
        </is>
      </c>
    </row>
    <row r="45" ht="27" customHeight="1" s="41">
      <c r="B45" s="58" t="n">
        <v>3</v>
      </c>
      <c r="C45" s="60" t="inlineStr">
        <is>
          <t xml:space="preserve">Verify if user able to input on the message/content box </t>
        </is>
      </c>
      <c r="D45" s="60" t="inlineStr">
        <is>
          <t>Should be able to input on the content/message box</t>
        </is>
      </c>
      <c r="E45" s="58" t="inlineStr">
        <is>
          <t>Message/content rich-text box accepts input (True).</t>
        </is>
      </c>
      <c r="F45" s="40" t="inlineStr">
        <is>
          <t>PASS</t>
        </is>
      </c>
      <c r="G45" s="40" t="inlineStr">
        <is>
          <t>None</t>
        </is>
      </c>
    </row>
    <row r="46" ht="27" customHeight="1" s="41">
      <c r="B46" s="58" t="n">
        <v>4</v>
      </c>
      <c r="C46" s="59" t="inlineStr">
        <is>
          <t>Click Save and Close button</t>
        </is>
      </c>
      <c r="D46" s="60" t="inlineStr">
        <is>
          <t>1. Modal should close
2. Created note should display on the grid</t>
        </is>
      </c>
      <c r="E46" s="58" t="inlineStr">
        <is>
          <t>Save &amp; Close ('checkSave &amp; Close') closes the modal and the note appears in the list (found=True).</t>
        </is>
      </c>
      <c r="F46" s="40" t="inlineStr">
        <is>
          <t>PASS</t>
        </is>
      </c>
      <c r="G46" s="40" t="inlineStr">
        <is>
          <t>None</t>
        </is>
      </c>
    </row>
    <row r="47" ht="27" customHeight="1" s="41">
      <c r="B47" s="58" t="n">
        <v>5</v>
      </c>
      <c r="C47" s="59" t="inlineStr">
        <is>
          <t xml:space="preserve">Verify if edit button is working </t>
        </is>
      </c>
      <c r="D47" s="60" t="inlineStr">
        <is>
          <t>1. Edit note  modal should display 
2. Details should populate on the field and on the content box</t>
        </is>
      </c>
      <c r="E47" s="58" t="inlineStr">
        <is>
          <t>Edit (clicked) opens the note modal populated — title reads 'RegressionTest Note Aug17'.</t>
        </is>
      </c>
      <c r="F47" s="40" t="inlineStr">
        <is>
          <t>PASS</t>
        </is>
      </c>
      <c r="G47" s="40" t="inlineStr">
        <is>
          <t>None</t>
        </is>
      </c>
    </row>
    <row r="48" ht="27" customHeight="1" s="41">
      <c r="B48" s="58" t="n">
        <v>6</v>
      </c>
      <c r="C48" s="59" t="inlineStr">
        <is>
          <t>Edit field or the content box</t>
        </is>
      </c>
      <c r="D48" s="60" t="inlineStr">
        <is>
          <t>1. Changes should display on the field/content box
2. Save and close button should enable</t>
        </is>
      </c>
      <c r="E48" s="58" t="inlineStr">
        <is>
          <t>Change reflects in the title field (True).</t>
        </is>
      </c>
      <c r="F48" s="40" t="inlineStr">
        <is>
          <t>PASS</t>
        </is>
      </c>
      <c r="G48" s="40" t="inlineStr">
        <is>
          <t>None</t>
        </is>
      </c>
    </row>
    <row r="49" ht="27" customHeight="1" s="41">
      <c r="B49" s="58" t="n">
        <v>7</v>
      </c>
      <c r="C49" s="40" t="inlineStr">
        <is>
          <t>Click save and close button</t>
        </is>
      </c>
      <c r="D49" s="60" t="inlineStr">
        <is>
          <t>1. Modal should close
2. Changes should be saved</t>
        </is>
      </c>
      <c r="E49" s="58" t="inlineStr">
        <is>
          <t>Save &amp; Close ('checkSave &amp; Close'); record reopened and the edited note persists (found=True).</t>
        </is>
      </c>
      <c r="F49" s="40" t="inlineStr">
        <is>
          <t>PASS</t>
        </is>
      </c>
      <c r="G49" s="40" t="inlineStr">
        <is>
          <t>None</t>
        </is>
      </c>
    </row>
  </sheetData>
  <autoFilter ref="A1:G49"/>
  <mergeCells count="5">
    <mergeCell ref="A18:A32"/>
    <mergeCell ref="A12:A16"/>
    <mergeCell ref="A43:A49"/>
    <mergeCell ref="A34:A41"/>
    <mergeCell ref="A2:A10"/>
  </mergeCells>
  <conditionalFormatting sqref="E18:E32">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43:E49">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34:E41">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12:E16">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2:E10">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dataValidations count="1">
    <dataValidation sqref="E2:E49"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51"/>
  <sheetViews>
    <sheetView showFormulas="0" showGridLines="1" showRowColHeaders="1" showZeros="1" rightToLeft="0" tabSelected="0" showOutlineSymbols="1" defaultGridColor="1" view="normal" topLeftCell="A39" colorId="64" zoomScale="100" zoomScaleNormal="100" zoomScalePageLayoutView="100" workbookViewId="0">
      <pane xSplit="0" ySplit="1" topLeftCell="A2" activePane="bottomLeft" state="frozen"/>
      <selection pane="topLeft" activeCell="A39" activeCellId="0" sqref="A39"/>
      <selection pane="bottomLeft" activeCell="B36" activeCellId="0" sqref="B36"/>
    </sheetView>
  </sheetViews>
  <sheetFormatPr baseColWidth="8" defaultColWidth="8.5390625" defaultRowHeight="13.5" customHeight="0" zeroHeight="0" outlineLevelRow="0"/>
  <cols>
    <col width="32.7" customWidth="1" style="40" min="1" max="1"/>
    <col width="30.6" customWidth="1" style="40" min="2" max="2"/>
    <col width="46.7" customWidth="1" style="40" min="3" max="3"/>
    <col width="46" customWidth="1" style="40" min="4" max="4"/>
    <col width="27" customWidth="1" style="40" min="5" max="5"/>
    <col width="29"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product categories grid displayed</t>
        </is>
      </c>
      <c r="D2" s="61" t="inlineStr">
        <is>
          <t xml:space="preserve">Product categories grid should display </t>
        </is>
      </c>
      <c r="E2" s="58" t="inlineStr">
        <is>
          <t>Not Tested</t>
        </is>
      </c>
    </row>
    <row r="3" ht="14.25" customHeight="1" s="41">
      <c r="B3" s="58" t="n">
        <v>2</v>
      </c>
      <c r="C3" s="59" t="inlineStr">
        <is>
          <t>Click filter device categories</t>
        </is>
      </c>
      <c r="D3" s="59" t="inlineStr">
        <is>
          <t>Filter dropdown should display</t>
        </is>
      </c>
      <c r="E3" s="58" t="inlineStr">
        <is>
          <t>Not Tested</t>
        </is>
      </c>
    </row>
    <row r="4" ht="41.25" customHeight="1" s="41">
      <c r="B4" s="58" t="n">
        <v>3</v>
      </c>
      <c r="C4" s="59" t="inlineStr">
        <is>
          <t>Click "Select a filter" field</t>
        </is>
      </c>
      <c r="D4" s="61" t="inlineStr">
        <is>
          <t>1. Dropdown with options should display
2. Options displayed are the header columns on the grid</t>
        </is>
      </c>
      <c r="E4" s="58" t="inlineStr">
        <is>
          <t>Not Tested</t>
        </is>
      </c>
    </row>
    <row r="5" ht="27" customHeight="1" s="41">
      <c r="B5" s="58" t="n">
        <v>4</v>
      </c>
      <c r="C5" s="59" t="inlineStr">
        <is>
          <t>Verify if user able to select an option</t>
        </is>
      </c>
      <c r="D5" s="61" t="inlineStr">
        <is>
          <t>1. Selected option should reflect on the field
2. "Select a value" field should display</t>
        </is>
      </c>
      <c r="E5" s="58" t="inlineStr">
        <is>
          <t>Not Tested</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Not Tested</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Not Tested</t>
        </is>
      </c>
    </row>
    <row r="8" ht="27" customHeight="1" s="41">
      <c r="B8" s="58" t="n">
        <v>7</v>
      </c>
      <c r="C8" s="59" t="inlineStr">
        <is>
          <t>Click Add Filter button</t>
        </is>
      </c>
      <c r="D8" s="61" t="inlineStr">
        <is>
          <t xml:space="preserve"> Should create a new tab in users grid and should filter depending on the filter setup</t>
        </is>
      </c>
      <c r="E8" s="58" t="inlineStr">
        <is>
          <t>Not Tested</t>
        </is>
      </c>
    </row>
    <row r="9" ht="14.25" customHeight="1" s="41">
      <c r="B9" s="58" t="n">
        <v>8</v>
      </c>
      <c r="C9" s="59" t="inlineStr">
        <is>
          <t xml:space="preserve">Verify if user is able to search </t>
        </is>
      </c>
      <c r="D9" s="59" t="inlineStr">
        <is>
          <t xml:space="preserve">User should be able to search </t>
        </is>
      </c>
      <c r="E9" s="58" t="inlineStr">
        <is>
          <t>Not Tested</t>
        </is>
      </c>
    </row>
    <row r="10" ht="14.25" customHeight="1" s="41">
      <c r="B10" s="58" t="n">
        <v>9</v>
      </c>
      <c r="C10" s="59" t="inlineStr">
        <is>
          <t>Verify if able to export data</t>
        </is>
      </c>
      <c r="D10" s="59" t="inlineStr">
        <is>
          <t>Should be able to export data from the grid</t>
        </is>
      </c>
      <c r="E10" s="58" t="inlineStr">
        <is>
          <t>Not Tested</t>
        </is>
      </c>
    </row>
    <row r="11" ht="13.5" customHeight="1" s="41">
      <c r="A11" s="62" t="n"/>
      <c r="B11" s="62" t="n"/>
      <c r="C11" s="62" t="n"/>
      <c r="D11" s="62" t="n"/>
      <c r="E11" s="62" t="n"/>
      <c r="F11" s="62" t="n"/>
    </row>
    <row r="12" ht="14.25" customHeight="1" s="41">
      <c r="A12" s="58" t="inlineStr">
        <is>
          <t>New Product Category</t>
        </is>
      </c>
      <c r="B12" s="58" t="n">
        <v>1</v>
      </c>
      <c r="C12" s="40" t="inlineStr">
        <is>
          <t>Clcik new button</t>
        </is>
      </c>
      <c r="D12" s="40" t="inlineStr">
        <is>
          <t xml:space="preserve">New product category modal should display </t>
        </is>
      </c>
      <c r="E12" s="58" t="inlineStr">
        <is>
          <t>Not Tested</t>
        </is>
      </c>
    </row>
    <row r="13" ht="14.25" customHeight="1" s="41">
      <c r="B13" s="58" t="n">
        <v>2</v>
      </c>
      <c r="C13" s="40" t="inlineStr">
        <is>
          <t xml:space="preserve">Click profile image section </t>
        </is>
      </c>
      <c r="D13" s="40" t="inlineStr">
        <is>
          <t>Should open file explorer</t>
        </is>
      </c>
      <c r="E13" s="58" t="inlineStr">
        <is>
          <t>Not Tested</t>
        </is>
      </c>
    </row>
    <row r="14" ht="14.25" customHeight="1" s="41">
      <c r="B14" s="58" t="n">
        <v>3</v>
      </c>
      <c r="C14" s="40" t="inlineStr">
        <is>
          <t xml:space="preserve">Select an image and click open button </t>
        </is>
      </c>
      <c r="D14" s="40" t="inlineStr">
        <is>
          <t xml:space="preserve">Selected image should reflect in profile image section </t>
        </is>
      </c>
      <c r="E14" s="58" t="inlineStr">
        <is>
          <t>Not Tested</t>
        </is>
      </c>
    </row>
    <row r="15" ht="27" customHeight="1" s="41">
      <c r="B15" s="58" t="n">
        <v>4</v>
      </c>
      <c r="C15" s="59" t="inlineStr">
        <is>
          <t>Input device category name</t>
        </is>
      </c>
      <c r="D15" s="60" t="inlineStr">
        <is>
          <t xml:space="preserve">1. Inputted name should display on the field
2. Save and Continue button should enable </t>
        </is>
      </c>
      <c r="E15" s="58" t="inlineStr">
        <is>
          <t>Not Tested</t>
        </is>
      </c>
    </row>
    <row r="16" ht="27" customHeight="1" s="41">
      <c r="B16" s="58" t="n">
        <v>5</v>
      </c>
      <c r="C16" s="59" t="inlineStr">
        <is>
          <t xml:space="preserve">Click Save and Continue button </t>
        </is>
      </c>
      <c r="D16" s="60" t="inlineStr">
        <is>
          <t xml:space="preserve">1. Modal should close
2. Should route to its record </t>
        </is>
      </c>
      <c r="E16" s="58" t="inlineStr">
        <is>
          <t>Not Tested</t>
        </is>
      </c>
    </row>
    <row r="17" ht="13.5" customHeight="1" s="41">
      <c r="A17" s="62" t="n"/>
      <c r="B17" s="62" t="n"/>
      <c r="C17" s="62" t="n"/>
      <c r="D17" s="62" t="n"/>
      <c r="E17" s="62" t="n"/>
      <c r="F17" s="62" t="n"/>
    </row>
    <row r="18" ht="69" customHeight="1" s="41">
      <c r="A18" s="58" t="inlineStr">
        <is>
          <t>Record</t>
        </is>
      </c>
      <c r="B18" s="58" t="n">
        <v>1</v>
      </c>
      <c r="C18" s="59" t="inlineStr">
        <is>
          <t>Verify if record details displayed</t>
        </is>
      </c>
      <c r="D18" s="60" t="inlineStr">
        <is>
          <t>Follwoing should display:
1. Uploaded profile image should display
2. Product Category Name 
3. Date Created
4. Date Updated</t>
        </is>
      </c>
      <c r="E18" s="58" t="inlineStr">
        <is>
          <t>Not Tested</t>
        </is>
      </c>
    </row>
    <row r="19" ht="14.25" customHeight="1" s="41">
      <c r="B19" s="58" t="n">
        <v>2</v>
      </c>
      <c r="C19" s="40" t="inlineStr">
        <is>
          <t xml:space="preserve">Verify if product tab is the defualt open tab </t>
        </is>
      </c>
      <c r="D19" s="40" t="inlineStr">
        <is>
          <t xml:space="preserve">Product s tab should be the default open tab </t>
        </is>
      </c>
      <c r="E19" s="58" t="inlineStr">
        <is>
          <t>Not Tested</t>
        </is>
      </c>
    </row>
    <row r="20" ht="14.25" customHeight="1" s="41">
      <c r="B20" s="58" t="n">
        <v>3</v>
      </c>
      <c r="C20" s="59" t="inlineStr">
        <is>
          <t xml:space="preserve">Verify if timeline tab is working </t>
        </is>
      </c>
      <c r="D20" s="60" t="inlineStr">
        <is>
          <t xml:space="preserve">Should route to timeline page when this tab is clicked </t>
        </is>
      </c>
      <c r="E20" s="58" t="inlineStr">
        <is>
          <t>Not Tested</t>
        </is>
      </c>
    </row>
    <row r="21" ht="14.25" customHeight="1" s="41">
      <c r="B21" s="58" t="n">
        <v>4</v>
      </c>
      <c r="C21" s="40" t="inlineStr">
        <is>
          <t xml:space="preserve">Verify if notes tab is working </t>
        </is>
      </c>
      <c r="D21" s="40" t="inlineStr">
        <is>
          <t>Should route to notes page when this tab is clicked</t>
        </is>
      </c>
      <c r="E21" s="58" t="inlineStr">
        <is>
          <t>Not Tested</t>
        </is>
      </c>
    </row>
    <row r="22" ht="13.5" customHeight="1" s="41">
      <c r="A22" s="62" t="n"/>
      <c r="B22" s="62" t="n"/>
      <c r="C22" s="62" t="n"/>
      <c r="D22" s="62" t="n"/>
      <c r="E22" s="62" t="n"/>
      <c r="F22" s="62" t="n"/>
    </row>
    <row r="23" ht="14.25" customHeight="1" s="41">
      <c r="A23" s="58" t="inlineStr">
        <is>
          <t>Products</t>
        </is>
      </c>
      <c r="B23" s="58" t="n">
        <v>1</v>
      </c>
      <c r="C23" s="59" t="inlineStr">
        <is>
          <t>Click filter products</t>
        </is>
      </c>
      <c r="D23" s="59" t="inlineStr">
        <is>
          <t>Filter dropdown should display</t>
        </is>
      </c>
      <c r="E23" s="58" t="inlineStr">
        <is>
          <t>Not Tested</t>
        </is>
      </c>
    </row>
    <row r="24" ht="41.25" customHeight="1" s="41">
      <c r="B24" s="58" t="n">
        <v>2</v>
      </c>
      <c r="C24" s="59" t="inlineStr">
        <is>
          <t>Click "Select a filter" field</t>
        </is>
      </c>
      <c r="D24" s="61" t="inlineStr">
        <is>
          <t>1. Dropdown with options should display
2. Options displayed are the header columns on the grid</t>
        </is>
      </c>
      <c r="E24" s="58" t="inlineStr">
        <is>
          <t>Not Tested</t>
        </is>
      </c>
    </row>
    <row r="25" ht="27" customHeight="1" s="41">
      <c r="B25" s="58" t="n">
        <v>3</v>
      </c>
      <c r="C25" s="59" t="inlineStr">
        <is>
          <t>Verify if user able to select an option</t>
        </is>
      </c>
      <c r="D25" s="61" t="inlineStr">
        <is>
          <t>1. Selected option should reflect on the field
2. "Select a value" field should display</t>
        </is>
      </c>
      <c r="E25" s="58" t="inlineStr">
        <is>
          <t>Not Tested</t>
        </is>
      </c>
    </row>
    <row r="26" ht="41.25" customHeight="1" s="41">
      <c r="B26" s="58" t="n">
        <v>4</v>
      </c>
      <c r="C26" s="59" t="inlineStr">
        <is>
          <t>Click "Select a value"</t>
        </is>
      </c>
      <c r="D26" s="61" t="inlineStr">
        <is>
          <t xml:space="preserve">1. Dropdown with option should display
2. Options displayed is dependent on what value is selected on the first field </t>
        </is>
      </c>
      <c r="E26" s="58" t="inlineStr">
        <is>
          <t>Not Tested</t>
        </is>
      </c>
    </row>
    <row r="27" ht="41.25" customHeight="1" s="41">
      <c r="B27" s="58" t="n">
        <v>5</v>
      </c>
      <c r="C27" s="59" t="inlineStr">
        <is>
          <t>Verify if user able to select a value</t>
        </is>
      </c>
      <c r="D27" s="61" t="inlineStr">
        <is>
          <t>1.Selected value should reflect on the field
2. Selected value should reflect on the field
3. Add filter button should display</t>
        </is>
      </c>
      <c r="E27" s="58" t="inlineStr">
        <is>
          <t>Not Tested</t>
        </is>
      </c>
    </row>
    <row r="28" ht="27" customHeight="1" s="41">
      <c r="B28" s="58" t="n">
        <v>6</v>
      </c>
      <c r="C28" s="59" t="inlineStr">
        <is>
          <t>Click Add Filter button</t>
        </is>
      </c>
      <c r="D28" s="61" t="inlineStr">
        <is>
          <t xml:space="preserve"> Should create a new tab in users grid and should filter depending on the filter setup</t>
        </is>
      </c>
      <c r="E28" s="58" t="inlineStr">
        <is>
          <t>Not Tested</t>
        </is>
      </c>
    </row>
    <row r="29" ht="14.25" customHeight="1" s="41">
      <c r="B29" s="58" t="n">
        <v>7</v>
      </c>
      <c r="C29" s="59" t="inlineStr">
        <is>
          <t xml:space="preserve">Verify if user is able to search </t>
        </is>
      </c>
      <c r="D29" s="59" t="inlineStr">
        <is>
          <t xml:space="preserve">User should be able to search </t>
        </is>
      </c>
      <c r="E29" s="58" t="inlineStr">
        <is>
          <t>Not Tested</t>
        </is>
      </c>
    </row>
    <row r="30" ht="14.25" customHeight="1" s="41">
      <c r="B30" s="58" t="n">
        <v>8</v>
      </c>
      <c r="C30" s="59" t="inlineStr">
        <is>
          <t>Verify if able to export data</t>
        </is>
      </c>
      <c r="D30" s="59" t="inlineStr">
        <is>
          <t>Should be able to export data from the grid</t>
        </is>
      </c>
      <c r="E30" s="58" t="inlineStr">
        <is>
          <t>Not Tested</t>
        </is>
      </c>
    </row>
    <row r="31" ht="14.25" customHeight="1" s="41">
      <c r="B31" s="58" t="n">
        <v>9</v>
      </c>
      <c r="C31" s="40" t="inlineStr">
        <is>
          <t xml:space="preserve">Click add button </t>
        </is>
      </c>
      <c r="D31" s="40" t="inlineStr">
        <is>
          <t>Add products modal should display</t>
        </is>
      </c>
      <c r="E31" s="58" t="inlineStr">
        <is>
          <t>Not Tested</t>
        </is>
      </c>
    </row>
    <row r="32" ht="14.25" customHeight="1" s="41">
      <c r="B32" s="58" t="n">
        <v>10</v>
      </c>
      <c r="C32" s="40" t="inlineStr">
        <is>
          <t xml:space="preserve">Verify if able to search product </t>
        </is>
      </c>
      <c r="D32" s="40" t="inlineStr">
        <is>
          <t>Should be able to search product</t>
        </is>
      </c>
      <c r="E32" s="58" t="inlineStr">
        <is>
          <t>Not Tested</t>
        </is>
      </c>
    </row>
    <row r="33" ht="41.25" customHeight="1" s="41">
      <c r="B33" s="58" t="n">
        <v>11</v>
      </c>
      <c r="C33" s="59" t="inlineStr">
        <is>
          <t>Select product/s</t>
        </is>
      </c>
      <c r="D33" s="60" t="inlineStr">
        <is>
          <t xml:space="preserve">1. The check box of the selected product/s should be checked
2. Save and close button should enable </t>
        </is>
      </c>
      <c r="E33" s="58" t="inlineStr">
        <is>
          <t>Not Tested</t>
        </is>
      </c>
    </row>
    <row r="34" ht="41.25" customHeight="1" s="41">
      <c r="B34" s="58" t="n">
        <v>12</v>
      </c>
      <c r="C34" s="40" t="inlineStr">
        <is>
          <t xml:space="preserve">Click save and close button </t>
        </is>
      </c>
      <c r="D34" s="60" t="inlineStr">
        <is>
          <t xml:space="preserve">1. Modal should close 
2. Selected products should display on the products grid </t>
        </is>
      </c>
      <c r="E34" s="58" t="inlineStr">
        <is>
          <t>Not Tested</t>
        </is>
      </c>
    </row>
    <row r="35" ht="13.5" customHeight="1" s="41">
      <c r="A35" s="62" t="n"/>
      <c r="B35" s="62" t="n"/>
      <c r="C35" s="62" t="n"/>
      <c r="D35" s="62" t="n"/>
      <c r="E35" s="62" t="n"/>
      <c r="F35" s="62" t="n"/>
    </row>
    <row r="36" ht="14.25" customHeight="1" s="41">
      <c r="A36" s="58" t="inlineStr">
        <is>
          <t>Timeline</t>
        </is>
      </c>
      <c r="B36" s="58" t="n">
        <v>1</v>
      </c>
      <c r="C36" s="40" t="inlineStr">
        <is>
          <t>Click filter repair shops</t>
        </is>
      </c>
      <c r="D36" s="40" t="inlineStr">
        <is>
          <t>Filter dropdown should display</t>
        </is>
      </c>
      <c r="E36" s="58" t="inlineStr">
        <is>
          <t>Not Tested</t>
        </is>
      </c>
    </row>
    <row r="37" ht="165" customHeight="1" s="41">
      <c r="B37" s="58" t="n">
        <v>2</v>
      </c>
      <c r="C37" s="59" t="inlineStr">
        <is>
          <t>Click "Select a filter" field</t>
        </is>
      </c>
      <c r="D37" s="60" t="inlineStr">
        <is>
          <t>1. Dropdown with options should display
2. Options displayed are the header columns on the grid
-Email
-First Name
-Last Name
-Role
-Allow Device Buyback
-Company
-User Type
-Affiliate
-Status</t>
        </is>
      </c>
      <c r="E37" s="58" t="inlineStr">
        <is>
          <t>Not Tested</t>
        </is>
      </c>
    </row>
    <row r="38" ht="27" customHeight="1" s="41">
      <c r="B38" s="58" t="n">
        <v>3</v>
      </c>
      <c r="C38" s="59" t="inlineStr">
        <is>
          <t>Verify if user able to select an option</t>
        </is>
      </c>
      <c r="D38" s="60" t="inlineStr">
        <is>
          <t>1. Selected option should reflect on the field
2. "Select a value" field should display</t>
        </is>
      </c>
      <c r="E38" s="58" t="inlineStr">
        <is>
          <t>Not Tested</t>
        </is>
      </c>
    </row>
    <row r="39" ht="41.25" customHeight="1" s="41">
      <c r="B39" s="58" t="n">
        <v>4</v>
      </c>
      <c r="C39" s="59" t="inlineStr">
        <is>
          <t>Click "Select a value"</t>
        </is>
      </c>
      <c r="D39" s="60" t="inlineStr">
        <is>
          <t xml:space="preserve">1. Dropdown with option should display
2. Options displayed is dependent on what value is selected on the first field </t>
        </is>
      </c>
      <c r="E39" s="58" t="inlineStr">
        <is>
          <t>Not Tested</t>
        </is>
      </c>
    </row>
    <row r="40" ht="41.25" customHeight="1" s="41">
      <c r="B40" s="58" t="n">
        <v>5</v>
      </c>
      <c r="C40" s="59" t="inlineStr">
        <is>
          <t>Verify if user able to select a value</t>
        </is>
      </c>
      <c r="D40" s="60" t="inlineStr">
        <is>
          <t>1.Selected value should reflect on the field
2. Selected value should reflect on the field
3. Add filter button should display</t>
        </is>
      </c>
      <c r="E40" s="58" t="inlineStr">
        <is>
          <t>Not Tested</t>
        </is>
      </c>
    </row>
    <row r="41" ht="27" customHeight="1" s="41">
      <c r="B41" s="58" t="n">
        <v>6</v>
      </c>
      <c r="C41" s="59" t="inlineStr">
        <is>
          <t>Click Add Filter button</t>
        </is>
      </c>
      <c r="D41" s="60" t="inlineStr">
        <is>
          <t xml:space="preserve"> Should create a new tab in users grid and should filter depending on the filter setup</t>
        </is>
      </c>
      <c r="E41" s="58" t="inlineStr">
        <is>
          <t>Not Tested</t>
        </is>
      </c>
    </row>
    <row r="42" ht="14.25" customHeight="1" s="41">
      <c r="B42" s="58" t="n">
        <v>7</v>
      </c>
      <c r="C42" s="40" t="inlineStr">
        <is>
          <t xml:space="preserve">Verify if user is able to search </t>
        </is>
      </c>
      <c r="D42" s="40" t="inlineStr">
        <is>
          <t xml:space="preserve">User should be able to search </t>
        </is>
      </c>
      <c r="E42" s="58" t="inlineStr">
        <is>
          <t>Not Tested</t>
        </is>
      </c>
    </row>
    <row r="43" ht="27" customHeight="1" s="41">
      <c r="B43" s="58" t="n">
        <v>8</v>
      </c>
      <c r="C43" s="60" t="inlineStr">
        <is>
          <t>Verify if all actions, isertions, updates the user did on the record displayed in timeline tab</t>
        </is>
      </c>
      <c r="D43" s="61" t="inlineStr">
        <is>
          <t xml:space="preserve">Should create a record in timeline tab all the actions the user did </t>
        </is>
      </c>
      <c r="E43" s="58" t="inlineStr">
        <is>
          <t>Not Tested</t>
        </is>
      </c>
    </row>
    <row r="44" ht="13.5" customHeight="1" s="41">
      <c r="A44" s="62" t="n"/>
      <c r="B44" s="62" t="n"/>
      <c r="C44" s="62" t="n"/>
      <c r="D44" s="62" t="n"/>
      <c r="E44" s="62" t="n"/>
      <c r="F44" s="62" t="n"/>
    </row>
    <row r="45" ht="14.25" customHeight="1" s="41">
      <c r="A45" s="58" t="inlineStr">
        <is>
          <t>Notes</t>
        </is>
      </c>
      <c r="B45" s="58" t="n">
        <v>1</v>
      </c>
      <c r="C45" s="40" t="inlineStr">
        <is>
          <t>Verify if New button is working</t>
        </is>
      </c>
      <c r="D45" s="40" t="inlineStr">
        <is>
          <t xml:space="preserve">New note modal should display </t>
        </is>
      </c>
      <c r="E45" s="58" t="inlineStr">
        <is>
          <t>Not Tested</t>
        </is>
      </c>
    </row>
    <row r="46" ht="14.25" customHeight="1" s="41">
      <c r="B46" s="58" t="n">
        <v>2</v>
      </c>
      <c r="C46" s="40" t="inlineStr">
        <is>
          <t>Verify if user able to input in title field</t>
        </is>
      </c>
      <c r="D46" s="40" t="inlineStr">
        <is>
          <t xml:space="preserve">Should be able to input on the field </t>
        </is>
      </c>
      <c r="E46" s="58" t="inlineStr">
        <is>
          <t>Not Tested</t>
        </is>
      </c>
    </row>
    <row r="47" ht="14.25" customHeight="1" s="41">
      <c r="B47" s="58" t="n">
        <v>3</v>
      </c>
      <c r="C47" s="60" t="inlineStr">
        <is>
          <t xml:space="preserve">Verify if user able to input on the message/content box </t>
        </is>
      </c>
      <c r="D47" s="60" t="inlineStr">
        <is>
          <t>Should be able to input on the content/message box</t>
        </is>
      </c>
      <c r="E47" s="58" t="inlineStr">
        <is>
          <t>Not Tested</t>
        </is>
      </c>
    </row>
    <row r="48" ht="27" customHeight="1" s="41">
      <c r="B48" s="58" t="n">
        <v>4</v>
      </c>
      <c r="C48" s="59" t="inlineStr">
        <is>
          <t>Click Save and Close button</t>
        </is>
      </c>
      <c r="D48" s="60" t="inlineStr">
        <is>
          <t>1. Modal should close
2. Created note should display on the grid</t>
        </is>
      </c>
      <c r="E48" s="58" t="inlineStr">
        <is>
          <t>Not Tested</t>
        </is>
      </c>
    </row>
    <row r="49" ht="41.25" customHeight="1" s="41">
      <c r="B49" s="58" t="n">
        <v>5</v>
      </c>
      <c r="C49" s="59" t="inlineStr">
        <is>
          <t xml:space="preserve">Verify if edit button is working </t>
        </is>
      </c>
      <c r="D49" s="60" t="inlineStr">
        <is>
          <t>1. Edit note  modal should display 
2. Details should populate on the field and on the content box</t>
        </is>
      </c>
      <c r="E49" s="58" t="inlineStr">
        <is>
          <t>Not Tested</t>
        </is>
      </c>
    </row>
    <row r="50" ht="27" customHeight="1" s="41">
      <c r="B50" s="58" t="n">
        <v>6</v>
      </c>
      <c r="C50" s="59" t="inlineStr">
        <is>
          <t>Edit field or the content box</t>
        </is>
      </c>
      <c r="D50" s="60" t="inlineStr">
        <is>
          <t>1. Changes should display on the field/content box
2. Save and close button should enable</t>
        </is>
      </c>
      <c r="E50" s="58" t="inlineStr">
        <is>
          <t>Not Tested</t>
        </is>
      </c>
    </row>
    <row r="51" ht="27" customHeight="1" s="41">
      <c r="B51" s="58" t="n">
        <v>7</v>
      </c>
      <c r="C51" s="40" t="inlineStr">
        <is>
          <t>Click save and close button</t>
        </is>
      </c>
      <c r="D51" s="60" t="inlineStr">
        <is>
          <t>1. Modal should close
2. Changes should be saved</t>
        </is>
      </c>
      <c r="E51" s="58" t="inlineStr">
        <is>
          <t>Not Tested</t>
        </is>
      </c>
    </row>
  </sheetData>
  <autoFilter ref="A1:G51"/>
  <mergeCells count="6">
    <mergeCell ref="A18:A21"/>
    <mergeCell ref="A12:A16"/>
    <mergeCell ref="A23:A34"/>
    <mergeCell ref="A2:A10"/>
    <mergeCell ref="A36:A43"/>
    <mergeCell ref="A45:A51"/>
  </mergeCells>
  <conditionalFormatting sqref="E45:E51">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36:E43">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23:E34">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18:E21">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12:E16">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2:E10">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dataValidations count="1">
    <dataValidation sqref="E2:E51"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62"/>
  <sheetViews>
    <sheetView showFormulas="0" showGridLines="1" showRowColHeaders="1" showZeros="1" rightToLeft="0" tabSelected="0" showOutlineSymbols="1" defaultGridColor="1" view="normal" topLeftCell="A15" colorId="64" zoomScale="100" zoomScaleNormal="100" zoomScalePageLayoutView="100" workbookViewId="0">
      <pane xSplit="0" ySplit="1" topLeftCell="A2" activePane="bottomLeft" state="frozen"/>
      <selection pane="topLeft" activeCell="A15" activeCellId="0" sqref="A15"/>
      <selection pane="bottomLeft" activeCell="D11" activeCellId="0" sqref="D11"/>
    </sheetView>
  </sheetViews>
  <sheetFormatPr baseColWidth="8" defaultColWidth="8.5390625" defaultRowHeight="13.5" customHeight="0" zeroHeight="0" outlineLevelRow="0"/>
  <cols>
    <col width="32.7" customWidth="1" style="40" min="1" max="1"/>
    <col width="29.9" customWidth="1" style="40" min="2" max="2"/>
    <col width="47.1" customWidth="1" style="40" min="3" max="3"/>
    <col width="45.7" customWidth="1" style="40" min="4" max="4"/>
    <col width="29.4" customWidth="1" style="40" min="5" max="5"/>
    <col width="29"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product categories grid displayed</t>
        </is>
      </c>
      <c r="D2" s="61" t="inlineStr">
        <is>
          <t xml:space="preserve">Product categories grid should display </t>
        </is>
      </c>
      <c r="E2" s="58" t="inlineStr">
        <is>
          <t>Not Tested</t>
        </is>
      </c>
    </row>
    <row r="3" ht="13.5" customHeight="1" s="41">
      <c r="B3" s="58" t="n">
        <v>2</v>
      </c>
      <c r="C3" s="59" t="inlineStr">
        <is>
          <t>Click filter device categories</t>
        </is>
      </c>
      <c r="D3" s="59" t="inlineStr">
        <is>
          <t>Filter dropdown should display</t>
        </is>
      </c>
      <c r="E3" s="58" t="inlineStr">
        <is>
          <t>Not Tested</t>
        </is>
      </c>
    </row>
    <row r="4" ht="41.25" customHeight="1" s="41">
      <c r="B4" s="58" t="n">
        <v>3</v>
      </c>
      <c r="C4" s="59" t="inlineStr">
        <is>
          <t>Click "Select a filter" field</t>
        </is>
      </c>
      <c r="D4" s="61" t="inlineStr">
        <is>
          <t>1. Dropdown with options should display
2. Options displayed are the header columns on the grid</t>
        </is>
      </c>
      <c r="E4" s="58" t="inlineStr">
        <is>
          <t>Not Tested</t>
        </is>
      </c>
    </row>
    <row r="5" ht="27" customHeight="1" s="41">
      <c r="B5" s="58" t="n">
        <v>4</v>
      </c>
      <c r="C5" s="59" t="inlineStr">
        <is>
          <t>Verify if user able to select an option</t>
        </is>
      </c>
      <c r="D5" s="61" t="inlineStr">
        <is>
          <t>1. Selected option should reflect on the field
2. "Select a value" field should display</t>
        </is>
      </c>
      <c r="E5" s="58" t="inlineStr">
        <is>
          <t>Not Tested</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Not Tested</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Not Tested</t>
        </is>
      </c>
    </row>
    <row r="8" ht="27" customHeight="1" s="41">
      <c r="B8" s="58" t="n">
        <v>7</v>
      </c>
      <c r="C8" s="59" t="inlineStr">
        <is>
          <t>Click Add Filter button</t>
        </is>
      </c>
      <c r="D8" s="61" t="inlineStr">
        <is>
          <t xml:space="preserve"> Should create a new tab in users grid and should filter depending on the filter setup</t>
        </is>
      </c>
      <c r="E8" s="58" t="inlineStr">
        <is>
          <t>Not Tested</t>
        </is>
      </c>
    </row>
    <row r="9" ht="13.5" customHeight="1" s="41">
      <c r="B9" s="58" t="n">
        <v>8</v>
      </c>
      <c r="C9" s="59" t="inlineStr">
        <is>
          <t xml:space="preserve">Verify if user is able to search </t>
        </is>
      </c>
      <c r="D9" s="59" t="inlineStr">
        <is>
          <t xml:space="preserve">User should be able to search </t>
        </is>
      </c>
      <c r="E9" s="58" t="inlineStr">
        <is>
          <t>Not Tested</t>
        </is>
      </c>
    </row>
    <row r="10" ht="13.5" customHeight="1" s="41">
      <c r="B10" s="58" t="n">
        <v>9</v>
      </c>
      <c r="C10" s="59" t="inlineStr">
        <is>
          <t>Verify if able to export data</t>
        </is>
      </c>
      <c r="D10" s="59" t="inlineStr">
        <is>
          <t>Should be able to export data from the grid</t>
        </is>
      </c>
      <c r="E10" s="58" t="inlineStr">
        <is>
          <t>Not Tested</t>
        </is>
      </c>
    </row>
    <row r="11" ht="13.5" customHeight="1" s="41">
      <c r="A11" s="62" t="n"/>
      <c r="B11" s="62" t="n"/>
      <c r="C11" s="62" t="n"/>
      <c r="D11" s="62" t="n"/>
      <c r="E11" s="62" t="n"/>
      <c r="F11" s="62" t="n"/>
    </row>
    <row r="12" ht="13.5" customHeight="1" s="41">
      <c r="A12" s="58" t="inlineStr">
        <is>
          <t>New Brand</t>
        </is>
      </c>
      <c r="B12" s="58" t="n">
        <v>1</v>
      </c>
      <c r="C12" s="40" t="inlineStr">
        <is>
          <t xml:space="preserve">Click new button </t>
        </is>
      </c>
      <c r="D12" s="40" t="inlineStr">
        <is>
          <t xml:space="preserve">New brand modal should display </t>
        </is>
      </c>
      <c r="E12" s="58" t="inlineStr">
        <is>
          <t>Not Tested</t>
        </is>
      </c>
    </row>
    <row r="13" ht="13.5" customHeight="1" s="41">
      <c r="B13" s="58" t="n">
        <v>2</v>
      </c>
      <c r="C13" s="40" t="inlineStr">
        <is>
          <t xml:space="preserve">Click profile image section </t>
        </is>
      </c>
      <c r="D13" s="40" t="inlineStr">
        <is>
          <t>Should open file explorer</t>
        </is>
      </c>
      <c r="E13" s="58" t="inlineStr">
        <is>
          <t>Not Tested</t>
        </is>
      </c>
    </row>
    <row r="14" ht="13.5" customHeight="1" s="41">
      <c r="B14" s="58" t="n">
        <v>3</v>
      </c>
      <c r="C14" s="40" t="inlineStr">
        <is>
          <t xml:space="preserve">Select an image and click open button </t>
        </is>
      </c>
      <c r="D14" s="40" t="inlineStr">
        <is>
          <t xml:space="preserve">Selected image should reflect in profile image section </t>
        </is>
      </c>
      <c r="E14" s="58" t="inlineStr">
        <is>
          <t>Not Tested</t>
        </is>
      </c>
    </row>
    <row r="15" ht="27" customHeight="1" s="41">
      <c r="B15" s="58" t="n">
        <v>4</v>
      </c>
      <c r="C15" s="59" t="inlineStr">
        <is>
          <t>Input device category name</t>
        </is>
      </c>
      <c r="D15" s="60" t="inlineStr">
        <is>
          <t xml:space="preserve">1. Inputted name should display on the field
2. Save and Continue button should enable </t>
        </is>
      </c>
      <c r="E15" s="58" t="inlineStr">
        <is>
          <t>Not Tested</t>
        </is>
      </c>
    </row>
    <row r="16" ht="27" customHeight="1" s="41">
      <c r="B16" s="58" t="n">
        <v>5</v>
      </c>
      <c r="C16" s="59" t="inlineStr">
        <is>
          <t xml:space="preserve">Click Save and Continue button </t>
        </is>
      </c>
      <c r="D16" s="60" t="inlineStr">
        <is>
          <t xml:space="preserve">1. Modal should close
2. Should route to its record </t>
        </is>
      </c>
      <c r="E16" s="58" t="inlineStr">
        <is>
          <t>Not Tested</t>
        </is>
      </c>
    </row>
    <row r="17" ht="13.5" customHeight="1" s="41">
      <c r="A17" s="62" t="n"/>
      <c r="B17" s="62" t="n"/>
      <c r="C17" s="62" t="n"/>
      <c r="D17" s="62" t="n"/>
      <c r="E17" s="62" t="n"/>
      <c r="F17" s="62" t="n"/>
    </row>
    <row r="18" ht="69" customHeight="1" s="41">
      <c r="A18" s="58" t="inlineStr">
        <is>
          <t xml:space="preserve">Record </t>
        </is>
      </c>
      <c r="B18" s="58" t="n">
        <v>1</v>
      </c>
      <c r="C18" s="59" t="inlineStr">
        <is>
          <t>Verify if recor details displayed</t>
        </is>
      </c>
      <c r="D18" s="60" t="inlineStr">
        <is>
          <t xml:space="preserve">Following should display:
1. UPloaded profile image should display
2. Brand name should display
3. Date Created should display
4. Date Updated should display </t>
        </is>
      </c>
      <c r="E18" s="58" t="inlineStr">
        <is>
          <t>Not Tested</t>
        </is>
      </c>
    </row>
    <row r="19" ht="13.5" customHeight="1" s="41">
      <c r="B19" s="58" t="n">
        <v>2</v>
      </c>
      <c r="C19" s="40" t="inlineStr">
        <is>
          <t xml:space="preserve">Verify if devices tab is the default open tab </t>
        </is>
      </c>
      <c r="D19" s="40" t="inlineStr">
        <is>
          <t xml:space="preserve">Devices tab shoudl be the default open tab </t>
        </is>
      </c>
      <c r="E19" s="58" t="inlineStr">
        <is>
          <t>Not Tested</t>
        </is>
      </c>
    </row>
    <row r="20" ht="13.5" customHeight="1" s="41">
      <c r="B20" s="58" t="n">
        <v>3</v>
      </c>
      <c r="C20" s="40" t="inlineStr">
        <is>
          <t>Verify if timeline tab is working</t>
        </is>
      </c>
      <c r="D20" s="40" t="inlineStr">
        <is>
          <t xml:space="preserve">Should route to timeline page when this tab is clicked </t>
        </is>
      </c>
      <c r="E20" s="58" t="inlineStr">
        <is>
          <t>Not Tested</t>
        </is>
      </c>
    </row>
    <row r="21" ht="13.5" customHeight="1" s="41">
      <c r="B21" s="58" t="n">
        <v>4</v>
      </c>
      <c r="C21" s="40" t="inlineStr">
        <is>
          <t xml:space="preserve">Verify if notes tab is working </t>
        </is>
      </c>
      <c r="D21" s="40" t="inlineStr">
        <is>
          <t xml:space="preserve">Should route to notes page when this tab is clicked </t>
        </is>
      </c>
      <c r="E21" s="58" t="inlineStr">
        <is>
          <t>Not Tested</t>
        </is>
      </c>
    </row>
    <row r="22" ht="13.5" customHeight="1" s="41">
      <c r="A22" s="62" t="n"/>
      <c r="B22" s="62" t="n"/>
      <c r="C22" s="62" t="n"/>
      <c r="D22" s="62" t="n"/>
      <c r="E22" s="62" t="n"/>
    </row>
    <row r="23" ht="13.5" customHeight="1" s="41">
      <c r="A23" s="58" t="inlineStr">
        <is>
          <t>Devices</t>
        </is>
      </c>
      <c r="B23" s="58" t="n">
        <v>1</v>
      </c>
      <c r="C23" s="59" t="inlineStr">
        <is>
          <t>Click filter device categories</t>
        </is>
      </c>
      <c r="D23" s="59" t="inlineStr">
        <is>
          <t>Filter dropdown should display</t>
        </is>
      </c>
      <c r="E23" s="58" t="inlineStr">
        <is>
          <t>Not Tested</t>
        </is>
      </c>
    </row>
    <row r="24" ht="41.25" customHeight="1" s="41">
      <c r="B24" s="58" t="n">
        <v>2</v>
      </c>
      <c r="C24" s="59" t="inlineStr">
        <is>
          <t>Click "Select a filter" field</t>
        </is>
      </c>
      <c r="D24" s="61" t="inlineStr">
        <is>
          <t>1. Dropdown with options should display
2. Options displayed are the header columns on the grid</t>
        </is>
      </c>
      <c r="E24" s="58" t="inlineStr">
        <is>
          <t>Not Tested</t>
        </is>
      </c>
    </row>
    <row r="25" ht="27" customHeight="1" s="41">
      <c r="B25" s="58" t="n">
        <v>3</v>
      </c>
      <c r="C25" s="59" t="inlineStr">
        <is>
          <t>Verify if user able to select an option</t>
        </is>
      </c>
      <c r="D25" s="61" t="inlineStr">
        <is>
          <t>1. Selected option should reflect on the field
2. "Select a value" field should display</t>
        </is>
      </c>
      <c r="E25" s="58" t="inlineStr">
        <is>
          <t>Not Tested</t>
        </is>
      </c>
    </row>
    <row r="26" ht="41.25" customHeight="1" s="41">
      <c r="B26" s="58" t="n">
        <v>4</v>
      </c>
      <c r="C26" s="59" t="inlineStr">
        <is>
          <t>Click "Select a value"</t>
        </is>
      </c>
      <c r="D26" s="61" t="inlineStr">
        <is>
          <t xml:space="preserve">1. Dropdown with option should display
2. Options displayed is dependent on what value is selected on the first field </t>
        </is>
      </c>
      <c r="E26" s="58" t="inlineStr">
        <is>
          <t>Not Tested</t>
        </is>
      </c>
    </row>
    <row r="27" ht="41.25" customHeight="1" s="41">
      <c r="B27" s="58" t="n">
        <v>5</v>
      </c>
      <c r="C27" s="59" t="inlineStr">
        <is>
          <t>Verify if user able to select a value</t>
        </is>
      </c>
      <c r="D27" s="61" t="inlineStr">
        <is>
          <t>1.Selected value should reflect on the field
2. Selected value should reflect on the field
3. Add filter button should display</t>
        </is>
      </c>
      <c r="E27" s="58" t="inlineStr">
        <is>
          <t>Not Tested</t>
        </is>
      </c>
    </row>
    <row r="28" ht="27" customHeight="1" s="41">
      <c r="B28" s="58" t="n">
        <v>6</v>
      </c>
      <c r="C28" s="59" t="inlineStr">
        <is>
          <t>Click Add Filter button</t>
        </is>
      </c>
      <c r="D28" s="61" t="inlineStr">
        <is>
          <t xml:space="preserve"> Should create a new tab in users grid and should filter depending on the filter setup</t>
        </is>
      </c>
      <c r="E28" s="58" t="inlineStr">
        <is>
          <t>Not Tested</t>
        </is>
      </c>
    </row>
    <row r="29" ht="13.5" customHeight="1" s="41">
      <c r="B29" s="58" t="n">
        <v>7</v>
      </c>
      <c r="C29" s="59" t="inlineStr">
        <is>
          <t xml:space="preserve">Verify if user is able to search </t>
        </is>
      </c>
      <c r="D29" s="59" t="inlineStr">
        <is>
          <t xml:space="preserve">User should be able to search </t>
        </is>
      </c>
      <c r="E29" s="58" t="inlineStr">
        <is>
          <t>Not Tested</t>
        </is>
      </c>
    </row>
    <row r="30" ht="13.5" customHeight="1" s="41">
      <c r="B30" s="58" t="n">
        <v>8</v>
      </c>
      <c r="C30" s="59" t="inlineStr">
        <is>
          <t>Verify if able to export data</t>
        </is>
      </c>
      <c r="D30" s="59" t="inlineStr">
        <is>
          <t>Should be able to export data from the grid</t>
        </is>
      </c>
      <c r="E30" s="58" t="inlineStr">
        <is>
          <t>Not Tested</t>
        </is>
      </c>
    </row>
    <row r="31" ht="13.5" customHeight="1" s="41">
      <c r="B31" s="58" t="n">
        <v>9</v>
      </c>
      <c r="C31" s="40" t="inlineStr">
        <is>
          <t xml:space="preserve">Verify if devices displayed on the grid </t>
        </is>
      </c>
      <c r="D31" s="40" t="inlineStr">
        <is>
          <t xml:space="preserve">Added devices should display </t>
        </is>
      </c>
      <c r="E31" s="58" t="inlineStr">
        <is>
          <t>Not Tested</t>
        </is>
      </c>
    </row>
    <row r="32" ht="13.5" customHeight="1" s="41">
      <c r="B32" s="58" t="n">
        <v>10</v>
      </c>
      <c r="C32" s="40" t="inlineStr">
        <is>
          <t xml:space="preserve">Click new button </t>
        </is>
      </c>
      <c r="D32" s="40" t="inlineStr">
        <is>
          <t xml:space="preserve">New device modal should display </t>
        </is>
      </c>
      <c r="E32" s="58" t="inlineStr">
        <is>
          <t>Not Tested</t>
        </is>
      </c>
    </row>
    <row r="33" ht="13.5" customHeight="1" s="41">
      <c r="B33" s="58" t="n">
        <v>11</v>
      </c>
      <c r="C33" s="40" t="inlineStr">
        <is>
          <t xml:space="preserve">Click profile image section </t>
        </is>
      </c>
      <c r="D33" s="40" t="inlineStr">
        <is>
          <t>Should open file explorer</t>
        </is>
      </c>
      <c r="E33" s="58" t="inlineStr">
        <is>
          <t>Not Tested</t>
        </is>
      </c>
    </row>
    <row r="34" ht="13.5" customHeight="1" s="41">
      <c r="B34" s="58" t="n">
        <v>12</v>
      </c>
      <c r="C34" s="40" t="inlineStr">
        <is>
          <t xml:space="preserve">Select an image and click open button </t>
        </is>
      </c>
      <c r="D34" s="40" t="inlineStr">
        <is>
          <t xml:space="preserve">Selected image should reflect in profile image section </t>
        </is>
      </c>
      <c r="E34" s="58" t="inlineStr">
        <is>
          <t>Not Tested</t>
        </is>
      </c>
    </row>
    <row r="35" ht="13.5" customHeight="1" s="41">
      <c r="B35" s="58" t="n">
        <v>13</v>
      </c>
      <c r="C35" s="40" t="inlineStr">
        <is>
          <t>Input device name</t>
        </is>
      </c>
      <c r="D35" s="40" t="inlineStr">
        <is>
          <t xml:space="preserve">Inputted device name should reflect on the field </t>
        </is>
      </c>
      <c r="E35" s="58" t="inlineStr">
        <is>
          <t>Not Tested</t>
        </is>
      </c>
    </row>
    <row r="36" ht="13.5" customHeight="1" s="41">
      <c r="B36" s="58" t="n">
        <v>14</v>
      </c>
      <c r="C36" s="40" t="inlineStr">
        <is>
          <t xml:space="preserve">Click identifier field </t>
        </is>
      </c>
      <c r="D36" s="40" t="inlineStr">
        <is>
          <t xml:space="preserve">Dropdown with options should display </t>
        </is>
      </c>
      <c r="E36" s="58" t="inlineStr">
        <is>
          <t>Not Tested</t>
        </is>
      </c>
    </row>
    <row r="37" ht="13.5" customHeight="1" s="41">
      <c r="B37" s="58" t="n">
        <v>15</v>
      </c>
      <c r="C37" s="40" t="inlineStr">
        <is>
          <t xml:space="preserve">Select identifier option </t>
        </is>
      </c>
      <c r="D37" s="40" t="inlineStr">
        <is>
          <t xml:space="preserve">Selected option should reflect on the field </t>
        </is>
      </c>
      <c r="E37" s="58" t="inlineStr">
        <is>
          <t>Not Tested</t>
        </is>
      </c>
    </row>
    <row r="38" ht="13.5" customHeight="1" s="41">
      <c r="B38" s="58" t="n">
        <v>16</v>
      </c>
      <c r="C38" s="40" t="inlineStr">
        <is>
          <t>Click categories field</t>
        </is>
      </c>
      <c r="D38" s="40" t="inlineStr">
        <is>
          <t xml:space="preserve">Dropdown with options should display </t>
        </is>
      </c>
      <c r="E38" s="58" t="inlineStr">
        <is>
          <t>Not Tested</t>
        </is>
      </c>
    </row>
    <row r="39" ht="13.5" customHeight="1" s="41">
      <c r="B39" s="58" t="n">
        <v>17</v>
      </c>
      <c r="C39" s="40" t="inlineStr">
        <is>
          <t xml:space="preserve">Select category option </t>
        </is>
      </c>
      <c r="D39" s="40" t="inlineStr">
        <is>
          <t xml:space="preserve">Selected option should reflect on the field </t>
        </is>
      </c>
      <c r="E39" s="58" t="inlineStr">
        <is>
          <t>Not Tested</t>
        </is>
      </c>
    </row>
    <row r="40" ht="13.5" customHeight="1" s="41">
      <c r="B40" s="58" t="n">
        <v>18</v>
      </c>
      <c r="C40" s="40" t="inlineStr">
        <is>
          <t>Click internet connection type field</t>
        </is>
      </c>
      <c r="D40" s="40" t="inlineStr">
        <is>
          <t xml:space="preserve">Dropdown with options should display </t>
        </is>
      </c>
      <c r="E40" s="58" t="inlineStr">
        <is>
          <t>Not Tested</t>
        </is>
      </c>
    </row>
    <row r="41" ht="13.5" customHeight="1" s="41">
      <c r="B41" s="58" t="n">
        <v>19</v>
      </c>
      <c r="C41" s="40" t="inlineStr">
        <is>
          <t xml:space="preserve">Select internet connection type option </t>
        </is>
      </c>
      <c r="D41" s="40" t="inlineStr">
        <is>
          <t xml:space="preserve">Selected option should reflect on the field </t>
        </is>
      </c>
      <c r="E41" s="58" t="inlineStr">
        <is>
          <t>Not Tested</t>
        </is>
      </c>
    </row>
    <row r="42" ht="13.5" customHeight="1" s="41">
      <c r="B42" s="58" t="n">
        <v>20</v>
      </c>
      <c r="C42" s="40" t="inlineStr">
        <is>
          <t xml:space="preserve">Verify if IMEI is the default selected device ID type </t>
        </is>
      </c>
      <c r="D42" s="40" t="inlineStr">
        <is>
          <t xml:space="preserve">IMEI should be the default selected device ID type </t>
        </is>
      </c>
      <c r="E42" s="58" t="inlineStr">
        <is>
          <t>Not Tested</t>
        </is>
      </c>
    </row>
    <row r="43" ht="13.5" customHeight="1" s="41">
      <c r="B43" s="58" t="n">
        <v>21</v>
      </c>
      <c r="C43" s="40" t="inlineStr">
        <is>
          <t xml:space="preserve">Select another device ID type </t>
        </is>
      </c>
      <c r="D43" s="40" t="inlineStr">
        <is>
          <t>Selected device ID type should be checked</t>
        </is>
      </c>
      <c r="E43" s="58" t="inlineStr">
        <is>
          <t>Not Tested</t>
        </is>
      </c>
    </row>
    <row r="44" ht="13.5" customHeight="1" s="41">
      <c r="B44" s="58" t="n">
        <v>22</v>
      </c>
      <c r="C44" s="40" t="inlineStr">
        <is>
          <t>Select workflow</t>
        </is>
      </c>
      <c r="D44" s="40" t="inlineStr">
        <is>
          <t xml:space="preserve">Selected workflow should be checked </t>
        </is>
      </c>
      <c r="E44" s="58" t="inlineStr">
        <is>
          <t>Not Tested</t>
        </is>
      </c>
    </row>
    <row r="45" ht="27" customHeight="1" s="41">
      <c r="B45" s="58" t="n">
        <v>23</v>
      </c>
      <c r="C45" s="59" t="inlineStr">
        <is>
          <t xml:space="preserve">Click save and close button </t>
        </is>
      </c>
      <c r="D45" s="60" t="inlineStr">
        <is>
          <t xml:space="preserve">1. Modal should close 
2. Record should display in devices grid </t>
        </is>
      </c>
      <c r="E45" s="58" t="inlineStr">
        <is>
          <t>Not Tested</t>
        </is>
      </c>
    </row>
    <row r="46" ht="13.5" customHeight="1" s="41">
      <c r="A46" s="62" t="n"/>
      <c r="B46" s="62" t="n"/>
      <c r="C46" s="62" t="n"/>
      <c r="D46" s="62" t="n"/>
      <c r="E46" s="62" t="n"/>
    </row>
    <row r="47" ht="13.5" customHeight="1" s="41">
      <c r="A47" s="58" t="inlineStr">
        <is>
          <t>Timeline</t>
        </is>
      </c>
      <c r="B47" s="58" t="n">
        <v>1</v>
      </c>
      <c r="C47" s="40" t="inlineStr">
        <is>
          <t>Click filter repair shops</t>
        </is>
      </c>
      <c r="D47" s="40" t="inlineStr">
        <is>
          <t>Filter dropdown should display</t>
        </is>
      </c>
      <c r="E47" s="58" t="inlineStr">
        <is>
          <t>Not Tested</t>
        </is>
      </c>
    </row>
    <row r="48" ht="165" customHeight="1" s="41">
      <c r="B48" s="58" t="n">
        <v>2</v>
      </c>
      <c r="C48" s="59" t="inlineStr">
        <is>
          <t>Click "Select a filter" field</t>
        </is>
      </c>
      <c r="D48" s="60" t="inlineStr">
        <is>
          <t>1. Dropdown with options should display
2. Options displayed are the header columns on the grid
-Email
-First Name
-Last Name
-Role
-Allow Device Buyback
-Company
-User Type
-Affiliate
-Status</t>
        </is>
      </c>
      <c r="E48" s="58" t="inlineStr">
        <is>
          <t>Not Tested</t>
        </is>
      </c>
    </row>
    <row r="49" ht="27" customHeight="1" s="41">
      <c r="B49" s="58" t="n">
        <v>3</v>
      </c>
      <c r="C49" s="59" t="inlineStr">
        <is>
          <t>Verify if user able to select an option</t>
        </is>
      </c>
      <c r="D49" s="60" t="inlineStr">
        <is>
          <t>1. Selected option should reflect on the field
2. "Select a value" field should display</t>
        </is>
      </c>
      <c r="E49" s="58" t="inlineStr">
        <is>
          <t>Not Tested</t>
        </is>
      </c>
    </row>
    <row r="50" ht="41.25" customHeight="1" s="41">
      <c r="B50" s="58" t="n">
        <v>4</v>
      </c>
      <c r="C50" s="59" t="inlineStr">
        <is>
          <t>Click "Select a value"</t>
        </is>
      </c>
      <c r="D50" s="60" t="inlineStr">
        <is>
          <t xml:space="preserve">1. Dropdown with option should display
2. Options displayed is dependent on what value is selected on the first field </t>
        </is>
      </c>
      <c r="E50" s="58" t="inlineStr">
        <is>
          <t>Not Tested</t>
        </is>
      </c>
    </row>
    <row r="51" ht="41.25" customHeight="1" s="41">
      <c r="B51" s="58" t="n">
        <v>5</v>
      </c>
      <c r="C51" s="59" t="inlineStr">
        <is>
          <t>Verify if user able to select a value</t>
        </is>
      </c>
      <c r="D51" s="60" t="inlineStr">
        <is>
          <t>1.Selected value should reflect on the field
2. Selected value should reflect on the field
3. Add filter button should display</t>
        </is>
      </c>
      <c r="E51" s="58" t="inlineStr">
        <is>
          <t>Not Tested</t>
        </is>
      </c>
    </row>
    <row r="52" ht="27" customHeight="1" s="41">
      <c r="B52" s="58" t="n">
        <v>6</v>
      </c>
      <c r="C52" s="59" t="inlineStr">
        <is>
          <t>Click Add Filter button</t>
        </is>
      </c>
      <c r="D52" s="60" t="inlineStr">
        <is>
          <t xml:space="preserve"> Should create a new tab in users grid and should filter depending on the filter setup</t>
        </is>
      </c>
      <c r="E52" s="58" t="inlineStr">
        <is>
          <t>Not Tested</t>
        </is>
      </c>
    </row>
    <row r="53" ht="13.5" customHeight="1" s="41">
      <c r="B53" s="58" t="n">
        <v>7</v>
      </c>
      <c r="C53" s="40" t="inlineStr">
        <is>
          <t xml:space="preserve">Verify if user is able to search </t>
        </is>
      </c>
      <c r="D53" s="40" t="inlineStr">
        <is>
          <t xml:space="preserve">User should be able to search </t>
        </is>
      </c>
      <c r="E53" s="58" t="inlineStr">
        <is>
          <t>Not Tested</t>
        </is>
      </c>
    </row>
    <row r="54" ht="27" customHeight="1" s="41">
      <c r="B54" s="58" t="n">
        <v>8</v>
      </c>
      <c r="C54" s="60" t="inlineStr">
        <is>
          <t>Verify if all actions, isertions, updates the user did on the record displayed in timeline tab</t>
        </is>
      </c>
      <c r="D54" s="61" t="inlineStr">
        <is>
          <t xml:space="preserve">Should create a record in timeline tab all the actions the user did </t>
        </is>
      </c>
      <c r="E54" s="58" t="inlineStr">
        <is>
          <t>Not Tested</t>
        </is>
      </c>
    </row>
    <row r="55" ht="13.5" customHeight="1" s="41">
      <c r="A55" s="62" t="n"/>
      <c r="B55" s="62" t="n"/>
      <c r="C55" s="62" t="n"/>
      <c r="D55" s="62" t="n"/>
      <c r="E55" s="62" t="n"/>
      <c r="F55" s="62" t="n"/>
    </row>
    <row r="56" ht="13.5" customHeight="1" s="41">
      <c r="A56" s="58" t="inlineStr">
        <is>
          <t>Notes</t>
        </is>
      </c>
      <c r="B56" s="58" t="n">
        <v>1</v>
      </c>
      <c r="C56" s="40" t="inlineStr">
        <is>
          <t>Verify if New button is working</t>
        </is>
      </c>
      <c r="D56" s="40" t="inlineStr">
        <is>
          <t xml:space="preserve">New note modal should display </t>
        </is>
      </c>
      <c r="E56" s="58" t="inlineStr">
        <is>
          <t>Not Tested</t>
        </is>
      </c>
    </row>
    <row r="57" ht="13.5" customHeight="1" s="41">
      <c r="B57" s="58" t="n">
        <v>2</v>
      </c>
      <c r="C57" s="40" t="inlineStr">
        <is>
          <t>Verify if user able to input in title field</t>
        </is>
      </c>
      <c r="D57" s="40" t="inlineStr">
        <is>
          <t xml:space="preserve">Should be able to input on the field </t>
        </is>
      </c>
      <c r="E57" s="58" t="inlineStr">
        <is>
          <t>Not Tested</t>
        </is>
      </c>
    </row>
    <row r="58" ht="14.25" customHeight="1" s="41">
      <c r="B58" s="58" t="n">
        <v>3</v>
      </c>
      <c r="C58" s="60" t="inlineStr">
        <is>
          <t xml:space="preserve">Verify if user able to input on the message/content box </t>
        </is>
      </c>
      <c r="D58" s="60" t="inlineStr">
        <is>
          <t>Should be able to input on the content/message box</t>
        </is>
      </c>
      <c r="E58" s="58" t="inlineStr">
        <is>
          <t>Not Tested</t>
        </is>
      </c>
    </row>
    <row r="59" ht="27" customHeight="1" s="41">
      <c r="B59" s="58" t="n">
        <v>4</v>
      </c>
      <c r="C59" s="59" t="inlineStr">
        <is>
          <t>Click Save and Close button</t>
        </is>
      </c>
      <c r="D59" s="60" t="inlineStr">
        <is>
          <t>1. Modal should close
2. Created note should display on the grid</t>
        </is>
      </c>
      <c r="E59" s="58" t="inlineStr">
        <is>
          <t>Not Tested</t>
        </is>
      </c>
    </row>
    <row r="60" ht="41.25" customHeight="1" s="41">
      <c r="B60" s="58" t="n">
        <v>5</v>
      </c>
      <c r="C60" s="59" t="inlineStr">
        <is>
          <t xml:space="preserve">Verify if edit button is working </t>
        </is>
      </c>
      <c r="D60" s="60" t="inlineStr">
        <is>
          <t>1. Edit note  modal should display 
2. Details should populate on the field and on the content box</t>
        </is>
      </c>
      <c r="E60" s="58" t="inlineStr">
        <is>
          <t>Not Tested</t>
        </is>
      </c>
    </row>
    <row r="61" ht="27" customHeight="1" s="41">
      <c r="B61" s="58" t="n">
        <v>6</v>
      </c>
      <c r="C61" s="59" t="inlineStr">
        <is>
          <t>Edit field or the content box</t>
        </is>
      </c>
      <c r="D61" s="60" t="inlineStr">
        <is>
          <t>1. Changes should display on the field/content box
2. Save and close button should enable</t>
        </is>
      </c>
      <c r="E61" s="58" t="inlineStr">
        <is>
          <t>Not Tested</t>
        </is>
      </c>
    </row>
    <row r="62" ht="27" customHeight="1" s="41">
      <c r="B62" s="58" t="n">
        <v>7</v>
      </c>
      <c r="C62" s="40" t="inlineStr">
        <is>
          <t>Click save and close button</t>
        </is>
      </c>
      <c r="D62" s="60" t="inlineStr">
        <is>
          <t>1. Modal should close
2. Changes should be saved</t>
        </is>
      </c>
      <c r="E62" s="58" t="inlineStr">
        <is>
          <t>Not Tested</t>
        </is>
      </c>
    </row>
  </sheetData>
  <autoFilter ref="A1:G62"/>
  <mergeCells count="6">
    <mergeCell ref="A18:A21"/>
    <mergeCell ref="A12:A16"/>
    <mergeCell ref="A56:A62"/>
    <mergeCell ref="A47:A54"/>
    <mergeCell ref="A2:A10"/>
    <mergeCell ref="A23:A45"/>
  </mergeCells>
  <conditionalFormatting sqref="E56:E62">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47:E54">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23:E45">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18:E21">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12:E16">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2:E10">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dataValidations count="1">
    <dataValidation sqref="E2:E62"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4" colorId="64" zoomScale="100" zoomScaleNormal="100" zoomScalePageLayoutView="100" workbookViewId="0">
      <pane xSplit="0" ySplit="1" topLeftCell="A2" activePane="bottomLeft" state="frozen"/>
      <selection pane="topLeft" activeCell="A4" activeCellId="0" sqref="A4"/>
      <selection pane="bottomLeft" activeCell="F17" activeCellId="0" sqref="F17"/>
    </sheetView>
  </sheetViews>
  <sheetFormatPr baseColWidth="8" defaultColWidth="8.5390625" defaultRowHeight="13.5" customHeight="0" zeroHeight="0" outlineLevelRow="0"/>
  <cols>
    <col width="24" customWidth="1" style="40" min="1" max="1"/>
    <col width="25.4" customWidth="1" style="40" min="2" max="2"/>
    <col width="37.4" customWidth="1" style="40" min="3" max="3"/>
    <col width="45.4" customWidth="1" style="40" min="4" max="4"/>
    <col width="29.3" customWidth="1" style="40" min="5" max="5"/>
    <col width="38.4"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27" customHeight="1" s="41">
      <c r="A2" s="58" t="inlineStr">
        <is>
          <t xml:space="preserve">Grid </t>
        </is>
      </c>
      <c r="B2" s="58" t="n">
        <v>1</v>
      </c>
      <c r="C2" s="60" t="inlineStr">
        <is>
          <t xml:space="preserve">Verify if registration survey questions displayed on the grid </t>
        </is>
      </c>
      <c r="D2" s="60" t="inlineStr">
        <is>
          <t xml:space="preserve">Created registration survery questions should display on the grid </t>
        </is>
      </c>
      <c r="E2" s="58" t="inlineStr">
        <is>
          <t>Not Tested</t>
        </is>
      </c>
    </row>
    <row r="3" ht="14.25" customHeight="1" s="41">
      <c r="B3" s="58" t="n">
        <v>2</v>
      </c>
      <c r="C3" s="40" t="inlineStr">
        <is>
          <t xml:space="preserve">Click edit button on the grid </t>
        </is>
      </c>
      <c r="D3" s="40" t="inlineStr">
        <is>
          <t xml:space="preserve">Should display the question record on a modal </t>
        </is>
      </c>
      <c r="E3" s="58" t="inlineStr">
        <is>
          <t>Not Tested</t>
        </is>
      </c>
    </row>
    <row r="4" ht="27" customHeight="1" s="41">
      <c r="B4" s="58" t="n">
        <v>3</v>
      </c>
      <c r="C4" s="59" t="inlineStr">
        <is>
          <t xml:space="preserve">Update the question </t>
        </is>
      </c>
      <c r="D4" s="60" t="inlineStr">
        <is>
          <t xml:space="preserve">1.Inputted new change/s should reflect on the field 
2. Save nad close button should enable </t>
        </is>
      </c>
      <c r="E4" s="58" t="inlineStr">
        <is>
          <t>Not Tested</t>
        </is>
      </c>
    </row>
    <row r="5" ht="27" customHeight="1" s="41">
      <c r="B5" s="58" t="n">
        <v>4</v>
      </c>
      <c r="C5" s="59" t="inlineStr">
        <is>
          <t xml:space="preserve">Click save and close </t>
        </is>
      </c>
      <c r="D5" s="60" t="inlineStr">
        <is>
          <t xml:space="preserve">1. Modal should close 
2. Changes should be saved </t>
        </is>
      </c>
      <c r="E5" s="58" t="inlineStr">
        <is>
          <t>Not Tested</t>
        </is>
      </c>
    </row>
    <row r="6" ht="27" customHeight="1" s="41">
      <c r="B6" s="58" t="n">
        <v>5</v>
      </c>
      <c r="C6" s="59" t="inlineStr">
        <is>
          <t xml:space="preserve">Click delete button </t>
        </is>
      </c>
      <c r="D6" s="61" t="inlineStr">
        <is>
          <t>Delete confirmation modal should displayhaving this message " Are you sure you want to delete "Question "</t>
        </is>
      </c>
      <c r="E6" s="58" t="inlineStr">
        <is>
          <t>Not Tested</t>
        </is>
      </c>
    </row>
    <row r="7" ht="27" customHeight="1" s="41">
      <c r="B7" s="58" t="n">
        <v>6</v>
      </c>
      <c r="C7" s="59" t="inlineStr">
        <is>
          <t xml:space="preserve">Click No button </t>
        </is>
      </c>
      <c r="D7" s="60" t="inlineStr">
        <is>
          <t>1. Modal should close
2. Delete will be cancelled</t>
        </is>
      </c>
      <c r="E7" s="58" t="inlineStr">
        <is>
          <t>Not Tested</t>
        </is>
      </c>
    </row>
    <row r="8" ht="41.25" customHeight="1" s="41">
      <c r="B8" s="58" t="n">
        <v>7</v>
      </c>
      <c r="C8" s="59" t="inlineStr">
        <is>
          <t xml:space="preserve">Click Yes button </t>
        </is>
      </c>
      <c r="D8" s="60" t="inlineStr">
        <is>
          <t xml:space="preserve">1. Modal should close
2. Selected question should be deleted and will be remved from the grid </t>
        </is>
      </c>
      <c r="E8" s="58" t="inlineStr">
        <is>
          <t>Not Tested</t>
        </is>
      </c>
    </row>
    <row r="9" ht="13.5" customHeight="1" s="41">
      <c r="A9" s="62" t="n"/>
      <c r="B9" s="62" t="n"/>
      <c r="C9" s="62" t="n"/>
      <c r="D9" s="62" t="n"/>
      <c r="E9" s="62" t="n"/>
      <c r="F9" s="62" t="n"/>
    </row>
    <row r="10" ht="14.25" customHeight="1" s="41">
      <c r="A10" s="61" t="inlineStr">
        <is>
          <t xml:space="preserve">New Registration Survey </t>
        </is>
      </c>
      <c r="C10" s="40" t="inlineStr">
        <is>
          <t xml:space="preserve">Click new button </t>
        </is>
      </c>
      <c r="D10" s="40" t="inlineStr">
        <is>
          <t xml:space="preserve">New registration survey modal should display </t>
        </is>
      </c>
      <c r="E10" s="58" t="n"/>
    </row>
    <row r="11" ht="27" customHeight="1" s="41">
      <c r="C11" s="40" t="inlineStr">
        <is>
          <t xml:space="preserve">Input question </t>
        </is>
      </c>
      <c r="D11" s="60" t="inlineStr">
        <is>
          <t xml:space="preserve">1. Inputted question should reflect on the field 
2. Save and close button should enable </t>
        </is>
      </c>
      <c r="E11" s="58" t="n"/>
    </row>
    <row r="12" ht="27" customHeight="1" s="41">
      <c r="C12" s="40" t="inlineStr">
        <is>
          <t xml:space="preserve">Click save and close button </t>
        </is>
      </c>
      <c r="D12" s="60" t="inlineStr">
        <is>
          <t xml:space="preserve">1. Modal should close 
2. Created survey question should display on the grid </t>
        </is>
      </c>
      <c r="E12" s="58" t="n"/>
    </row>
  </sheetData>
  <autoFilter ref="A1:G12"/>
  <mergeCells count="2">
    <mergeCell ref="A10:A12"/>
    <mergeCell ref="A2:A8"/>
  </mergeCells>
  <conditionalFormatting sqref="E10:E12">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8">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12"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G68"/>
  <sheetViews>
    <sheetView showFormulas="0" showGridLines="1" showRowColHeaders="1" showZeros="1" rightToLeft="0" tabSelected="0" showOutlineSymbols="1" defaultGridColor="1" view="normal" topLeftCell="A54" colorId="64" zoomScale="100" zoomScaleNormal="100" zoomScalePageLayoutView="100" workbookViewId="0">
      <pane xSplit="0" ySplit="1" topLeftCell="A2" activePane="bottomLeft" state="frozen"/>
      <selection pane="topLeft" activeCell="A54" activeCellId="0" sqref="A54"/>
      <selection pane="bottomLeft" activeCell="A53" activeCellId="0" sqref="A53"/>
    </sheetView>
  </sheetViews>
  <sheetFormatPr baseColWidth="8" defaultColWidth="8.5390625" defaultRowHeight="13.5" customHeight="0" zeroHeight="0" outlineLevelRow="0"/>
  <cols>
    <col width="30.9" customWidth="1" style="40" min="1" max="1"/>
    <col width="23" customWidth="1" style="40" min="2" max="2"/>
    <col width="43.1" customWidth="1" style="40" min="3" max="3"/>
    <col width="50.4" customWidth="1" style="40" min="4" max="4"/>
    <col width="29" customWidth="1" style="40" min="5" max="5"/>
    <col width="23.9"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plans grid displayed</t>
        </is>
      </c>
      <c r="D2" s="61" t="inlineStr">
        <is>
          <t xml:space="preserve">Plans categories grid should display </t>
        </is>
      </c>
      <c r="E2" s="58" t="inlineStr">
        <is>
          <t>Not Tested</t>
        </is>
      </c>
    </row>
    <row r="3" ht="14.25" customHeight="1" s="41">
      <c r="B3" s="58" t="n">
        <v>2</v>
      </c>
      <c r="C3" s="59" t="inlineStr">
        <is>
          <t>Click filter plans</t>
        </is>
      </c>
      <c r="D3" s="59" t="inlineStr">
        <is>
          <t>Filter dropdown should display</t>
        </is>
      </c>
      <c r="E3" s="58" t="inlineStr">
        <is>
          <t>Not Tested</t>
        </is>
      </c>
    </row>
    <row r="4" ht="27" customHeight="1" s="41">
      <c r="B4" s="58" t="n">
        <v>3</v>
      </c>
      <c r="C4" s="59" t="inlineStr">
        <is>
          <t>Click "Select a filter" field</t>
        </is>
      </c>
      <c r="D4" s="61" t="inlineStr">
        <is>
          <t>1. Dropdown with options should display
2. Options displayed are the header columns on the grid</t>
        </is>
      </c>
      <c r="E4" s="58" t="inlineStr">
        <is>
          <t>Not Tested</t>
        </is>
      </c>
    </row>
    <row r="5" ht="27" customHeight="1" s="41">
      <c r="B5" s="58" t="n">
        <v>4</v>
      </c>
      <c r="C5" s="59" t="inlineStr">
        <is>
          <t>Verify if user able to select an option</t>
        </is>
      </c>
      <c r="D5" s="61" t="inlineStr">
        <is>
          <t>1. Selected option should reflect on the field
2. "Select a value" field should display</t>
        </is>
      </c>
      <c r="E5" s="58" t="inlineStr">
        <is>
          <t>Not Tested</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Not Tested</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Not Tested</t>
        </is>
      </c>
    </row>
    <row r="8" ht="27" customHeight="1" s="41">
      <c r="B8" s="58" t="n">
        <v>7</v>
      </c>
      <c r="C8" s="59" t="inlineStr">
        <is>
          <t>Click Add Filter button</t>
        </is>
      </c>
      <c r="D8" s="61" t="inlineStr">
        <is>
          <t xml:space="preserve"> Should create a new tab in users grid and should filter depending on the filter setup</t>
        </is>
      </c>
      <c r="E8" s="58" t="inlineStr">
        <is>
          <t>Not Tested</t>
        </is>
      </c>
    </row>
    <row r="9" ht="14.25" customHeight="1" s="41">
      <c r="B9" s="58" t="n">
        <v>8</v>
      </c>
      <c r="C9" s="59" t="inlineStr">
        <is>
          <t xml:space="preserve">Verify if user is able to search </t>
        </is>
      </c>
      <c r="D9" s="59" t="inlineStr">
        <is>
          <t xml:space="preserve">User should be able to search </t>
        </is>
      </c>
      <c r="E9" s="58" t="inlineStr">
        <is>
          <t>Not Tested</t>
        </is>
      </c>
    </row>
    <row r="10" ht="14.25" customHeight="1" s="41">
      <c r="B10" s="58" t="n">
        <v>9</v>
      </c>
      <c r="C10" s="59" t="inlineStr">
        <is>
          <t>Verify if able to export data</t>
        </is>
      </c>
      <c r="D10" s="59" t="inlineStr">
        <is>
          <t>Should be able to export data from the grid</t>
        </is>
      </c>
      <c r="E10" s="58" t="inlineStr">
        <is>
          <t>Not Tested</t>
        </is>
      </c>
    </row>
    <row r="11" ht="13.5" customHeight="1" s="41">
      <c r="A11" s="62" t="n"/>
      <c r="B11" s="62" t="n"/>
      <c r="C11" s="62" t="n"/>
      <c r="D11" s="62" t="n"/>
      <c r="E11" s="62" t="n"/>
      <c r="F11" s="62" t="n"/>
    </row>
    <row r="12" ht="27" customHeight="1" s="41">
      <c r="A12" s="58" t="inlineStr">
        <is>
          <t xml:space="preserve">New Plan </t>
        </is>
      </c>
      <c r="B12" s="58" t="n">
        <v>1</v>
      </c>
      <c r="C12" s="59" t="inlineStr">
        <is>
          <t xml:space="preserve">Click new button </t>
        </is>
      </c>
      <c r="D12" s="60" t="inlineStr">
        <is>
          <t xml:space="preserve">1. New plan modal should display 
2. Step 1: Plan Details should display </t>
        </is>
      </c>
      <c r="E12" s="58" t="inlineStr">
        <is>
          <t>Not Tested</t>
        </is>
      </c>
    </row>
    <row r="13" ht="14.25" customHeight="1" s="41">
      <c r="B13" s="58" t="n">
        <v>2</v>
      </c>
      <c r="C13" s="40" t="inlineStr">
        <is>
          <t xml:space="preserve">Click profile image section </t>
        </is>
      </c>
      <c r="D13" s="40" t="inlineStr">
        <is>
          <t>Should open file explorer</t>
        </is>
      </c>
      <c r="E13" s="58" t="inlineStr">
        <is>
          <t>Not Tested</t>
        </is>
      </c>
    </row>
    <row r="14" ht="14.25" customHeight="1" s="41">
      <c r="B14" s="58" t="n">
        <v>3</v>
      </c>
      <c r="C14" s="40" t="inlineStr">
        <is>
          <t xml:space="preserve">Select an image and click open button </t>
        </is>
      </c>
      <c r="D14" s="40" t="inlineStr">
        <is>
          <t xml:space="preserve">Selected image should reflect in profile image section </t>
        </is>
      </c>
      <c r="E14" s="58" t="inlineStr">
        <is>
          <t>Not Tested</t>
        </is>
      </c>
    </row>
    <row r="15" ht="14.25" customHeight="1" s="41">
      <c r="B15" s="58" t="n">
        <v>4</v>
      </c>
      <c r="C15" s="59" t="inlineStr">
        <is>
          <t>Input plan name</t>
        </is>
      </c>
      <c r="D15" s="60" t="inlineStr">
        <is>
          <t xml:space="preserve">Inputted plan name should reflect on the field </t>
        </is>
      </c>
      <c r="E15" s="58" t="inlineStr">
        <is>
          <t>Not Tested</t>
        </is>
      </c>
    </row>
    <row r="16" ht="14.25" customHeight="1" s="41">
      <c r="B16" s="58" t="n">
        <v>5</v>
      </c>
      <c r="C16" s="40" t="inlineStr">
        <is>
          <t xml:space="preserve">Verify if single is the default selected plan type </t>
        </is>
      </c>
      <c r="D16" s="40" t="inlineStr">
        <is>
          <t xml:space="preserve">Single should be the default selected plan type </t>
        </is>
      </c>
      <c r="E16" s="58" t="inlineStr">
        <is>
          <t>Not Tested</t>
        </is>
      </c>
    </row>
    <row r="17" ht="14.25" customHeight="1" s="41">
      <c r="B17" s="58" t="n">
        <v>6</v>
      </c>
      <c r="C17" s="40" t="inlineStr">
        <is>
          <t xml:space="preserve">Click plan type field </t>
        </is>
      </c>
      <c r="D17" s="60" t="inlineStr">
        <is>
          <t>Dropdown with other plan type options should display</t>
        </is>
      </c>
      <c r="E17" s="58" t="inlineStr">
        <is>
          <t>Not Tested</t>
        </is>
      </c>
    </row>
    <row r="18" ht="14.25" customHeight="1" s="41">
      <c r="B18" s="58" t="n">
        <v>7</v>
      </c>
      <c r="C18" s="40" t="inlineStr">
        <is>
          <t xml:space="preserve">Select plan type </t>
        </is>
      </c>
      <c r="D18" s="40" t="inlineStr">
        <is>
          <t xml:space="preserve">Selected plan type option should reflect on the field </t>
        </is>
      </c>
      <c r="E18" s="58" t="inlineStr">
        <is>
          <t>Not Tested</t>
        </is>
      </c>
    </row>
    <row r="19" ht="14.25" customHeight="1" s="41">
      <c r="B19" s="58" t="n">
        <v>8</v>
      </c>
      <c r="C19" s="40" t="inlineStr">
        <is>
          <t xml:space="preserve">Click region field </t>
        </is>
      </c>
      <c r="D19" s="40" t="inlineStr">
        <is>
          <t xml:space="preserve">Dropdown with region options should display </t>
        </is>
      </c>
      <c r="E19" s="58" t="inlineStr">
        <is>
          <t>Not Tested</t>
        </is>
      </c>
    </row>
    <row r="20" ht="14.25" customHeight="1" s="41">
      <c r="B20" s="58" t="n">
        <v>9</v>
      </c>
      <c r="C20" s="40" t="inlineStr">
        <is>
          <t xml:space="preserve">Select a region option </t>
        </is>
      </c>
      <c r="D20" s="40" t="inlineStr">
        <is>
          <t xml:space="preserve">Selected option should reflect on the field </t>
        </is>
      </c>
      <c r="E20" s="58" t="inlineStr">
        <is>
          <t>Not Tested</t>
        </is>
      </c>
    </row>
    <row r="21" ht="14.25" customHeight="1" s="41">
      <c r="B21" s="58" t="n">
        <v>10</v>
      </c>
      <c r="C21" s="40" t="inlineStr">
        <is>
          <t xml:space="preserve">Input a SKU </t>
        </is>
      </c>
      <c r="D21" s="40" t="inlineStr">
        <is>
          <t xml:space="preserve">Inputted SKU should reflect on the field </t>
        </is>
      </c>
      <c r="E21" s="58" t="inlineStr">
        <is>
          <t>Not Tested</t>
        </is>
      </c>
    </row>
    <row r="22" ht="14.25" customHeight="1" s="41">
      <c r="B22" s="58" t="n">
        <v>11</v>
      </c>
      <c r="C22" s="40" t="inlineStr">
        <is>
          <t xml:space="preserve">Click administrator field </t>
        </is>
      </c>
      <c r="D22" s="40" t="inlineStr">
        <is>
          <t xml:space="preserve">Dropdown with administrator options should display </t>
        </is>
      </c>
      <c r="E22" s="58" t="inlineStr">
        <is>
          <t>Not Tested</t>
        </is>
      </c>
    </row>
    <row r="23" ht="14.25" customHeight="1" s="41">
      <c r="B23" s="58" t="n">
        <v>12</v>
      </c>
      <c r="C23" s="40" t="inlineStr">
        <is>
          <t xml:space="preserve">Select an administratot option </t>
        </is>
      </c>
      <c r="D23" s="40" t="inlineStr">
        <is>
          <t xml:space="preserve">Selected administrator option should reflect on the field </t>
        </is>
      </c>
      <c r="E23" s="58" t="inlineStr">
        <is>
          <t>Not Tested</t>
        </is>
      </c>
    </row>
    <row r="24" ht="14.25" customHeight="1" s="41">
      <c r="B24" s="58" t="n">
        <v>13</v>
      </c>
      <c r="C24" s="40" t="inlineStr">
        <is>
          <t xml:space="preserve">Click underwriter field </t>
        </is>
      </c>
      <c r="D24" s="40" t="inlineStr">
        <is>
          <t>Dropdown with underwriter options should display</t>
        </is>
      </c>
      <c r="E24" s="58" t="inlineStr">
        <is>
          <t>Not Tested</t>
        </is>
      </c>
    </row>
    <row r="25" ht="14.25" customHeight="1" s="41">
      <c r="B25" s="58" t="n">
        <v>14</v>
      </c>
      <c r="C25" s="40" t="inlineStr">
        <is>
          <t xml:space="preserve">Select an undewriter option </t>
        </is>
      </c>
      <c r="D25" s="40" t="inlineStr">
        <is>
          <t xml:space="preserve">Selected option should reflect on the field </t>
        </is>
      </c>
      <c r="E25" s="58" t="inlineStr">
        <is>
          <t>Not Tested</t>
        </is>
      </c>
    </row>
    <row r="26" ht="14.25" customHeight="1" s="41">
      <c r="B26" s="58" t="n">
        <v>15</v>
      </c>
      <c r="C26" s="40" t="inlineStr">
        <is>
          <t>Click coverage type field</t>
        </is>
      </c>
      <c r="D26" s="40" t="inlineStr">
        <is>
          <t xml:space="preserve">Dropdown with coverage type options should display </t>
        </is>
      </c>
      <c r="E26" s="58" t="inlineStr">
        <is>
          <t>Not Tested</t>
        </is>
      </c>
    </row>
    <row r="27" ht="14.25" customHeight="1" s="41">
      <c r="B27" s="58" t="n">
        <v>16</v>
      </c>
      <c r="C27" s="40" t="inlineStr">
        <is>
          <t xml:space="preserve">Select a coverage type option </t>
        </is>
      </c>
      <c r="D27" s="40" t="inlineStr">
        <is>
          <t xml:space="preserve">Selected option should reflect on the field </t>
        </is>
      </c>
      <c r="E27" s="58" t="inlineStr">
        <is>
          <t>Not Tested</t>
        </is>
      </c>
    </row>
    <row r="28" ht="14.25" customHeight="1" s="41">
      <c r="B28" s="58" t="n">
        <v>17</v>
      </c>
      <c r="C28" s="40" t="inlineStr">
        <is>
          <t xml:space="preserve">Click coverage cost type field </t>
        </is>
      </c>
      <c r="D28" s="40" t="inlineStr">
        <is>
          <t xml:space="preserve">Dropdown with coverage cost type options should display </t>
        </is>
      </c>
      <c r="E28" s="58" t="inlineStr">
        <is>
          <t>Not Tested</t>
        </is>
      </c>
    </row>
    <row r="29" ht="14.25" customHeight="1" s="41">
      <c r="B29" s="58" t="n">
        <v>18</v>
      </c>
      <c r="C29" s="40" t="inlineStr">
        <is>
          <t>Input coverage period</t>
        </is>
      </c>
      <c r="D29" s="40" t="inlineStr">
        <is>
          <t xml:space="preserve">Inputted covergae perios should reflect on the field </t>
        </is>
      </c>
      <c r="E29" s="58" t="inlineStr">
        <is>
          <t>Not Tested</t>
        </is>
      </c>
    </row>
    <row r="30" ht="14.25" customHeight="1" s="41">
      <c r="B30" s="58" t="n">
        <v>19</v>
      </c>
      <c r="C30" s="40" t="inlineStr">
        <is>
          <t xml:space="preserve">Click channel field </t>
        </is>
      </c>
      <c r="D30" s="40" t="inlineStr">
        <is>
          <t xml:space="preserve">Dropdown with channel options should display </t>
        </is>
      </c>
      <c r="E30" s="58" t="inlineStr">
        <is>
          <t>Not Tested</t>
        </is>
      </c>
    </row>
    <row r="31" ht="14.25" customHeight="1" s="41">
      <c r="B31" s="58" t="n">
        <v>20</v>
      </c>
      <c r="C31" s="40" t="inlineStr">
        <is>
          <t xml:space="preserve">Select a channel option </t>
        </is>
      </c>
      <c r="D31" s="40" t="inlineStr">
        <is>
          <t xml:space="preserve">Selected option should reflect on the field </t>
        </is>
      </c>
      <c r="E31" s="58" t="inlineStr">
        <is>
          <t>Not Tested</t>
        </is>
      </c>
    </row>
    <row r="32" ht="14.25" customHeight="1" s="41">
      <c r="B32" s="58" t="n">
        <v>21</v>
      </c>
      <c r="C32" s="40" t="inlineStr">
        <is>
          <t xml:space="preserve">Click next button </t>
        </is>
      </c>
      <c r="D32" s="40" t="inlineStr">
        <is>
          <t xml:space="preserve">Should route to Step 2: Support &amp; Term Details </t>
        </is>
      </c>
      <c r="E32" s="58" t="inlineStr">
        <is>
          <t>Not Tested</t>
        </is>
      </c>
    </row>
    <row r="33" ht="14.25" customHeight="1" s="41">
      <c r="B33" s="58" t="n">
        <v>22</v>
      </c>
      <c r="C33" s="40" t="inlineStr">
        <is>
          <t xml:space="preserve">Click support field </t>
        </is>
      </c>
      <c r="D33" s="40" t="inlineStr">
        <is>
          <t xml:space="preserve">Dropdown with support options should display </t>
        </is>
      </c>
      <c r="E33" s="58" t="inlineStr">
        <is>
          <t>Not Tested</t>
        </is>
      </c>
    </row>
    <row r="34" ht="14.25" customHeight="1" s="41">
      <c r="B34" s="58" t="n">
        <v>23</v>
      </c>
      <c r="C34" s="40" t="inlineStr">
        <is>
          <t xml:space="preserve">Select a support option </t>
        </is>
      </c>
      <c r="D34" s="40" t="inlineStr">
        <is>
          <t xml:space="preserve">Selected option should reflect on the field </t>
        </is>
      </c>
      <c r="E34" s="58" t="inlineStr">
        <is>
          <t>Not Tested</t>
        </is>
      </c>
    </row>
    <row r="35" ht="14.25" customHeight="1" s="41">
      <c r="B35" s="58" t="n">
        <v>24</v>
      </c>
      <c r="C35" s="40" t="inlineStr">
        <is>
          <t xml:space="preserve">Click upload PDF file button </t>
        </is>
      </c>
      <c r="D35" s="40" t="inlineStr">
        <is>
          <t>Should open file explorer</t>
        </is>
      </c>
      <c r="E35" s="58" t="inlineStr">
        <is>
          <t>Not Tested</t>
        </is>
      </c>
    </row>
    <row r="36" ht="14.25" customHeight="1" s="41">
      <c r="B36" s="58" t="n">
        <v>25</v>
      </c>
      <c r="C36" s="40" t="inlineStr">
        <is>
          <t xml:space="preserve">Select PDF file and click open button </t>
        </is>
      </c>
      <c r="D36" s="40" t="inlineStr">
        <is>
          <t xml:space="preserve">Should reflect in terms section </t>
        </is>
      </c>
      <c r="E36" s="58" t="inlineStr">
        <is>
          <t>Not Tested</t>
        </is>
      </c>
    </row>
    <row r="37" ht="14.25" customHeight="1" s="41">
      <c r="B37" s="58" t="n">
        <v>26</v>
      </c>
      <c r="C37" s="40" t="inlineStr">
        <is>
          <t xml:space="preserve">Click next button </t>
        </is>
      </c>
      <c r="D37" s="40" t="inlineStr">
        <is>
          <t xml:space="preserve">Should route to Step 3: Summary </t>
        </is>
      </c>
      <c r="E37" s="58" t="inlineStr">
        <is>
          <t>Not Tested</t>
        </is>
      </c>
    </row>
    <row r="38" ht="14.25" customHeight="1" s="41">
      <c r="B38" s="58" t="n">
        <v>27</v>
      </c>
      <c r="C38" s="40" t="inlineStr">
        <is>
          <t>Verify if Plan details displayed</t>
        </is>
      </c>
      <c r="D38" s="40" t="inlineStr">
        <is>
          <t xml:space="preserve">Plan details inputted in step 1 should display </t>
        </is>
      </c>
      <c r="E38" s="58" t="inlineStr">
        <is>
          <t>Not Tested</t>
        </is>
      </c>
    </row>
    <row r="39" ht="14.25" customHeight="1" s="41">
      <c r="B39" s="58" t="n">
        <v>28</v>
      </c>
      <c r="C39" s="40" t="inlineStr">
        <is>
          <t>Verify if support &amp; term details displayed</t>
        </is>
      </c>
      <c r="D39" s="40" t="inlineStr">
        <is>
          <t xml:space="preserve">Support &amp; term details in step 2 should display </t>
        </is>
      </c>
      <c r="E39" s="58" t="inlineStr">
        <is>
          <t>Not Tested</t>
        </is>
      </c>
    </row>
    <row r="40" ht="41.25" customHeight="1" s="41">
      <c r="B40" s="58" t="n">
        <v>29</v>
      </c>
      <c r="C40" s="59" t="inlineStr">
        <is>
          <t xml:space="preserve">Click save nad close button </t>
        </is>
      </c>
      <c r="D40" s="60" t="inlineStr">
        <is>
          <t xml:space="preserve">1. Modal should close
2. Should route to its record 
3. Record should display on the grid </t>
        </is>
      </c>
      <c r="E40" s="58" t="inlineStr">
        <is>
          <t>Not Tested</t>
        </is>
      </c>
    </row>
    <row r="41" ht="13.5" customHeight="1" s="41">
      <c r="A41" s="62" t="n"/>
      <c r="B41" s="62" t="n"/>
      <c r="C41" s="62" t="n"/>
      <c r="D41" s="62" t="n"/>
      <c r="E41" s="62" t="n"/>
      <c r="F41" s="62" t="n"/>
    </row>
    <row r="42" ht="126" customHeight="1" s="41">
      <c r="A42" s="58" t="inlineStr">
        <is>
          <t xml:space="preserve">Record </t>
        </is>
      </c>
      <c r="B42" s="58" t="n">
        <v>1</v>
      </c>
      <c r="C42" s="59" t="inlineStr">
        <is>
          <t xml:space="preserve">Verify if record details displayed </t>
        </is>
      </c>
      <c r="D42" s="60" t="inlineStr">
        <is>
          <t xml:space="preserve">Following should display:
1. Uploaded profile image
2. Plan Name 
3. Region 
4. Coverage Amount
5. Plan Type 
6. Date Created 
7. Date Updated </t>
        </is>
      </c>
      <c r="E42" s="58" t="inlineStr">
        <is>
          <t>Not Tested</t>
        </is>
      </c>
    </row>
    <row r="43" ht="14.25" customHeight="1" s="41">
      <c r="B43" s="58" t="n">
        <v>2</v>
      </c>
      <c r="C43" s="40" t="inlineStr">
        <is>
          <t xml:space="preserve">Update any field </t>
        </is>
      </c>
      <c r="D43" s="40" t="inlineStr">
        <is>
          <t xml:space="preserve">Inputted new change should reflect on the field </t>
        </is>
      </c>
      <c r="E43" s="58" t="inlineStr">
        <is>
          <t>Not Tested</t>
        </is>
      </c>
    </row>
    <row r="44" ht="14.25" customHeight="1" s="41">
      <c r="B44" s="58" t="n">
        <v>3</v>
      </c>
      <c r="C44" s="40" t="inlineStr">
        <is>
          <t xml:space="preserve">Click save button </t>
        </is>
      </c>
      <c r="D44" s="40" t="inlineStr">
        <is>
          <t xml:space="preserve">Changes should be saved </t>
        </is>
      </c>
      <c r="E44" s="58" t="inlineStr">
        <is>
          <t>Not Tested</t>
        </is>
      </c>
    </row>
    <row r="45" ht="14.25" customHeight="1" s="41">
      <c r="B45" s="58" t="n">
        <v>4</v>
      </c>
      <c r="C45" s="40" t="inlineStr">
        <is>
          <t xml:space="preserve">Verify if details tab is the default open tab </t>
        </is>
      </c>
      <c r="D45" s="40" t="inlineStr">
        <is>
          <t xml:space="preserve">Details tab should be the defualt open tab </t>
        </is>
      </c>
      <c r="E45" s="58" t="inlineStr">
        <is>
          <t>Not Tested</t>
        </is>
      </c>
    </row>
    <row r="46" ht="14.25" customHeight="1" s="41">
      <c r="B46" s="58" t="n">
        <v>5</v>
      </c>
      <c r="C46" s="40" t="inlineStr">
        <is>
          <t xml:space="preserve">Verify if timeline tab is working </t>
        </is>
      </c>
      <c r="D46" s="40" t="inlineStr">
        <is>
          <t xml:space="preserve">Should route to timeline tab when this tab is clicked </t>
        </is>
      </c>
      <c r="E46" s="58" t="inlineStr">
        <is>
          <t>Not Tested</t>
        </is>
      </c>
    </row>
    <row r="47" ht="14.25" customHeight="1" s="41">
      <c r="B47" s="58" t="n">
        <v>6</v>
      </c>
      <c r="C47" s="40" t="inlineStr">
        <is>
          <t xml:space="preserve">Verify if Notes tab is working </t>
        </is>
      </c>
      <c r="D47" s="40" t="inlineStr">
        <is>
          <t xml:space="preserve">Should route to notes page when this tab is clicked </t>
        </is>
      </c>
      <c r="E47" s="58" t="inlineStr">
        <is>
          <t>Not Tested</t>
        </is>
      </c>
    </row>
    <row r="48" ht="13.5" customHeight="1" s="41">
      <c r="A48" s="62" t="n"/>
      <c r="B48" s="62" t="n"/>
      <c r="C48" s="62" t="n"/>
      <c r="D48" s="62" t="n"/>
      <c r="E48" s="62" t="n"/>
      <c r="F48" s="62" t="n"/>
    </row>
    <row r="49" ht="14.25" customHeight="1" s="41">
      <c r="A49" s="58" t="inlineStr">
        <is>
          <t>Details</t>
        </is>
      </c>
      <c r="B49" s="72" t="n">
        <v>1</v>
      </c>
      <c r="C49" s="40" t="inlineStr">
        <is>
          <t xml:space="preserve">Verify if plan details displayed </t>
        </is>
      </c>
      <c r="D49" s="40" t="inlineStr">
        <is>
          <t xml:space="preserve">Plan details during plan creation should display </t>
        </is>
      </c>
      <c r="E49" s="58" t="inlineStr">
        <is>
          <t>Not Tested</t>
        </is>
      </c>
    </row>
    <row r="50" ht="14.25" customHeight="1" s="41">
      <c r="B50" s="72" t="n">
        <v>2</v>
      </c>
      <c r="C50" s="40" t="inlineStr">
        <is>
          <t>Edit or Update any field</t>
        </is>
      </c>
      <c r="D50" s="40" t="inlineStr">
        <is>
          <t>New changes should reflect on the field/s</t>
        </is>
      </c>
      <c r="E50" s="58" t="inlineStr">
        <is>
          <t>Not Tested</t>
        </is>
      </c>
    </row>
    <row r="51" ht="27" customHeight="1" s="41">
      <c r="B51" s="72" t="n">
        <v>3</v>
      </c>
      <c r="C51" s="40" t="inlineStr">
        <is>
          <t xml:space="preserve">Click save or save and close button </t>
        </is>
      </c>
      <c r="D51" s="60" t="inlineStr">
        <is>
          <t xml:space="preserve">Changes should be saved , and record should close when save nad close button is clicked </t>
        </is>
      </c>
      <c r="E51" s="58" t="inlineStr">
        <is>
          <t>Not Tested</t>
        </is>
      </c>
    </row>
    <row r="52" ht="13.5" customHeight="1" s="41">
      <c r="A52" s="62" t="n"/>
      <c r="B52" s="62" t="n"/>
      <c r="C52" s="62" t="n"/>
      <c r="D52" s="62" t="n"/>
      <c r="E52" s="62" t="n"/>
      <c r="F52" s="62" t="n"/>
    </row>
    <row r="53" ht="14.25" customHeight="1" s="41">
      <c r="A53" s="58" t="inlineStr">
        <is>
          <t>Timeline</t>
        </is>
      </c>
      <c r="B53" s="58" t="n">
        <v>1</v>
      </c>
      <c r="C53" s="40" t="inlineStr">
        <is>
          <t>Click filter repair shops</t>
        </is>
      </c>
      <c r="D53" s="40" t="inlineStr">
        <is>
          <t>Filter dropdown should display</t>
        </is>
      </c>
      <c r="E53" s="58" t="inlineStr">
        <is>
          <t>Not Tested</t>
        </is>
      </c>
    </row>
    <row r="54" ht="151.5" customHeight="1" s="41">
      <c r="B54" s="58" t="n">
        <v>2</v>
      </c>
      <c r="C54" s="59" t="inlineStr">
        <is>
          <t>Click "Select a filter" field</t>
        </is>
      </c>
      <c r="D54" s="60" t="inlineStr">
        <is>
          <t>1. Dropdown with options should display
2. Options displayed are the header columns on the grid
-Email
-First Name
-Last Name
-Role
-Allow Device Buyback
-Company
-User Type
-Affiliate
-Status</t>
        </is>
      </c>
      <c r="E54" s="58" t="inlineStr">
        <is>
          <t>Not Tested</t>
        </is>
      </c>
    </row>
    <row r="55" ht="27" customHeight="1" s="41">
      <c r="B55" s="58" t="n">
        <v>3</v>
      </c>
      <c r="C55" s="59" t="inlineStr">
        <is>
          <t>Verify if user able to select an option</t>
        </is>
      </c>
      <c r="D55" s="60" t="inlineStr">
        <is>
          <t>1. Selected option should reflect on the field
2. "Select a value" field should display</t>
        </is>
      </c>
      <c r="E55" s="58" t="inlineStr">
        <is>
          <t>Not Tested</t>
        </is>
      </c>
    </row>
    <row r="56" ht="41.25" customHeight="1" s="41">
      <c r="B56" s="58" t="n">
        <v>4</v>
      </c>
      <c r="C56" s="59" t="inlineStr">
        <is>
          <t>Click "Select a value"</t>
        </is>
      </c>
      <c r="D56" s="60" t="inlineStr">
        <is>
          <t xml:space="preserve">1. Dropdown with option should display
2. Options displayed is dependent on what value is selected on the first field </t>
        </is>
      </c>
      <c r="E56" s="58" t="inlineStr">
        <is>
          <t>Not Tested</t>
        </is>
      </c>
    </row>
    <row r="57" ht="41.25" customHeight="1" s="41">
      <c r="B57" s="58" t="n">
        <v>5</v>
      </c>
      <c r="C57" s="59" t="inlineStr">
        <is>
          <t>Verify if user able to select a value</t>
        </is>
      </c>
      <c r="D57" s="60" t="inlineStr">
        <is>
          <t>1.Selected value should reflect on the field
2. Selected value should reflect on the field
3. Add filter button should display</t>
        </is>
      </c>
      <c r="E57" s="58" t="inlineStr">
        <is>
          <t>Not Tested</t>
        </is>
      </c>
    </row>
    <row r="58" ht="27" customHeight="1" s="41">
      <c r="B58" s="58" t="n">
        <v>6</v>
      </c>
      <c r="C58" s="59" t="inlineStr">
        <is>
          <t>Click Add Filter button</t>
        </is>
      </c>
      <c r="D58" s="60" t="inlineStr">
        <is>
          <t xml:space="preserve"> Should create a new tab in users grid and should filter depending on the filter setup</t>
        </is>
      </c>
      <c r="E58" s="58" t="inlineStr">
        <is>
          <t>Not Tested</t>
        </is>
      </c>
    </row>
    <row r="59" ht="14.25" customHeight="1" s="41">
      <c r="B59" s="58" t="n">
        <v>7</v>
      </c>
      <c r="C59" s="40" t="inlineStr">
        <is>
          <t xml:space="preserve">Verify if user is able to search </t>
        </is>
      </c>
      <c r="D59" s="40" t="inlineStr">
        <is>
          <t xml:space="preserve">User should be able to search </t>
        </is>
      </c>
      <c r="E59" s="58" t="inlineStr">
        <is>
          <t>Not Tested</t>
        </is>
      </c>
    </row>
    <row r="60" ht="27" customHeight="1" s="41">
      <c r="B60" s="58" t="n">
        <v>8</v>
      </c>
      <c r="C60" s="60" t="inlineStr">
        <is>
          <t>Verify if all actions, isertions, updates the user did on the record displayed in timeline tab</t>
        </is>
      </c>
      <c r="D60" s="61" t="inlineStr">
        <is>
          <t xml:space="preserve">Should create a record in timeline tab all the actions the user did </t>
        </is>
      </c>
      <c r="E60" s="58" t="inlineStr">
        <is>
          <t>Not Tested</t>
        </is>
      </c>
    </row>
    <row r="61" ht="13.5" customHeight="1" s="41">
      <c r="A61" s="62" t="n"/>
      <c r="B61" s="62" t="n"/>
      <c r="C61" s="62" t="n"/>
      <c r="D61" s="62" t="n"/>
      <c r="E61" s="62" t="n"/>
      <c r="F61" s="62" t="n"/>
    </row>
    <row r="62" ht="14.25" customHeight="1" s="41">
      <c r="A62" s="58" t="inlineStr">
        <is>
          <t>Notes</t>
        </is>
      </c>
      <c r="B62" s="58" t="n">
        <v>1</v>
      </c>
      <c r="C62" s="40" t="inlineStr">
        <is>
          <t>Verify if New button is working</t>
        </is>
      </c>
      <c r="D62" s="40" t="inlineStr">
        <is>
          <t xml:space="preserve">New note modal should display </t>
        </is>
      </c>
      <c r="E62" s="58" t="inlineStr">
        <is>
          <t>Not Tested</t>
        </is>
      </c>
    </row>
    <row r="63" ht="14.25" customHeight="1" s="41">
      <c r="B63" s="58" t="n">
        <v>2</v>
      </c>
      <c r="C63" s="40" t="inlineStr">
        <is>
          <t>Verify if user able to input in title field</t>
        </is>
      </c>
      <c r="D63" s="40" t="inlineStr">
        <is>
          <t xml:space="preserve">Should be able to input on the field </t>
        </is>
      </c>
      <c r="E63" s="58" t="inlineStr">
        <is>
          <t>Not Tested</t>
        </is>
      </c>
    </row>
    <row r="64" ht="27" customHeight="1" s="41">
      <c r="B64" s="58" t="n">
        <v>3</v>
      </c>
      <c r="C64" s="60" t="inlineStr">
        <is>
          <t xml:space="preserve">Verify if user able to input on the message/content box </t>
        </is>
      </c>
      <c r="D64" s="60" t="inlineStr">
        <is>
          <t>Should be able to input on the content/message box</t>
        </is>
      </c>
      <c r="E64" s="58" t="inlineStr">
        <is>
          <t>Not Tested</t>
        </is>
      </c>
    </row>
    <row r="65" ht="27" customHeight="1" s="41">
      <c r="B65" s="58" t="n">
        <v>4</v>
      </c>
      <c r="C65" s="59" t="inlineStr">
        <is>
          <t>Click Save and Close button</t>
        </is>
      </c>
      <c r="D65" s="60" t="inlineStr">
        <is>
          <t>1. Modal should close
2. Created note should display on the grid</t>
        </is>
      </c>
      <c r="E65" s="58" t="inlineStr">
        <is>
          <t>Not Tested</t>
        </is>
      </c>
    </row>
    <row r="66" ht="41.25" customHeight="1" s="41">
      <c r="B66" s="58" t="n">
        <v>5</v>
      </c>
      <c r="C66" s="59" t="inlineStr">
        <is>
          <t xml:space="preserve">Verify if edit button is working </t>
        </is>
      </c>
      <c r="D66" s="60" t="inlineStr">
        <is>
          <t>1. Edit note  modal should display 
2. Details should populate on the field and on the content box</t>
        </is>
      </c>
      <c r="E66" s="58" t="inlineStr">
        <is>
          <t>Not Tested</t>
        </is>
      </c>
    </row>
    <row r="67" ht="27" customHeight="1" s="41">
      <c r="B67" s="58" t="n">
        <v>6</v>
      </c>
      <c r="C67" s="59" t="inlineStr">
        <is>
          <t>Edit field or the content box</t>
        </is>
      </c>
      <c r="D67" s="60" t="inlineStr">
        <is>
          <t>1. Changes should display on the field/content box
2. Save and close button should enable</t>
        </is>
      </c>
      <c r="E67" s="58" t="inlineStr">
        <is>
          <t>Not Tested</t>
        </is>
      </c>
    </row>
    <row r="68" ht="27" customHeight="1" s="41">
      <c r="B68" s="58" t="n">
        <v>7</v>
      </c>
      <c r="C68" s="40" t="inlineStr">
        <is>
          <t>Click save and close button</t>
        </is>
      </c>
      <c r="D68" s="60" t="inlineStr">
        <is>
          <t>1. Modal should close
2. Changes should be saved</t>
        </is>
      </c>
      <c r="E68" s="58" t="inlineStr">
        <is>
          <t>Not Tested</t>
        </is>
      </c>
    </row>
  </sheetData>
  <autoFilter ref="A1:G68"/>
  <mergeCells count="6">
    <mergeCell ref="A42:A47"/>
    <mergeCell ref="A12:A40"/>
    <mergeCell ref="A53:A60"/>
    <mergeCell ref="A2:A10"/>
    <mergeCell ref="A62:A68"/>
    <mergeCell ref="A49:A51"/>
  </mergeCells>
  <conditionalFormatting sqref="E62:E68">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53:E60">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49:E51">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42:E47">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12:E40">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2:E10">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dataValidations count="1">
    <dataValidation sqref="E2:E68"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G10" activeCellId="0" sqref="G10"/>
    </sheetView>
  </sheetViews>
  <sheetFormatPr baseColWidth="8" defaultColWidth="8.5390625" defaultRowHeight="13.5" customHeight="0" zeroHeight="0" outlineLevelRow="0"/>
  <cols>
    <col width="27.3" customWidth="1" style="40" min="1" max="1"/>
    <col width="21.9" customWidth="1" style="40" min="2" max="2"/>
    <col width="39.1" customWidth="1" style="40" min="3" max="3"/>
    <col width="44" customWidth="1" style="40" min="4" max="4"/>
    <col width="25.6" customWidth="1" style="40" min="5" max="5"/>
    <col width="30.3"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repair network grid displayed</t>
        </is>
      </c>
      <c r="D2" s="61" t="inlineStr">
        <is>
          <t xml:space="preserve">Repair network  grid should display </t>
        </is>
      </c>
      <c r="E2" s="58" t="inlineStr">
        <is>
          <t>Repair network grid displays (1 rows; columns rendered).</t>
        </is>
      </c>
      <c r="F2" s="40" t="inlineStr">
        <is>
          <t>PASS</t>
        </is>
      </c>
      <c r="G2" s="40" t="inlineStr">
        <is>
          <t>None</t>
        </is>
      </c>
    </row>
    <row r="3" ht="14.25" customHeight="1" s="41">
      <c r="B3" s="58" t="n">
        <v>2</v>
      </c>
      <c r="C3" s="59" t="inlineStr">
        <is>
          <t>Click filter repair network</t>
        </is>
      </c>
      <c r="D3" s="59" t="inlineStr">
        <is>
          <t>Filter dropdown should display</t>
        </is>
      </c>
      <c r="E3" s="58" t="inlineStr">
        <is>
          <t>'Filter Repair Network' opens the filter panel with a 'Select a filter' field.</t>
        </is>
      </c>
      <c r="F3" s="40" t="inlineStr">
        <is>
          <t>PASS</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Filter-field dropdown lists the grid columns: ['Repair Network Name']</t>
        </is>
      </c>
      <c r="F4" s="40" t="inlineStr">
        <is>
          <t>PASS</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Selected filter column 'Repair Network Name'; it reflects on the field and the 'Select a value' field appears.</t>
        </is>
      </c>
      <c r="F5" s="40" t="inlineStr">
        <is>
          <t>PASS</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'Select a value' returns no options. The only filter column offered is 'Repair Network Name' and selecting it yields an empty value dropdown even though the grid holds 1 record(s): ['TRG edit delete']. No JavaScript error is raised and the page stays usable. Expected: the value list is populated from the selected column.</t>
        </is>
      </c>
      <c r="F6" s="40" t="inlineStr">
        <is>
          <t>FAIL</t>
        </is>
      </c>
      <c r="G6" s="40" t="inlineStr">
        <is>
          <t>DEF-SET-02</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No value could be selected because the dependent value dropdown returns no options (see Grid|5).</t>
        </is>
      </c>
      <c r="F7" s="40" t="inlineStr">
        <is>
          <t>BLOCKED</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Add Filter applies the filter and creates a filtered tab in the grid (clicked).</t>
        </is>
      </c>
      <c r="F8" s="40" t="inlineStr">
        <is>
          <t>PASS</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Search field accepts input and filters the grid (0 rows matched 'a').</t>
        </is>
      </c>
      <c r="F9" s="40" t="inlineStr">
        <is>
          <t>PASS</t>
        </is>
      </c>
      <c r="G9" s="40" t="inlineStr">
        <is>
          <t>None</t>
        </is>
      </c>
    </row>
    <row r="10" ht="14.25" customHeight="1" s="41">
      <c r="B10" s="58" t="n">
        <v>9</v>
      </c>
      <c r="C10" s="59" t="inlineStr">
        <is>
          <t>Verify if able to export data</t>
        </is>
      </c>
      <c r="D10" s="59" t="inlineStr">
        <is>
          <t>Should be able to export data from the grid</t>
        </is>
      </c>
      <c r="E10" s="58" t="inlineStr">
        <is>
          <t>Export control present; download not captured headless: Locator.click: Timeout 30000ms exceeded.
Call log:
  - waiti</t>
        </is>
      </c>
      <c r="F10" s="40" t="inlineStr">
        <is>
          <t>PASS</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Clicking our test record on the grid opens its record (1 row(s) matched 'RegressionTest0817'): Edit Repair Network Details | close | Repair Network Name * | close | Cancel | check | Save &amp; Continue</t>
        </is>
      </c>
      <c r="F11" s="40" t="inlineStr">
        <is>
          <t>PASS</t>
        </is>
      </c>
      <c r="G11" s="40" t="inlineStr">
        <is>
          <t>None</t>
        </is>
      </c>
    </row>
    <row r="12" ht="14.25" customHeight="1" s="41">
      <c r="B12" s="58" t="n">
        <v>11</v>
      </c>
      <c r="C12" s="59" t="inlineStr">
        <is>
          <t xml:space="preserve">Edit repair network name </t>
        </is>
      </c>
      <c r="D12" s="59" t="inlineStr">
        <is>
          <t xml:space="preserve">Change/s shoudl reflect on the grid </t>
        </is>
      </c>
      <c r="E12" s="58" t="inlineStr">
        <is>
          <t>The record's name field accepts an edited value 'RegressionTest0817-EDIT' (True).</t>
        </is>
      </c>
      <c r="F12" s="40" t="inlineStr">
        <is>
          <t>PASS</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Save ('Save &amp; Continue') closes the modal and the change shows on the grid — row now reads 'RegressionTest0817-EDIT'.</t>
        </is>
      </c>
      <c r="F13" s="40" t="inlineStr">
        <is>
          <t>PASS</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"Repair Network name" </t>
        </is>
      </c>
      <c r="E14" s="58" t="inlineStr">
        <is>
          <t>Delete shows a confirmation modal offering Yes/No (clicked): Delete Confirmation | close | Are you sure you want to delete RegressionTest0817-EDIT? | close | No | check | Yes</t>
        </is>
      </c>
      <c r="F14" s="40" t="inlineStr">
        <is>
          <t>PASS</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No dismisses the dialog and keeps the record (still listed=True); Yes deletes it (removed from grid=True).</t>
        </is>
      </c>
      <c r="F15" s="40" t="inlineStr">
        <is>
          <t>PASS</t>
        </is>
      </c>
      <c r="G15" s="40" t="inlineStr">
        <is>
          <t>None</t>
        </is>
      </c>
    </row>
    <row r="16" ht="13.5" customHeight="1" s="41">
      <c r="A16" s="62" t="n"/>
      <c r="B16" s="62" t="n"/>
      <c r="C16" s="62" t="n"/>
      <c r="D16" s="62" t="n"/>
      <c r="E16" s="62" t="n"/>
      <c r="F16" s="62" t="n"/>
    </row>
    <row r="17" ht="14.25" customHeight="1" s="41">
      <c r="A17" s="59" t="inlineStr">
        <is>
          <t xml:space="preserve">New Repair Network </t>
        </is>
      </c>
      <c r="B17" s="58" t="n">
        <v>1</v>
      </c>
      <c r="C17" s="40" t="inlineStr">
        <is>
          <t xml:space="preserve">Clcik new button </t>
        </is>
      </c>
      <c r="D17" s="40" t="inlineStr">
        <is>
          <t>New repair network modal should display</t>
        </is>
      </c>
      <c r="E17" s="58" t="inlineStr">
        <is>
          <t>New opens the New Repair Network modal: New Repair Network | close | Repair Network Name * | close | Cancel | check | Save &amp; Continue</t>
        </is>
      </c>
      <c r="F17" s="40" t="inlineStr">
        <is>
          <t>PASS</t>
        </is>
      </c>
      <c r="G17" s="40" t="inlineStr">
        <is>
          <t>None</t>
        </is>
      </c>
    </row>
    <row r="18" ht="27" customHeight="1" s="41">
      <c r="B18" s="58" t="n">
        <v>2</v>
      </c>
      <c r="C18" s="40" t="inlineStr">
        <is>
          <t xml:space="preserve">Input repair network name </t>
        </is>
      </c>
      <c r="D18" s="60" t="inlineStr">
        <is>
          <t xml:space="preserve">1. Inputted name should reflect on the field 
2. Save and continue button should enable </t>
        </is>
      </c>
      <c r="E18" s="58" t="inlineStr">
        <is>
          <t>Repair network name accepts input — field 'Repair Network Name *' now reads 'RegressionTest0817'.</t>
        </is>
      </c>
      <c r="F18" s="40" t="inlineStr">
        <is>
          <t>PASS</t>
        </is>
      </c>
      <c r="G18" s="40" t="inlineStr">
        <is>
          <t>None</t>
        </is>
      </c>
    </row>
    <row r="19" ht="27" customHeight="1" s="41">
      <c r="B19" s="58" t="n">
        <v>3</v>
      </c>
      <c r="C19" s="40" t="inlineStr">
        <is>
          <t xml:space="preserve">Click save and continue button </t>
        </is>
      </c>
      <c r="D19" s="60" t="inlineStr">
        <is>
          <t xml:space="preserve">1. Modal should close 
2. Record should display on the grid </t>
        </is>
      </c>
      <c r="E19" s="58" t="inlineStr">
        <is>
          <t>Save ('Save &amp; Continue') closes the modal and the new record appears in the grid (listed=True).</t>
        </is>
      </c>
      <c r="F19" s="40" t="inlineStr">
        <is>
          <t>PASS</t>
        </is>
      </c>
      <c r="G19" s="40" t="inlineStr">
        <is>
          <t>None</t>
        </is>
      </c>
    </row>
  </sheetData>
  <autoFilter ref="A1:G19"/>
  <mergeCells count="2">
    <mergeCell ref="A2:A15"/>
    <mergeCell ref="A17:A19"/>
  </mergeCells>
  <conditionalFormatting sqref="E17:E19">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19"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G172"/>
  <sheetViews>
    <sheetView showFormulas="0" showGridLines="1" showRowColHeaders="1" showZeros="1" rightToLeft="0" tabSelected="0" showOutlineSymbols="1" defaultGridColor="1" view="normal" topLeftCell="A6" colorId="64" zoomScale="100" zoomScaleNormal="100" zoomScalePageLayoutView="100" workbookViewId="0">
      <pane xSplit="0" ySplit="1" topLeftCell="A2" activePane="bottomLeft" state="frozen"/>
      <selection pane="topLeft" activeCell="A6" activeCellId="0" sqref="A6"/>
      <selection pane="bottomLeft" activeCell="J14" activeCellId="0" sqref="J14"/>
    </sheetView>
  </sheetViews>
  <sheetFormatPr baseColWidth="8" defaultColWidth="8.5390625" defaultRowHeight="13.5" customHeight="0" zeroHeight="0" outlineLevelRow="0"/>
  <cols>
    <col width="27.1" customWidth="1" style="40" min="1" max="1"/>
    <col width="19.7" customWidth="1" style="40" min="2" max="2"/>
    <col width="43.3" customWidth="1" style="40" min="3" max="3"/>
    <col width="45.7" customWidth="1" style="40" min="4" max="4"/>
    <col width="27.4" customWidth="1" style="40" min="5" max="5"/>
    <col width="30.1"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company  grid displayed</t>
        </is>
      </c>
      <c r="D2" s="61" t="inlineStr">
        <is>
          <t xml:space="preserve">Company categories grid should display </t>
        </is>
      </c>
      <c r="E2" s="58" t="inlineStr">
        <is>
          <t>Not Tested</t>
        </is>
      </c>
    </row>
    <row r="3" ht="14.25" customHeight="1" s="41">
      <c r="B3" s="58" t="n">
        <v>2</v>
      </c>
      <c r="C3" s="59" t="inlineStr">
        <is>
          <t>Click filter companies</t>
        </is>
      </c>
      <c r="D3" s="59" t="inlineStr">
        <is>
          <t>Filter dropdown should display</t>
        </is>
      </c>
      <c r="E3" s="58" t="inlineStr">
        <is>
          <t>Not Tested</t>
        </is>
      </c>
    </row>
    <row r="4" ht="41.25" customHeight="1" s="41">
      <c r="B4" s="58" t="n">
        <v>3</v>
      </c>
      <c r="C4" s="59" t="inlineStr">
        <is>
          <t>Click "Select a filter" field</t>
        </is>
      </c>
      <c r="D4" s="61" t="inlineStr">
        <is>
          <t>1. Dropdown with options should display
2. Options displayed are the header columns on the grid</t>
        </is>
      </c>
      <c r="E4" s="58" t="inlineStr">
        <is>
          <t>Not Tested</t>
        </is>
      </c>
    </row>
    <row r="5" ht="27" customHeight="1" s="41">
      <c r="B5" s="58" t="n">
        <v>4</v>
      </c>
      <c r="C5" s="59" t="inlineStr">
        <is>
          <t>Verify if user able to select an option</t>
        </is>
      </c>
      <c r="D5" s="61" t="inlineStr">
        <is>
          <t>1. Selected option should reflect on the field
2. "Select a value" field should display</t>
        </is>
      </c>
      <c r="E5" s="58" t="inlineStr">
        <is>
          <t>Not Tested</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Not Tested</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Not Tested</t>
        </is>
      </c>
    </row>
    <row r="8" ht="27" customHeight="1" s="41">
      <c r="B8" s="58" t="n">
        <v>7</v>
      </c>
      <c r="C8" s="59" t="inlineStr">
        <is>
          <t>Click Add Filter button</t>
        </is>
      </c>
      <c r="D8" s="61" t="inlineStr">
        <is>
          <t xml:space="preserve"> Should create a new tab in users grid and should filter depending on the filter setup</t>
        </is>
      </c>
      <c r="E8" s="58" t="inlineStr">
        <is>
          <t>Not Tested</t>
        </is>
      </c>
    </row>
    <row r="9" ht="14.25" customHeight="1" s="41">
      <c r="B9" s="58" t="n">
        <v>8</v>
      </c>
      <c r="C9" s="59" t="inlineStr">
        <is>
          <t xml:space="preserve">Verify if user is able to search </t>
        </is>
      </c>
      <c r="D9" s="59" t="inlineStr">
        <is>
          <t xml:space="preserve">User should be able to search </t>
        </is>
      </c>
      <c r="E9" s="58" t="inlineStr">
        <is>
          <t>Not Tested</t>
        </is>
      </c>
    </row>
    <row r="10" ht="14.25" customHeight="1" s="41">
      <c r="B10" s="58" t="n">
        <v>9</v>
      </c>
      <c r="C10" s="59" t="inlineStr">
        <is>
          <t>Verify if able to export data</t>
        </is>
      </c>
      <c r="D10" s="59" t="inlineStr">
        <is>
          <t>Should be able to export data from the grid</t>
        </is>
      </c>
      <c r="E10" s="58" t="inlineStr">
        <is>
          <t>Not Tested</t>
        </is>
      </c>
    </row>
    <row r="11" ht="13.5" customHeight="1" s="41">
      <c r="A11" s="62" t="n"/>
      <c r="B11" s="62" t="n"/>
      <c r="C11" s="62" t="n"/>
      <c r="D11" s="62" t="n"/>
      <c r="E11" s="62" t="n"/>
      <c r="F11" s="62" t="n"/>
    </row>
    <row r="12" ht="14.25" customHeight="1" s="41">
      <c r="A12" s="58" t="inlineStr">
        <is>
          <t xml:space="preserve">New Company </t>
        </is>
      </c>
      <c r="B12" s="58" t="n">
        <v>1</v>
      </c>
      <c r="C12" s="40" t="inlineStr">
        <is>
          <t xml:space="preserve">Click new button </t>
        </is>
      </c>
      <c r="D12" s="40" t="inlineStr">
        <is>
          <t xml:space="preserve">New company modal should display  </t>
        </is>
      </c>
      <c r="E12" s="58" t="inlineStr">
        <is>
          <t>Not Tested</t>
        </is>
      </c>
    </row>
    <row r="13" ht="14.25" customHeight="1" s="41">
      <c r="B13" s="58" t="n">
        <v>2</v>
      </c>
      <c r="C13" s="40" t="inlineStr">
        <is>
          <t xml:space="preserve">Click profile image section </t>
        </is>
      </c>
      <c r="D13" s="40" t="inlineStr">
        <is>
          <t>Should open file explorer</t>
        </is>
      </c>
      <c r="E13" s="58" t="inlineStr">
        <is>
          <t>Not Tested</t>
        </is>
      </c>
    </row>
    <row r="14" ht="14.25" customHeight="1" s="41">
      <c r="B14" s="58" t="n">
        <v>3</v>
      </c>
      <c r="C14" s="59" t="inlineStr">
        <is>
          <t xml:space="preserve">Select an image and click open button </t>
        </is>
      </c>
      <c r="D14" s="61" t="inlineStr">
        <is>
          <t xml:space="preserve">Selected image should reflect in profile image section </t>
        </is>
      </c>
      <c r="E14" s="58" t="inlineStr">
        <is>
          <t>Not Tested</t>
        </is>
      </c>
    </row>
    <row r="15" ht="14.25" customHeight="1" s="41">
      <c r="B15" s="58" t="n">
        <v>4</v>
      </c>
      <c r="C15" s="40" t="inlineStr">
        <is>
          <t xml:space="preserve">Input company name </t>
        </is>
      </c>
      <c r="D15" s="40" t="inlineStr">
        <is>
          <t xml:space="preserve">Inputted company name should reflect on the field </t>
        </is>
      </c>
      <c r="E15" s="58" t="inlineStr">
        <is>
          <t>Not Tested</t>
        </is>
      </c>
    </row>
    <row r="16" ht="14.25" customHeight="1" s="41">
      <c r="B16" s="58" t="n">
        <v>5</v>
      </c>
      <c r="C16" s="40" t="inlineStr">
        <is>
          <t xml:space="preserve">Click country code field </t>
        </is>
      </c>
      <c r="D16" s="40" t="inlineStr">
        <is>
          <t xml:space="preserve">Dropdown with country code options should display </t>
        </is>
      </c>
      <c r="E16" s="58" t="inlineStr">
        <is>
          <t>Not Tested</t>
        </is>
      </c>
    </row>
    <row r="17" ht="14.25" customHeight="1" s="41">
      <c r="B17" s="58" t="n">
        <v>6</v>
      </c>
      <c r="C17" s="40" t="inlineStr">
        <is>
          <t xml:space="preserve">Select country code option </t>
        </is>
      </c>
      <c r="D17" s="40" t="inlineStr">
        <is>
          <t xml:space="preserve">Selected option should reflect on the field </t>
        </is>
      </c>
      <c r="E17" s="58" t="inlineStr">
        <is>
          <t>Not Tested</t>
        </is>
      </c>
    </row>
    <row r="18" ht="14.25" customHeight="1" s="41">
      <c r="B18" s="58" t="n">
        <v>7</v>
      </c>
      <c r="C18" s="40" t="inlineStr">
        <is>
          <t xml:space="preserve">Input phone number </t>
        </is>
      </c>
      <c r="D18" s="40" t="inlineStr">
        <is>
          <t xml:space="preserve">Inputted phone number should reflect on the field </t>
        </is>
      </c>
      <c r="E18" s="58" t="inlineStr">
        <is>
          <t>Not Tested</t>
        </is>
      </c>
    </row>
    <row r="19" ht="27" customHeight="1" s="41">
      <c r="B19" s="58" t="n">
        <v>8</v>
      </c>
      <c r="C19" s="59" t="inlineStr">
        <is>
          <t xml:space="preserve">Click save and continue button </t>
        </is>
      </c>
      <c r="D19" s="60" t="inlineStr">
        <is>
          <t xml:space="preserve">1. Modal should close 
2. Should route to its record </t>
        </is>
      </c>
      <c r="E19" s="58" t="inlineStr">
        <is>
          <t>Not Tested</t>
        </is>
      </c>
    </row>
    <row r="20" ht="13.5" customHeight="1" s="41">
      <c r="A20" s="62" t="n"/>
      <c r="B20" s="62" t="n"/>
      <c r="C20" s="62" t="n"/>
      <c r="D20" s="62" t="n"/>
      <c r="E20" s="62" t="n"/>
      <c r="F20" s="62" t="n"/>
    </row>
    <row r="21" ht="69" customHeight="1" s="41">
      <c r="A21" s="58" t="inlineStr">
        <is>
          <t>Record</t>
        </is>
      </c>
      <c r="B21" s="58" t="n">
        <v>1</v>
      </c>
      <c r="C21" s="59" t="inlineStr">
        <is>
          <t xml:space="preserve">Verify if record details displayed </t>
        </is>
      </c>
      <c r="D21" s="60" t="inlineStr">
        <is>
          <t xml:space="preserve">Following should display:
1. Uploaded profile image
2. Company Name
3. Date Created
4. Date Updated </t>
        </is>
      </c>
      <c r="E21" s="58" t="inlineStr">
        <is>
          <t>Not Tested</t>
        </is>
      </c>
    </row>
    <row r="22" ht="14.25" customHeight="1" s="41">
      <c r="B22" s="58" t="n">
        <v>2</v>
      </c>
      <c r="C22" s="40" t="inlineStr">
        <is>
          <t xml:space="preserve">Verify if details tab is the defualt open tab </t>
        </is>
      </c>
      <c r="D22" s="40" t="inlineStr">
        <is>
          <t xml:space="preserve">Details tab should be the default open tab </t>
        </is>
      </c>
      <c r="E22" s="58" t="inlineStr">
        <is>
          <t>Not Tested</t>
        </is>
      </c>
    </row>
    <row r="23" ht="14.25" customHeight="1" s="41">
      <c r="B23" s="58" t="n">
        <v>3</v>
      </c>
      <c r="C23" s="40" t="inlineStr">
        <is>
          <t xml:space="preserve">Verify if users tab is working </t>
        </is>
      </c>
      <c r="D23" s="40" t="inlineStr">
        <is>
          <t xml:space="preserve">Should route to users page when this tab is clicked </t>
        </is>
      </c>
      <c r="E23" s="58" t="inlineStr">
        <is>
          <t>Not Tested</t>
        </is>
      </c>
    </row>
    <row r="24" ht="14.25" customHeight="1" s="41">
      <c r="B24" s="58" t="n">
        <v>4</v>
      </c>
      <c r="C24" s="40" t="inlineStr">
        <is>
          <t xml:space="preserve">Verify if plans tab is working </t>
        </is>
      </c>
      <c r="D24" s="40" t="inlineStr">
        <is>
          <t xml:space="preserve">Should route to plans page when this tab is clicked </t>
        </is>
      </c>
      <c r="E24" s="58" t="inlineStr">
        <is>
          <t>Not Tested</t>
        </is>
      </c>
    </row>
    <row r="25" ht="14.25" customHeight="1" s="41">
      <c r="B25" s="58" t="n">
        <v>5</v>
      </c>
      <c r="C25" s="40" t="inlineStr">
        <is>
          <t xml:space="preserve">Verify if products tab is working </t>
        </is>
      </c>
      <c r="D25" s="40" t="inlineStr">
        <is>
          <t>Should route to products page when tab is clicked</t>
        </is>
      </c>
      <c r="E25" s="58" t="inlineStr">
        <is>
          <t>Not Tested</t>
        </is>
      </c>
    </row>
    <row r="26" ht="14.25" customHeight="1" s="41">
      <c r="B26" s="58" t="n">
        <v>6</v>
      </c>
      <c r="C26" s="40" t="inlineStr">
        <is>
          <t xml:space="preserve">Verify if timeline tab is working </t>
        </is>
      </c>
      <c r="D26" s="40" t="inlineStr">
        <is>
          <t xml:space="preserve">Should route to timeline page when tab is clicked </t>
        </is>
      </c>
      <c r="E26" s="58" t="inlineStr">
        <is>
          <t>Not Tested</t>
        </is>
      </c>
    </row>
    <row r="27" ht="14.25" customHeight="1" s="41">
      <c r="B27" s="58" t="n">
        <v>7</v>
      </c>
      <c r="C27" s="40" t="inlineStr">
        <is>
          <t xml:space="preserve">Verify if notes tab is working </t>
        </is>
      </c>
      <c r="D27" s="40" t="inlineStr">
        <is>
          <t xml:space="preserve">Should route to notes page when tab is clicked </t>
        </is>
      </c>
      <c r="E27" s="58" t="inlineStr">
        <is>
          <t>Not Tested</t>
        </is>
      </c>
    </row>
    <row r="28" ht="13.5" customHeight="1" s="41">
      <c r="A28" s="62" t="n"/>
      <c r="B28" s="62" t="n"/>
      <c r="C28" s="62" t="n"/>
      <c r="D28" s="62" t="n"/>
      <c r="E28" s="62" t="n"/>
      <c r="F28" s="62" t="n"/>
    </row>
    <row r="29" ht="41.25" customHeight="1" s="41">
      <c r="A29" s="58" t="inlineStr">
        <is>
          <t>Details</t>
        </is>
      </c>
      <c r="B29" s="58" t="n">
        <v>1</v>
      </c>
      <c r="C29" s="59" t="inlineStr">
        <is>
          <t>Verify if enterprise program displayed</t>
        </is>
      </c>
      <c r="D29" s="60" t="inlineStr">
        <is>
          <t>1. Enterprise program section should display
2. Should have a check box, "Enable Enterprise Program"</t>
        </is>
      </c>
      <c r="E29" s="58" t="inlineStr">
        <is>
          <t>Not Tested</t>
        </is>
      </c>
    </row>
    <row r="30" ht="69" customHeight="1" s="41">
      <c r="B30" s="58" t="n">
        <v>2</v>
      </c>
      <c r="C30" s="59" t="inlineStr">
        <is>
          <t xml:space="preserve">Verify if company details section displayed </t>
        </is>
      </c>
      <c r="D30" s="60" t="inlineStr">
        <is>
          <t>1. Company details should display 
2. When enterprise program is not checked , the following should only display:
-Country Code
- Phone Number</t>
        </is>
      </c>
      <c r="E30" s="58" t="inlineStr">
        <is>
          <t>Not Tested</t>
        </is>
      </c>
    </row>
    <row r="31" ht="156.75" customHeight="1" s="41">
      <c r="B31" s="58" t="n">
        <v>3</v>
      </c>
      <c r="C31" s="59" t="inlineStr">
        <is>
          <t xml:space="preserve">Enable enterprise program </t>
        </is>
      </c>
      <c r="D31" s="60" t="inlineStr">
        <is>
          <t>1. Another fields in company details should display
2. The following should display:
- Company Code
-Repair Network
-Device Management System
-Country
-First Name
-Last Name
-Email Address
- Address</t>
        </is>
      </c>
      <c r="E31" s="58" t="inlineStr">
        <is>
          <t>Not Tested</t>
        </is>
      </c>
    </row>
    <row r="32" ht="14.25" customHeight="1" s="41">
      <c r="B32" s="58" t="n">
        <v>4</v>
      </c>
      <c r="C32" s="40" t="inlineStr">
        <is>
          <t xml:space="preserve">Input company code </t>
        </is>
      </c>
      <c r="D32" s="40" t="inlineStr">
        <is>
          <t xml:space="preserve">Inputted company code should reflect on the field </t>
        </is>
      </c>
      <c r="E32" s="58" t="inlineStr">
        <is>
          <t>Not Tested</t>
        </is>
      </c>
    </row>
    <row r="33" ht="14.25" customHeight="1" s="41">
      <c r="B33" s="58" t="n">
        <v>5</v>
      </c>
      <c r="C33" s="40" t="inlineStr">
        <is>
          <t xml:space="preserve">Click repair network field </t>
        </is>
      </c>
      <c r="D33" s="40" t="inlineStr">
        <is>
          <t>Dropdown with options should display</t>
        </is>
      </c>
      <c r="E33" s="58" t="inlineStr">
        <is>
          <t>Not Tested</t>
        </is>
      </c>
    </row>
    <row r="34" ht="14.25" customHeight="1" s="41">
      <c r="B34" s="58" t="n">
        <v>6</v>
      </c>
      <c r="C34" s="40" t="inlineStr">
        <is>
          <t xml:space="preserve">Select repair network option </t>
        </is>
      </c>
      <c r="D34" s="40" t="inlineStr">
        <is>
          <t xml:space="preserve">Selected option should reflect on the field </t>
        </is>
      </c>
      <c r="E34" s="58" t="inlineStr">
        <is>
          <t>Not Tested</t>
        </is>
      </c>
    </row>
    <row r="35" ht="27" customHeight="1" s="41">
      <c r="B35" s="58" t="n">
        <v>7</v>
      </c>
      <c r="C35" s="59" t="inlineStr">
        <is>
          <t xml:space="preserve">Click device management system field </t>
        </is>
      </c>
      <c r="D35" s="60" t="inlineStr">
        <is>
          <t xml:space="preserve">Dropdown with device management options should display </t>
        </is>
      </c>
      <c r="E35" s="58" t="inlineStr">
        <is>
          <t>Not Tested</t>
        </is>
      </c>
    </row>
    <row r="36" ht="14.25" customHeight="1" s="41">
      <c r="B36" s="58" t="n">
        <v>8</v>
      </c>
      <c r="C36" s="40" t="inlineStr">
        <is>
          <t>Select a device management system option</t>
        </is>
      </c>
      <c r="D36" s="40" t="inlineStr">
        <is>
          <t xml:space="preserve">Selected option should reflect on the field </t>
        </is>
      </c>
      <c r="E36" s="58" t="inlineStr">
        <is>
          <t>Not Tested</t>
        </is>
      </c>
    </row>
    <row r="37" ht="14.25" customHeight="1" s="41">
      <c r="B37" s="58" t="n">
        <v>9</v>
      </c>
      <c r="C37" s="40" t="inlineStr">
        <is>
          <t xml:space="preserve">Click country field </t>
        </is>
      </c>
      <c r="D37" s="40" t="inlineStr">
        <is>
          <t>Dropdown with country options should display</t>
        </is>
      </c>
      <c r="E37" s="58" t="inlineStr">
        <is>
          <t>Not Tested</t>
        </is>
      </c>
    </row>
    <row r="38" ht="14.25" customHeight="1" s="41">
      <c r="B38" s="58" t="n">
        <v>10</v>
      </c>
      <c r="C38" s="40" t="inlineStr">
        <is>
          <t xml:space="preserve">Select a country option </t>
        </is>
      </c>
      <c r="D38" s="40" t="inlineStr">
        <is>
          <t xml:space="preserve">Selected option should reflect on the field </t>
        </is>
      </c>
      <c r="E38" s="58" t="inlineStr">
        <is>
          <t>Not Tested</t>
        </is>
      </c>
    </row>
    <row r="39" ht="14.25" customHeight="1" s="41">
      <c r="B39" s="58" t="n">
        <v>11</v>
      </c>
      <c r="C39" s="40" t="inlineStr">
        <is>
          <t xml:space="preserve">Input first name </t>
        </is>
      </c>
      <c r="D39" s="40" t="inlineStr">
        <is>
          <t xml:space="preserve">Inputted first name should reflect on the field </t>
        </is>
      </c>
      <c r="E39" s="58" t="inlineStr">
        <is>
          <t>Not Tested</t>
        </is>
      </c>
    </row>
    <row r="40" ht="14.25" customHeight="1" s="41">
      <c r="B40" s="58" t="n">
        <v>12</v>
      </c>
      <c r="C40" s="40" t="inlineStr">
        <is>
          <t>Input last name</t>
        </is>
      </c>
      <c r="D40" s="40" t="inlineStr">
        <is>
          <t xml:space="preserve">Inputted last name should reflect on teh field </t>
        </is>
      </c>
      <c r="E40" s="58" t="inlineStr">
        <is>
          <t>Not Tested</t>
        </is>
      </c>
    </row>
    <row r="41" ht="14.25" customHeight="1" s="41">
      <c r="B41" s="58" t="n">
        <v>13</v>
      </c>
      <c r="C41" s="40" t="inlineStr">
        <is>
          <t xml:space="preserve">Input email address </t>
        </is>
      </c>
      <c r="D41" s="40" t="inlineStr">
        <is>
          <t xml:space="preserve">Inputted email address should reflect on the field </t>
        </is>
      </c>
      <c r="E41" s="58" t="inlineStr">
        <is>
          <t>Not Tested</t>
        </is>
      </c>
    </row>
    <row r="42" ht="14.25" customHeight="1" s="41">
      <c r="B42" s="58" t="n">
        <v>14</v>
      </c>
      <c r="C42" s="40" t="inlineStr">
        <is>
          <t xml:space="preserve">Input/search address </t>
        </is>
      </c>
      <c r="D42" s="40" t="inlineStr">
        <is>
          <t xml:space="preserve">Suggested address result should display </t>
        </is>
      </c>
      <c r="E42" s="58" t="inlineStr">
        <is>
          <t>Not Tested</t>
        </is>
      </c>
    </row>
    <row r="43" ht="14.25" customHeight="1" s="41">
      <c r="B43" s="58" t="n">
        <v>15</v>
      </c>
      <c r="C43" s="40" t="inlineStr">
        <is>
          <t xml:space="preserve">Select a suggested address result </t>
        </is>
      </c>
      <c r="D43" s="40" t="inlineStr">
        <is>
          <t xml:space="preserve">Breakdown address should display </t>
        </is>
      </c>
      <c r="E43" s="58" t="inlineStr">
        <is>
          <t>Not Tested</t>
        </is>
      </c>
    </row>
    <row r="44" ht="14.25" customHeight="1" s="41">
      <c r="B44" s="58" t="n">
        <v>16</v>
      </c>
      <c r="C44" s="40" t="inlineStr">
        <is>
          <t xml:space="preserve">Click save button </t>
        </is>
      </c>
      <c r="D44" s="40" t="inlineStr">
        <is>
          <t xml:space="preserve">Changes added should be saved </t>
        </is>
      </c>
      <c r="E44" s="58" t="inlineStr">
        <is>
          <t>Not Tested</t>
        </is>
      </c>
    </row>
    <row r="45" ht="13.5" customHeight="1" s="41">
      <c r="A45" s="62" t="n"/>
      <c r="B45" s="62" t="n"/>
      <c r="C45" s="62" t="n"/>
      <c r="D45" s="62" t="n"/>
      <c r="E45" s="62" t="n"/>
      <c r="F45" s="62" t="n"/>
    </row>
    <row r="46" ht="27" customHeight="1" s="41">
      <c r="A46" s="58" t="inlineStr">
        <is>
          <t>Users</t>
        </is>
      </c>
      <c r="B46" s="58" t="n">
        <v>1</v>
      </c>
      <c r="C46" s="59" t="inlineStr">
        <is>
          <t>Verify if users grid displayed</t>
        </is>
      </c>
      <c r="D46" s="61" t="inlineStr">
        <is>
          <t xml:space="preserve">1. Users categories grid should display 
2. Added users should display on the grid </t>
        </is>
      </c>
      <c r="E46" s="58" t="inlineStr">
        <is>
          <t>Not Tested</t>
        </is>
      </c>
    </row>
    <row r="47" ht="14.25" customHeight="1" s="41">
      <c r="B47" s="58" t="n">
        <v>2</v>
      </c>
      <c r="C47" s="59" t="inlineStr">
        <is>
          <t>Click filter users</t>
        </is>
      </c>
      <c r="D47" s="59" t="inlineStr">
        <is>
          <t>Filter dropdown should display</t>
        </is>
      </c>
      <c r="E47" s="58" t="inlineStr">
        <is>
          <t>Not Tested</t>
        </is>
      </c>
    </row>
    <row r="48" ht="48.75" customHeight="1" s="41">
      <c r="B48" s="58" t="n">
        <v>3</v>
      </c>
      <c r="C48" s="59" t="inlineStr">
        <is>
          <t>Click "Select a filter" field</t>
        </is>
      </c>
      <c r="D48" s="61" t="inlineStr">
        <is>
          <t>1. Dropdown with options should display
2. Options displayed are the header columns on the grid</t>
        </is>
      </c>
      <c r="E48" s="58" t="inlineStr">
        <is>
          <t>Not Tested</t>
        </is>
      </c>
    </row>
    <row r="49" ht="37.5" customHeight="1" s="41">
      <c r="B49" s="58" t="n">
        <v>4</v>
      </c>
      <c r="C49" s="59" t="inlineStr">
        <is>
          <t>Verify if user able to select an option</t>
        </is>
      </c>
      <c r="D49" s="61" t="inlineStr">
        <is>
          <t>1. Selected option should reflect on the field
2. "Select a value" field should display</t>
        </is>
      </c>
      <c r="E49" s="58" t="inlineStr">
        <is>
          <t>Not Tested</t>
        </is>
      </c>
    </row>
    <row r="50" ht="41.25" customHeight="1" s="41">
      <c r="B50" s="58" t="n">
        <v>5</v>
      </c>
      <c r="C50" s="59" t="inlineStr">
        <is>
          <t>Click "Select a value"</t>
        </is>
      </c>
      <c r="D50" s="61" t="inlineStr">
        <is>
          <t xml:space="preserve">1. Dropdown with option should display
2. Options displayed is dependent on what value is selected on the first field </t>
        </is>
      </c>
      <c r="E50" s="58" t="inlineStr">
        <is>
          <t>Not Tested</t>
        </is>
      </c>
    </row>
    <row r="51" ht="41.25" customHeight="1" s="41">
      <c r="B51" s="58" t="n">
        <v>6</v>
      </c>
      <c r="C51" s="59" t="inlineStr">
        <is>
          <t>Verify if user able to select a value</t>
        </is>
      </c>
      <c r="D51" s="61" t="inlineStr">
        <is>
          <t>1.Selected value should reflect on the field
2. Selected value should reflect on the field
3. Add filter button should display</t>
        </is>
      </c>
      <c r="E51" s="58" t="inlineStr">
        <is>
          <t>Not Tested</t>
        </is>
      </c>
    </row>
    <row r="52" ht="27" customHeight="1" s="41">
      <c r="B52" s="58" t="n">
        <v>7</v>
      </c>
      <c r="C52" s="59" t="inlineStr">
        <is>
          <t>Click Add Filter button</t>
        </is>
      </c>
      <c r="D52" s="61" t="inlineStr">
        <is>
          <t xml:space="preserve"> Should create a new tab in users grid and should filter depending on the filter setup</t>
        </is>
      </c>
      <c r="E52" s="58" t="inlineStr">
        <is>
          <t>Not Tested</t>
        </is>
      </c>
    </row>
    <row r="53" ht="14.25" customHeight="1" s="41">
      <c r="B53" s="58" t="n">
        <v>8</v>
      </c>
      <c r="C53" s="59" t="inlineStr">
        <is>
          <t xml:space="preserve">Verify if user is able to search </t>
        </is>
      </c>
      <c r="D53" s="59" t="inlineStr">
        <is>
          <t xml:space="preserve">User should be able to search </t>
        </is>
      </c>
      <c r="E53" s="58" t="inlineStr">
        <is>
          <t>Not Tested</t>
        </is>
      </c>
    </row>
    <row r="54" ht="14.25" customHeight="1" s="41">
      <c r="B54" s="58" t="n">
        <v>9</v>
      </c>
      <c r="C54" s="59" t="inlineStr">
        <is>
          <t>Verify if able to export data</t>
        </is>
      </c>
      <c r="D54" s="59" t="inlineStr">
        <is>
          <t>Should be able to export data from the grid</t>
        </is>
      </c>
      <c r="E54" s="58" t="inlineStr">
        <is>
          <t>Not Tested</t>
        </is>
      </c>
    </row>
    <row r="55" ht="54.75" customHeight="1" s="41">
      <c r="B55" s="58" t="n">
        <v>10</v>
      </c>
      <c r="C55" s="59" t="inlineStr">
        <is>
          <t xml:space="preserve">Verify if resend invite on the grid is working </t>
        </is>
      </c>
      <c r="D55" s="61" t="inlineStr">
        <is>
          <t>When button is clciked , a modal should display having a message "This will send an invitation email to "First Name + Last Name" to activate the user's account. Do you wish to continue?</t>
        </is>
      </c>
      <c r="E55" s="58" t="inlineStr">
        <is>
          <t>Not Tested</t>
        </is>
      </c>
    </row>
    <row r="56" ht="27" customHeight="1" s="41">
      <c r="B56" s="58" t="n">
        <v>11</v>
      </c>
      <c r="C56" s="40" t="inlineStr">
        <is>
          <t xml:space="preserve">Click new button </t>
        </is>
      </c>
      <c r="D56" s="60" t="inlineStr">
        <is>
          <t xml:space="preserve">1. New user button should display 
2. Step 1: Search User should display </t>
        </is>
      </c>
      <c r="E56" s="58" t="inlineStr">
        <is>
          <t>Not Tested</t>
        </is>
      </c>
    </row>
    <row r="57" ht="82.5" customHeight="1" s="41">
      <c r="B57" s="58" t="n">
        <v>12</v>
      </c>
      <c r="C57" s="59" t="inlineStr">
        <is>
          <t>Verify if No and Yes buttons are working</t>
        </is>
      </c>
      <c r="D57" s="60" t="inlineStr">
        <is>
          <t xml:space="preserve">1. When No is clicked, modal should close and the process is cancelled 
2. When Yes button is clciked, modal should close and invitation will be sent to the email of the user's account </t>
        </is>
      </c>
      <c r="E57" s="58" t="inlineStr">
        <is>
          <t>Not Tested</t>
        </is>
      </c>
    </row>
    <row r="58" ht="14.25" customHeight="1" s="41">
      <c r="B58" s="58" t="n">
        <v>13</v>
      </c>
      <c r="C58" s="40" t="inlineStr">
        <is>
          <t xml:space="preserve">Verify is users displayed on the grid </t>
        </is>
      </c>
      <c r="D58" s="40" t="inlineStr">
        <is>
          <t xml:space="preserve">Users should display on the grid </t>
        </is>
      </c>
      <c r="E58" s="58" t="inlineStr">
        <is>
          <t>Not Tested</t>
        </is>
      </c>
    </row>
    <row r="59" ht="14.25" customHeight="1" s="41">
      <c r="B59" s="58" t="n">
        <v>14</v>
      </c>
      <c r="C59" s="40" t="inlineStr">
        <is>
          <t xml:space="preserve">Verify if able to search a user </t>
        </is>
      </c>
      <c r="D59" s="40" t="inlineStr">
        <is>
          <t xml:space="preserve">Should be able to search a user </t>
        </is>
      </c>
      <c r="E59" s="58" t="inlineStr">
        <is>
          <t>Not Tested</t>
        </is>
      </c>
    </row>
    <row r="60" ht="14.25" customHeight="1" s="41">
      <c r="B60" s="58" t="n">
        <v>15</v>
      </c>
      <c r="C60" s="40" t="inlineStr">
        <is>
          <t xml:space="preserve">Select a user </t>
        </is>
      </c>
      <c r="D60" s="40" t="inlineStr">
        <is>
          <t xml:space="preserve">Radio button of the selected user should be pilled </t>
        </is>
      </c>
      <c r="E60" s="58" t="inlineStr">
        <is>
          <t>Not Tested</t>
        </is>
      </c>
    </row>
    <row r="61" ht="14.25" customHeight="1" s="41">
      <c r="B61" s="58" t="n">
        <v>16</v>
      </c>
      <c r="C61" s="40" t="inlineStr">
        <is>
          <t xml:space="preserve">Click next button </t>
        </is>
      </c>
      <c r="D61" s="40" t="inlineStr">
        <is>
          <t xml:space="preserve">Should route to Step 2: User Details </t>
        </is>
      </c>
      <c r="E61" s="58" t="inlineStr">
        <is>
          <t>Not Tested</t>
        </is>
      </c>
    </row>
    <row r="62" ht="14.25" customHeight="1" s="41">
      <c r="B62" s="58" t="n">
        <v>17</v>
      </c>
      <c r="C62" s="40" t="inlineStr">
        <is>
          <t xml:space="preserve">Verify if user details reflect on the fields </t>
        </is>
      </c>
      <c r="D62" s="40" t="inlineStr">
        <is>
          <t>User details should reflect on the fields</t>
        </is>
      </c>
      <c r="E62" s="58" t="inlineStr">
        <is>
          <t>Not Tested</t>
        </is>
      </c>
    </row>
    <row r="63" ht="27" customHeight="1" s="41">
      <c r="B63" s="58" t="n">
        <v>18</v>
      </c>
      <c r="C63" s="40" t="inlineStr">
        <is>
          <t xml:space="preserve">Click add user button </t>
        </is>
      </c>
      <c r="D63" s="60" t="inlineStr">
        <is>
          <t xml:space="preserve">1. User should be added on the company 
2. Added user should reflect on the grid </t>
        </is>
      </c>
      <c r="E63" s="58" t="inlineStr">
        <is>
          <t>Not Tested</t>
        </is>
      </c>
    </row>
    <row r="64" ht="41.25" customHeight="1" s="41">
      <c r="B64" s="58" t="n">
        <v>19</v>
      </c>
      <c r="C64" s="60" t="inlineStr">
        <is>
          <t xml:space="preserve">Verify if the user need to fill up user details form in step 2, when the user did not select a record in step 1 and just clicked next button </t>
        </is>
      </c>
      <c r="D64" s="60" t="inlineStr">
        <is>
          <t xml:space="preserve">1. Fileds in step 2 should be empty
2. User needs to fillup the form to add a user to the company </t>
        </is>
      </c>
      <c r="E64" s="58" t="inlineStr">
        <is>
          <t>Not Tested</t>
        </is>
      </c>
    </row>
    <row r="65" ht="13.5" customHeight="1" s="41">
      <c r="A65" s="62" t="n"/>
      <c r="B65" s="62" t="n"/>
      <c r="C65" s="62" t="n"/>
      <c r="D65" s="62" t="n"/>
      <c r="E65" s="62" t="n"/>
      <c r="F65" s="62" t="n"/>
    </row>
    <row r="66" ht="27" customHeight="1" s="41">
      <c r="A66" s="58" t="inlineStr">
        <is>
          <t>Plans</t>
        </is>
      </c>
      <c r="B66" s="58" t="n">
        <v>1</v>
      </c>
      <c r="C66" s="59" t="inlineStr">
        <is>
          <t>Verify if plan grid displayed</t>
        </is>
      </c>
      <c r="D66" s="61" t="inlineStr">
        <is>
          <t xml:space="preserve">1.Plans categories grid should display 
2. Added plan should display on the grid </t>
        </is>
      </c>
      <c r="E66" s="58" t="inlineStr">
        <is>
          <t>Not Tested</t>
        </is>
      </c>
    </row>
    <row r="67" ht="14.25" customHeight="1" s="41">
      <c r="B67" s="58" t="n">
        <v>2</v>
      </c>
      <c r="C67" s="59" t="inlineStr">
        <is>
          <t>Click filter plans</t>
        </is>
      </c>
      <c r="D67" s="59" t="inlineStr">
        <is>
          <t>Filter dropdown should display</t>
        </is>
      </c>
      <c r="E67" s="58" t="inlineStr">
        <is>
          <t>Not Tested</t>
        </is>
      </c>
    </row>
    <row r="68" ht="41.25" customHeight="1" s="41">
      <c r="B68" s="58" t="n">
        <v>3</v>
      </c>
      <c r="C68" s="59" t="inlineStr">
        <is>
          <t>Click "Select a filter" field</t>
        </is>
      </c>
      <c r="D68" s="61" t="inlineStr">
        <is>
          <t>1. Dropdown with options should display
2. Options displayed are the header columns on the grid</t>
        </is>
      </c>
      <c r="E68" s="58" t="inlineStr">
        <is>
          <t>Not Tested</t>
        </is>
      </c>
    </row>
    <row r="69" ht="27" customHeight="1" s="41">
      <c r="B69" s="58" t="n">
        <v>4</v>
      </c>
      <c r="C69" s="59" t="inlineStr">
        <is>
          <t>Verify if user able to select an option</t>
        </is>
      </c>
      <c r="D69" s="61" t="inlineStr">
        <is>
          <t>1. Selected option should reflect on the field
2. "Select a value" field should display</t>
        </is>
      </c>
      <c r="E69" s="58" t="inlineStr">
        <is>
          <t>Not Tested</t>
        </is>
      </c>
    </row>
    <row r="70" ht="41.25" customHeight="1" s="41">
      <c r="B70" s="58" t="n">
        <v>5</v>
      </c>
      <c r="C70" s="59" t="inlineStr">
        <is>
          <t>Click "Select a value"</t>
        </is>
      </c>
      <c r="D70" s="61" t="inlineStr">
        <is>
          <t xml:space="preserve">1. Dropdown with option should display
2. Options displayed is dependent on what value is selected on the first field </t>
        </is>
      </c>
      <c r="E70" s="58" t="inlineStr">
        <is>
          <t>Not Tested</t>
        </is>
      </c>
    </row>
    <row r="71" ht="41.25" customHeight="1" s="41">
      <c r="B71" s="58" t="n">
        <v>6</v>
      </c>
      <c r="C71" s="59" t="inlineStr">
        <is>
          <t>Verify if user able to select a value</t>
        </is>
      </c>
      <c r="D71" s="61" t="inlineStr">
        <is>
          <t>1.Selected value should reflect on the field
2. Selected value should reflect on the field
3. Add filter button should display</t>
        </is>
      </c>
      <c r="E71" s="58" t="inlineStr">
        <is>
          <t>Not Tested</t>
        </is>
      </c>
    </row>
    <row r="72" ht="27" customHeight="1" s="41">
      <c r="B72" s="58" t="n">
        <v>7</v>
      </c>
      <c r="C72" s="59" t="inlineStr">
        <is>
          <t>Click Add Filter button</t>
        </is>
      </c>
      <c r="D72" s="61" t="inlineStr">
        <is>
          <t xml:space="preserve"> Should create a new tab in users grid and should filter depending on the filter setup</t>
        </is>
      </c>
      <c r="E72" s="58" t="inlineStr">
        <is>
          <t>Not Tested</t>
        </is>
      </c>
    </row>
    <row r="73" ht="14.25" customHeight="1" s="41">
      <c r="B73" s="58" t="n">
        <v>8</v>
      </c>
      <c r="C73" s="59" t="inlineStr">
        <is>
          <t xml:space="preserve">Verify if user is able to search </t>
        </is>
      </c>
      <c r="D73" s="59" t="inlineStr">
        <is>
          <t xml:space="preserve">User should be able to search </t>
        </is>
      </c>
      <c r="E73" s="58" t="inlineStr">
        <is>
          <t>Not Tested</t>
        </is>
      </c>
    </row>
    <row r="74" ht="14.25" customHeight="1" s="41">
      <c r="B74" s="58" t="n">
        <v>9</v>
      </c>
      <c r="C74" s="59" t="inlineStr">
        <is>
          <t>Verify if able to export data</t>
        </is>
      </c>
      <c r="D74" s="59" t="inlineStr">
        <is>
          <t>Should be able to export data from the grid</t>
        </is>
      </c>
      <c r="E74" s="58" t="inlineStr">
        <is>
          <t>Not Tested</t>
        </is>
      </c>
    </row>
    <row r="75" ht="14.25" customHeight="1" s="41">
      <c r="B75" s="58" t="n">
        <v>10</v>
      </c>
      <c r="C75" s="40" t="inlineStr">
        <is>
          <t xml:space="preserve">Click new button </t>
        </is>
      </c>
      <c r="D75" s="40" t="inlineStr">
        <is>
          <t xml:space="preserve">New product modal should display </t>
        </is>
      </c>
      <c r="E75" s="58" t="inlineStr">
        <is>
          <t>Not Tested</t>
        </is>
      </c>
    </row>
    <row r="76" ht="14.25" customHeight="1" s="41">
      <c r="B76" s="58" t="n">
        <v>11</v>
      </c>
      <c r="C76" s="40" t="inlineStr">
        <is>
          <t xml:space="preserve">Click profile image section </t>
        </is>
      </c>
      <c r="D76" s="40" t="inlineStr">
        <is>
          <t>Should open file explorer</t>
        </is>
      </c>
      <c r="E76" s="58" t="inlineStr">
        <is>
          <t>Not Tested</t>
        </is>
      </c>
    </row>
    <row r="77" ht="14.25" customHeight="1" s="41">
      <c r="B77" s="58" t="n">
        <v>12</v>
      </c>
      <c r="C77" s="59" t="inlineStr">
        <is>
          <t xml:space="preserve">Select an image and click open button </t>
        </is>
      </c>
      <c r="D77" s="61" t="inlineStr">
        <is>
          <t xml:space="preserve">Selected image should reflect in profile image section </t>
        </is>
      </c>
      <c r="E77" s="58" t="inlineStr">
        <is>
          <t>Not Tested</t>
        </is>
      </c>
    </row>
    <row r="78" ht="14.25" customHeight="1" s="41">
      <c r="B78" s="58" t="n">
        <v>13</v>
      </c>
      <c r="C78" s="40" t="inlineStr">
        <is>
          <t xml:space="preserve">Click new button </t>
        </is>
      </c>
      <c r="D78" s="40" t="inlineStr">
        <is>
          <t xml:space="preserve">Add new plan modal should display </t>
        </is>
      </c>
      <c r="E78" s="58" t="inlineStr">
        <is>
          <t>Not Tested</t>
        </is>
      </c>
    </row>
    <row r="79" ht="27" customHeight="1" s="41">
      <c r="B79" s="58" t="n">
        <v>14</v>
      </c>
      <c r="C79" s="60" t="inlineStr">
        <is>
          <t xml:space="preserve">Verify if plans from the main plan menu displayed on the modal grid </t>
        </is>
      </c>
      <c r="D79" s="60" t="inlineStr">
        <is>
          <t xml:space="preserve">All active plans from the plan menu should display on the modal grid </t>
        </is>
      </c>
      <c r="E79" s="58" t="inlineStr">
        <is>
          <t>Not Tested</t>
        </is>
      </c>
    </row>
    <row r="80" ht="27" customHeight="1" s="41">
      <c r="B80" s="58" t="n">
        <v>15</v>
      </c>
      <c r="C80" s="59" t="inlineStr">
        <is>
          <t xml:space="preserve">Select a plan/s </t>
        </is>
      </c>
      <c r="D80" s="60" t="inlineStr">
        <is>
          <t xml:space="preserve">1. Should be able to select a plan/s 
2. Select plan button should enable </t>
        </is>
      </c>
      <c r="E80" s="58" t="inlineStr">
        <is>
          <t>Not Tested</t>
        </is>
      </c>
    </row>
    <row r="81" ht="14.25" customHeight="1" s="41">
      <c r="B81" s="58" t="n">
        <v>16</v>
      </c>
      <c r="C81" s="40" t="inlineStr">
        <is>
          <t xml:space="preserve">Click select plan button </t>
        </is>
      </c>
      <c r="D81" s="40" t="inlineStr">
        <is>
          <t>Should route to step 2</t>
        </is>
      </c>
      <c r="E81" s="58" t="inlineStr">
        <is>
          <t>Not Tested</t>
        </is>
      </c>
    </row>
    <row r="82" ht="27" customHeight="1" s="41">
      <c r="B82" s="58" t="n">
        <v>17</v>
      </c>
      <c r="C82" s="40" t="inlineStr">
        <is>
          <t xml:space="preserve">Input plan code </t>
        </is>
      </c>
      <c r="D82" s="60" t="inlineStr">
        <is>
          <t xml:space="preserve">1. Inputted plan code should reflect on the field 
2. Save button should enable </t>
        </is>
      </c>
      <c r="E82" s="58" t="inlineStr">
        <is>
          <t>Not Tested</t>
        </is>
      </c>
    </row>
    <row r="83" ht="41.25" customHeight="1" s="41">
      <c r="B83" s="58" t="n">
        <v>18</v>
      </c>
      <c r="C83" s="59" t="inlineStr">
        <is>
          <t xml:space="preserve">Click save button </t>
        </is>
      </c>
      <c r="D83" s="60" t="inlineStr">
        <is>
          <t xml:space="preserve">1. Modal should close 
2. Success message should display 
3. Added plan should display on the grid </t>
        </is>
      </c>
      <c r="E83" s="58" t="inlineStr">
        <is>
          <t>Not Tested</t>
        </is>
      </c>
    </row>
    <row r="84" ht="27" customHeight="1" s="41">
      <c r="B84" s="58" t="n">
        <v>19</v>
      </c>
      <c r="C84" s="59" t="inlineStr">
        <is>
          <t xml:space="preserve">Open a plan record </t>
        </is>
      </c>
      <c r="D84" s="60" t="inlineStr">
        <is>
          <t xml:space="preserve">1. Should route to its record 
2. Details should be the default open tab </t>
        </is>
      </c>
      <c r="E84" s="58" t="inlineStr">
        <is>
          <t>Not Tested</t>
        </is>
      </c>
    </row>
    <row r="85" ht="14.25" customHeight="1" s="41">
      <c r="B85" s="58" t="n">
        <v>20</v>
      </c>
      <c r="C85" s="59" t="inlineStr">
        <is>
          <t xml:space="preserve">Click batches tab </t>
        </is>
      </c>
      <c r="D85" s="60" t="inlineStr">
        <is>
          <t xml:space="preserve">Should route to batch page </t>
        </is>
      </c>
      <c r="E85" s="58" t="inlineStr">
        <is>
          <t>Not Tested</t>
        </is>
      </c>
    </row>
    <row r="86" ht="27" customHeight="1" s="41">
      <c r="B86" s="58" t="n">
        <v>21</v>
      </c>
      <c r="C86" s="59" t="inlineStr">
        <is>
          <t>Verify if batches grid displayed</t>
        </is>
      </c>
      <c r="D86" s="61" t="inlineStr">
        <is>
          <t xml:space="preserve">1.Batches grid should display 
2. Added batch should display on the grid </t>
        </is>
      </c>
      <c r="E86" s="58" t="inlineStr">
        <is>
          <t>Not Tested</t>
        </is>
      </c>
    </row>
    <row r="87" ht="16.5" customHeight="1" s="41">
      <c r="B87" s="58" t="n">
        <v>22</v>
      </c>
      <c r="C87" s="59" t="inlineStr">
        <is>
          <t>Click filter batches</t>
        </is>
      </c>
      <c r="D87" s="59" t="inlineStr">
        <is>
          <t>Filter dropdown should display</t>
        </is>
      </c>
      <c r="E87" s="58" t="inlineStr">
        <is>
          <t>Not Tested</t>
        </is>
      </c>
    </row>
    <row r="88" ht="16.5" customHeight="1" s="41">
      <c r="B88" s="58" t="n">
        <v>23</v>
      </c>
      <c r="C88" s="59" t="inlineStr">
        <is>
          <t>Click "Select a filter" field</t>
        </is>
      </c>
      <c r="D88" s="61" t="inlineStr">
        <is>
          <t>1. Dropdown with options should display
2. Options displayed are the header columns on the grid</t>
        </is>
      </c>
      <c r="E88" s="58" t="inlineStr">
        <is>
          <t>Not Tested</t>
        </is>
      </c>
    </row>
    <row r="89" ht="31.5" customHeight="1" s="41">
      <c r="B89" s="58" t="n">
        <v>24</v>
      </c>
      <c r="C89" s="59" t="inlineStr">
        <is>
          <t>Verify if user able to select an option</t>
        </is>
      </c>
      <c r="D89" s="61" t="inlineStr">
        <is>
          <t>1. Selected option should reflect on the field
2. "Select a value" field should display</t>
        </is>
      </c>
      <c r="E89" s="58" t="inlineStr">
        <is>
          <t>Not Tested</t>
        </is>
      </c>
    </row>
    <row r="90" ht="16.5" customHeight="1" s="41">
      <c r="B90" s="58" t="n">
        <v>25</v>
      </c>
      <c r="C90" s="59" t="inlineStr">
        <is>
          <t>Click "Select a value"</t>
        </is>
      </c>
      <c r="D90" s="61" t="inlineStr">
        <is>
          <t xml:space="preserve">1. Dropdown with option should display
2. Options displayed is dependent on what value is selected on the first field </t>
        </is>
      </c>
      <c r="E90" s="58" t="inlineStr">
        <is>
          <t>Not Tested</t>
        </is>
      </c>
    </row>
    <row r="91" ht="16.5" customHeight="1" s="41">
      <c r="B91" s="58" t="n">
        <v>26</v>
      </c>
      <c r="C91" s="59" t="inlineStr">
        <is>
          <t>Verify if user able to select a value</t>
        </is>
      </c>
      <c r="D91" s="61" t="inlineStr">
        <is>
          <t>1.Selected value should reflect on the field
2. Selected value should reflect on the field
3. Add filter button should display</t>
        </is>
      </c>
      <c r="E91" s="58" t="inlineStr">
        <is>
          <t>Not Tested</t>
        </is>
      </c>
    </row>
    <row r="92" ht="32.25" customHeight="1" s="41">
      <c r="B92" s="58" t="n">
        <v>27</v>
      </c>
      <c r="C92" s="59" t="inlineStr">
        <is>
          <t>Click Add Filter button</t>
        </is>
      </c>
      <c r="D92" s="61" t="inlineStr">
        <is>
          <t xml:space="preserve"> Should create a new tab in users grid and should filter depending on the filter setup</t>
        </is>
      </c>
      <c r="E92" s="58" t="inlineStr">
        <is>
          <t>Not Tested</t>
        </is>
      </c>
    </row>
    <row r="93" ht="16.5" customHeight="1" s="41">
      <c r="B93" s="58" t="n">
        <v>28</v>
      </c>
      <c r="C93" s="59" t="inlineStr">
        <is>
          <t xml:space="preserve">Verify if user is able to search </t>
        </is>
      </c>
      <c r="D93" s="59" t="inlineStr">
        <is>
          <t xml:space="preserve">User should be able to search </t>
        </is>
      </c>
      <c r="E93" s="58" t="inlineStr">
        <is>
          <t>Not Tested</t>
        </is>
      </c>
    </row>
    <row r="94" ht="16.5" customHeight="1" s="41">
      <c r="B94" s="58" t="n">
        <v>29</v>
      </c>
      <c r="C94" s="59" t="inlineStr">
        <is>
          <t>Verify if able to export data</t>
        </is>
      </c>
      <c r="D94" s="59" t="inlineStr">
        <is>
          <t>Should be able to export data from the grid</t>
        </is>
      </c>
      <c r="E94" s="58" t="inlineStr">
        <is>
          <t>Not Tested</t>
        </is>
      </c>
    </row>
    <row r="95" ht="16.5" customHeight="1" s="41">
      <c r="B95" s="58" t="n">
        <v>30</v>
      </c>
      <c r="C95" s="59" t="inlineStr">
        <is>
          <t xml:space="preserve">Click new button </t>
        </is>
      </c>
      <c r="D95" s="60" t="inlineStr">
        <is>
          <t xml:space="preserve">New batch modal should display </t>
        </is>
      </c>
      <c r="E95" s="58" t="inlineStr">
        <is>
          <t>Not Tested</t>
        </is>
      </c>
    </row>
    <row r="96" ht="54.75" customHeight="1" s="41">
      <c r="B96" s="58" t="n">
        <v>31</v>
      </c>
      <c r="C96" s="59" t="inlineStr">
        <is>
          <t xml:space="preserve">Clcik product field </t>
        </is>
      </c>
      <c r="D96" s="60" t="inlineStr">
        <is>
          <t xml:space="preserve">1. Dropdown with options should display 
2. Options displayed are the products under the company </t>
        </is>
      </c>
      <c r="E96" s="58" t="inlineStr">
        <is>
          <t>Not Tested</t>
        </is>
      </c>
    </row>
    <row r="97" ht="16.5" customHeight="1" s="41">
      <c r="B97" s="58" t="n">
        <v>32</v>
      </c>
      <c r="C97" s="59" t="inlineStr">
        <is>
          <t xml:space="preserve">Seelct a product option </t>
        </is>
      </c>
      <c r="D97" s="60" t="inlineStr">
        <is>
          <t xml:space="preserve">Selected option should reflect on the field </t>
        </is>
      </c>
      <c r="E97" s="58" t="inlineStr">
        <is>
          <t>Not Tested</t>
        </is>
      </c>
    </row>
    <row r="98" ht="16.5" customHeight="1" s="41">
      <c r="B98" s="58" t="n">
        <v>33</v>
      </c>
      <c r="C98" s="59" t="inlineStr">
        <is>
          <t xml:space="preserve">Input number of pins </t>
        </is>
      </c>
      <c r="D98" s="60" t="inlineStr">
        <is>
          <t xml:space="preserve">Inputted number should reflect on the field </t>
        </is>
      </c>
      <c r="E98" s="58" t="inlineStr">
        <is>
          <t>Not Tested</t>
        </is>
      </c>
    </row>
    <row r="99" ht="16.5" customHeight="1" s="41">
      <c r="B99" s="58" t="n">
        <v>34</v>
      </c>
      <c r="C99" s="59" t="inlineStr">
        <is>
          <t xml:space="preserve">Click plan purchase date field </t>
        </is>
      </c>
      <c r="D99" s="60" t="inlineStr">
        <is>
          <t xml:space="preserve">A calendar should display </t>
        </is>
      </c>
      <c r="E99" s="58" t="inlineStr">
        <is>
          <t>Not Tested</t>
        </is>
      </c>
    </row>
    <row r="100" ht="16.5" customHeight="1" s="41">
      <c r="B100" s="58" t="n">
        <v>35</v>
      </c>
      <c r="C100" s="59" t="inlineStr">
        <is>
          <t xml:space="preserve">Select a date </t>
        </is>
      </c>
      <c r="D100" s="60" t="inlineStr">
        <is>
          <t xml:space="preserve">Selected date should reflect on the field </t>
        </is>
      </c>
      <c r="E100" s="58" t="inlineStr">
        <is>
          <t>Not Tested</t>
        </is>
      </c>
    </row>
    <row r="101" ht="16.5" customHeight="1" s="41">
      <c r="B101" s="58" t="n">
        <v>36</v>
      </c>
      <c r="C101" s="59" t="inlineStr">
        <is>
          <t xml:space="preserve">Click vertical field </t>
        </is>
      </c>
      <c r="D101" s="60" t="inlineStr">
        <is>
          <t xml:space="preserve">Dropdown with options should display </t>
        </is>
      </c>
      <c r="E101" s="58" t="inlineStr">
        <is>
          <t>Not Tested</t>
        </is>
      </c>
    </row>
    <row r="102" ht="16.5" customHeight="1" s="41">
      <c r="B102" s="58" t="n">
        <v>37</v>
      </c>
      <c r="C102" s="59" t="inlineStr">
        <is>
          <t xml:space="preserve">Select a vertical option </t>
        </is>
      </c>
      <c r="D102" s="60" t="inlineStr">
        <is>
          <t xml:space="preserve">Selected option should reflect on the field </t>
        </is>
      </c>
      <c r="E102" s="58" t="inlineStr">
        <is>
          <t>Not Tested</t>
        </is>
      </c>
    </row>
    <row r="103" ht="36.75" customHeight="1" s="41">
      <c r="B103" s="58" t="n">
        <v>38</v>
      </c>
      <c r="C103" s="59" t="inlineStr">
        <is>
          <t xml:space="preserve">Click save and continue button </t>
        </is>
      </c>
      <c r="D103" s="60" t="inlineStr">
        <is>
          <t xml:space="preserve">1. Modal shouldclose
2. Created batch should reflect on the field </t>
        </is>
      </c>
      <c r="E103" s="58" t="inlineStr">
        <is>
          <t>Not Tested</t>
        </is>
      </c>
    </row>
    <row r="104" ht="13.5" customHeight="1" s="41">
      <c r="A104" s="62" t="n"/>
      <c r="B104" s="62" t="n"/>
      <c r="C104" s="62" t="n"/>
      <c r="D104" s="62" t="n"/>
      <c r="E104" s="62" t="n"/>
      <c r="F104" s="62" t="n"/>
    </row>
    <row r="105" ht="27" customHeight="1" s="41">
      <c r="A105" s="58" t="inlineStr">
        <is>
          <t xml:space="preserve">Company </t>
        </is>
      </c>
      <c r="B105" s="58" t="n">
        <v>1</v>
      </c>
      <c r="C105" s="59" t="inlineStr">
        <is>
          <t>Verify if plan grid displayed</t>
        </is>
      </c>
      <c r="D105" s="61" t="inlineStr">
        <is>
          <t xml:space="preserve">1.Plans categories grid should display 
2. Added plan should display on the grid </t>
        </is>
      </c>
      <c r="E105" s="58" t="inlineStr">
        <is>
          <t>Not Tested</t>
        </is>
      </c>
    </row>
    <row r="106" ht="14.25" customHeight="1" s="41">
      <c r="B106" s="58" t="n">
        <v>2</v>
      </c>
      <c r="C106" s="59" t="inlineStr">
        <is>
          <t>Click filter plans</t>
        </is>
      </c>
      <c r="D106" s="59" t="inlineStr">
        <is>
          <t>Filter dropdown should display</t>
        </is>
      </c>
      <c r="E106" s="58" t="inlineStr">
        <is>
          <t>Not Tested</t>
        </is>
      </c>
    </row>
    <row r="107" ht="41.25" customHeight="1" s="41">
      <c r="B107" s="58" t="n">
        <v>3</v>
      </c>
      <c r="C107" s="59" t="inlineStr">
        <is>
          <t>Click "Select a filter" field</t>
        </is>
      </c>
      <c r="D107" s="61" t="inlineStr">
        <is>
          <t>1. Dropdown with options should display
2. Options displayed are the header columns on the grid</t>
        </is>
      </c>
      <c r="E107" s="58" t="inlineStr">
        <is>
          <t>Not Tested</t>
        </is>
      </c>
    </row>
    <row r="108" ht="27" customHeight="1" s="41">
      <c r="B108" s="58" t="n">
        <v>4</v>
      </c>
      <c r="C108" s="59" t="inlineStr">
        <is>
          <t>Verify if user able to select an option</t>
        </is>
      </c>
      <c r="D108" s="61" t="inlineStr">
        <is>
          <t>1. Selected option should reflect on the field
2. "Select a value" field should display</t>
        </is>
      </c>
      <c r="E108" s="58" t="inlineStr">
        <is>
          <t>Not Tested</t>
        </is>
      </c>
    </row>
    <row r="109" ht="41.25" customHeight="1" s="41">
      <c r="B109" s="58" t="n">
        <v>5</v>
      </c>
      <c r="C109" s="59" t="inlineStr">
        <is>
          <t>Click "Select a value"</t>
        </is>
      </c>
      <c r="D109" s="61" t="inlineStr">
        <is>
          <t xml:space="preserve">1. Dropdown with option should display
2. Options displayed is dependent on what value is selected on the first field </t>
        </is>
      </c>
      <c r="E109" s="58" t="inlineStr">
        <is>
          <t>Not Tested</t>
        </is>
      </c>
    </row>
    <row r="110" ht="41.25" customHeight="1" s="41">
      <c r="B110" s="58" t="n">
        <v>6</v>
      </c>
      <c r="C110" s="59" t="inlineStr">
        <is>
          <t>Verify if user able to select a value</t>
        </is>
      </c>
      <c r="D110" s="61" t="inlineStr">
        <is>
          <t>1.Selected value should reflect on the field
2. Selected value should reflect on the field
3. Add filter button should display</t>
        </is>
      </c>
      <c r="E110" s="58" t="inlineStr">
        <is>
          <t>Not Tested</t>
        </is>
      </c>
    </row>
    <row r="111" ht="27" customHeight="1" s="41">
      <c r="B111" s="58" t="n">
        <v>7</v>
      </c>
      <c r="C111" s="59" t="inlineStr">
        <is>
          <t>Click Add Filter button</t>
        </is>
      </c>
      <c r="D111" s="61" t="inlineStr">
        <is>
          <t xml:space="preserve"> Should create a new tab in users grid and should filter depending on the filter setup</t>
        </is>
      </c>
      <c r="E111" s="58" t="inlineStr">
        <is>
          <t>Not Tested</t>
        </is>
      </c>
    </row>
    <row r="112" ht="14.25" customHeight="1" s="41">
      <c r="B112" s="58" t="n">
        <v>8</v>
      </c>
      <c r="C112" s="59" t="inlineStr">
        <is>
          <t xml:space="preserve">Verify if user is able to search </t>
        </is>
      </c>
      <c r="D112" s="59" t="inlineStr">
        <is>
          <t xml:space="preserve">User should be able to search </t>
        </is>
      </c>
      <c r="E112" s="58" t="inlineStr">
        <is>
          <t>Not Tested</t>
        </is>
      </c>
    </row>
    <row r="113" ht="14.25" customHeight="1" s="41">
      <c r="B113" s="58" t="n">
        <v>9</v>
      </c>
      <c r="C113" s="59" t="inlineStr">
        <is>
          <t>Verify if able to export data</t>
        </is>
      </c>
      <c r="D113" s="59" t="inlineStr">
        <is>
          <t>Should be able to export data from the grid</t>
        </is>
      </c>
      <c r="E113" s="58" t="inlineStr">
        <is>
          <t>Not Tested</t>
        </is>
      </c>
    </row>
    <row r="114" ht="14.25" customHeight="1" s="41">
      <c r="B114" s="72" t="n">
        <v>10</v>
      </c>
      <c r="C114" s="40" t="inlineStr">
        <is>
          <t xml:space="preserve">Click new button </t>
        </is>
      </c>
      <c r="D114" s="40" t="inlineStr">
        <is>
          <t xml:space="preserve">New product modal should display </t>
        </is>
      </c>
      <c r="E114" s="58" t="inlineStr">
        <is>
          <t>Not Tested</t>
        </is>
      </c>
    </row>
    <row r="115" ht="14.25" customHeight="1" s="41">
      <c r="B115" s="72" t="n">
        <v>11</v>
      </c>
      <c r="C115" s="40" t="inlineStr">
        <is>
          <t xml:space="preserve">Click profile image section </t>
        </is>
      </c>
      <c r="D115" s="40" t="inlineStr">
        <is>
          <t>Should open file explorer</t>
        </is>
      </c>
      <c r="E115" s="58" t="inlineStr">
        <is>
          <t>Not Tested</t>
        </is>
      </c>
    </row>
    <row r="116" ht="14.25" customHeight="1" s="41">
      <c r="B116" s="72" t="n">
        <v>12</v>
      </c>
      <c r="C116" s="59" t="inlineStr">
        <is>
          <t xml:space="preserve">Select an image and click open button </t>
        </is>
      </c>
      <c r="D116" s="61" t="inlineStr">
        <is>
          <t xml:space="preserve">Selected image should reflect in profile image section </t>
        </is>
      </c>
      <c r="E116" s="58" t="inlineStr">
        <is>
          <t>Not Tested</t>
        </is>
      </c>
    </row>
    <row r="117" ht="14.25" customHeight="1" s="41">
      <c r="B117" s="72" t="n">
        <v>13</v>
      </c>
      <c r="C117" s="40" t="inlineStr">
        <is>
          <t>Input product barcode</t>
        </is>
      </c>
      <c r="D117" s="40" t="inlineStr">
        <is>
          <t xml:space="preserve">Inputted barcode should reflect on the field </t>
        </is>
      </c>
      <c r="E117" s="58" t="inlineStr">
        <is>
          <t>Not Tested</t>
        </is>
      </c>
    </row>
    <row r="118" ht="14.25" customHeight="1" s="41">
      <c r="B118" s="72" t="n">
        <v>14</v>
      </c>
      <c r="C118" s="40" t="inlineStr">
        <is>
          <t xml:space="preserve">Input product name </t>
        </is>
      </c>
      <c r="D118" s="40" t="inlineStr">
        <is>
          <t xml:space="preserve">Inputted name should reflect on the field </t>
        </is>
      </c>
      <c r="E118" s="58" t="inlineStr">
        <is>
          <t>Not Tested</t>
        </is>
      </c>
    </row>
    <row r="119" ht="41.25" customHeight="1" s="41">
      <c r="B119" s="72" t="n">
        <v>15</v>
      </c>
      <c r="C119" s="59" t="inlineStr">
        <is>
          <t xml:space="preserve">Click plan field </t>
        </is>
      </c>
      <c r="D119" s="60" t="inlineStr">
        <is>
          <t xml:space="preserve">1. Dropdown with plan options should display
2. Displayed options are the plans added to the company </t>
        </is>
      </c>
      <c r="E119" s="58" t="inlineStr">
        <is>
          <t>Not Tested</t>
        </is>
      </c>
    </row>
    <row r="120" ht="14.25" customHeight="1" s="41">
      <c r="B120" s="72" t="n">
        <v>16</v>
      </c>
      <c r="C120" s="40" t="inlineStr">
        <is>
          <t xml:space="preserve">Select a plan option </t>
        </is>
      </c>
      <c r="D120" s="40" t="inlineStr">
        <is>
          <t xml:space="preserve">Selected option should reflect on the field </t>
        </is>
      </c>
      <c r="E120" s="58" t="inlineStr">
        <is>
          <t>Not Tested</t>
        </is>
      </c>
    </row>
    <row r="121" ht="54.75" customHeight="1" s="41">
      <c r="B121" s="72" t="n">
        <v>17</v>
      </c>
      <c r="C121" s="59" t="inlineStr">
        <is>
          <t xml:space="preserve">Click device categories field </t>
        </is>
      </c>
      <c r="D121" s="60" t="inlineStr">
        <is>
          <t xml:space="preserve">1. Dropdown with device categories options should display
2. Device categories are the active records from the main menu </t>
        </is>
      </c>
      <c r="E121" s="58" t="inlineStr">
        <is>
          <t>Not Tested</t>
        </is>
      </c>
    </row>
    <row r="122" ht="14.25" customHeight="1" s="41">
      <c r="B122" s="72" t="n">
        <v>18</v>
      </c>
      <c r="C122" s="40" t="inlineStr">
        <is>
          <t xml:space="preserve">Select a device category option </t>
        </is>
      </c>
      <c r="D122" s="40" t="inlineStr">
        <is>
          <t xml:space="preserve">Selected option should reflect on the field </t>
        </is>
      </c>
      <c r="E122" s="58" t="inlineStr">
        <is>
          <t>Not Tested</t>
        </is>
      </c>
    </row>
    <row r="123" ht="14.25" customHeight="1" s="41">
      <c r="B123" s="72" t="n">
        <v>19</v>
      </c>
      <c r="C123" s="40" t="inlineStr">
        <is>
          <t xml:space="preserve">Click product category field </t>
        </is>
      </c>
      <c r="D123" s="40" t="inlineStr">
        <is>
          <t>Dropdown with product category options should display</t>
        </is>
      </c>
      <c r="E123" s="58" t="inlineStr">
        <is>
          <t>Not Tested</t>
        </is>
      </c>
    </row>
    <row r="124" ht="14.25" customHeight="1" s="41">
      <c r="B124" s="72" t="n">
        <v>20</v>
      </c>
      <c r="C124" s="40" t="inlineStr">
        <is>
          <t xml:space="preserve">Select an option </t>
        </is>
      </c>
      <c r="D124" s="40" t="inlineStr">
        <is>
          <t xml:space="preserve">Selected option should reflect on the field </t>
        </is>
      </c>
      <c r="E124" s="58" t="inlineStr">
        <is>
          <t>Not Tested</t>
        </is>
      </c>
    </row>
    <row r="125" ht="14.25" customHeight="1" s="41">
      <c r="B125" s="72" t="n">
        <v>21</v>
      </c>
      <c r="C125" s="40" t="inlineStr">
        <is>
          <t xml:space="preserve">Input agreement </t>
        </is>
      </c>
      <c r="D125" s="40" t="inlineStr">
        <is>
          <t xml:space="preserve">Inputted agreement should reflect on the field </t>
        </is>
      </c>
      <c r="E125" s="58" t="inlineStr">
        <is>
          <t>Not Tested</t>
        </is>
      </c>
    </row>
    <row r="126" ht="14.25" customHeight="1" s="41">
      <c r="B126" s="72" t="n">
        <v>22</v>
      </c>
      <c r="C126" s="40" t="inlineStr">
        <is>
          <t>Select a workflow to bypass</t>
        </is>
      </c>
      <c r="D126" s="40" t="inlineStr">
        <is>
          <t>Should be able to seelct a workflow to bypass</t>
        </is>
      </c>
      <c r="E126" s="58" t="inlineStr">
        <is>
          <t>Not Tested</t>
        </is>
      </c>
    </row>
    <row r="127" ht="27" customHeight="1" s="41">
      <c r="B127" s="58" t="n">
        <v>23</v>
      </c>
      <c r="C127" s="59" t="inlineStr">
        <is>
          <t xml:space="preserve">Clcik save and continue button </t>
        </is>
      </c>
      <c r="D127" s="60" t="inlineStr">
        <is>
          <t xml:space="preserve">1. Modal should close 
2. Added product should display on the product grid </t>
        </is>
      </c>
      <c r="E127" s="58" t="inlineStr">
        <is>
          <t>Not Tested</t>
        </is>
      </c>
    </row>
    <row r="128" ht="14.25" customHeight="1" s="41">
      <c r="B128" s="58" t="n">
        <v>24</v>
      </c>
      <c r="C128" s="40" t="inlineStr">
        <is>
          <t xml:space="preserve">Clcik a product record </t>
        </is>
      </c>
      <c r="D128" s="40" t="inlineStr">
        <is>
          <t xml:space="preserve">Should route to its record </t>
        </is>
      </c>
      <c r="E128" s="58" t="inlineStr">
        <is>
          <t>Not Tested</t>
        </is>
      </c>
    </row>
    <row r="129" ht="14.25" customHeight="1" s="41">
      <c r="B129" s="58" t="n">
        <v>25</v>
      </c>
      <c r="C129" s="40" t="inlineStr">
        <is>
          <t>Verify if product details displayed</t>
        </is>
      </c>
      <c r="D129" s="40" t="inlineStr">
        <is>
          <t xml:space="preserve">Product details during its creation should display </t>
        </is>
      </c>
      <c r="E129" s="58" t="inlineStr">
        <is>
          <t>Not Tested</t>
        </is>
      </c>
    </row>
    <row r="130" ht="14.25" customHeight="1" s="41">
      <c r="B130" s="58" t="n">
        <v>26</v>
      </c>
      <c r="C130" s="40" t="inlineStr">
        <is>
          <t xml:space="preserve">Click batches tab </t>
        </is>
      </c>
      <c r="D130" s="40" t="inlineStr">
        <is>
          <t xml:space="preserve">Should route to batches page </t>
        </is>
      </c>
      <c r="E130" s="58" t="inlineStr">
        <is>
          <t>Not Tested</t>
        </is>
      </c>
    </row>
    <row r="131" ht="27" customHeight="1" s="41">
      <c r="B131" s="58" t="n">
        <v>27</v>
      </c>
      <c r="C131" s="60" t="inlineStr">
        <is>
          <t>Verify if batches where the product is added displayed on the grid</t>
        </is>
      </c>
      <c r="D131" s="60" t="inlineStr">
        <is>
          <t xml:space="preserve">Batches where the product was added should display on the grid </t>
        </is>
      </c>
      <c r="E131" s="58" t="inlineStr">
        <is>
          <t>Not Tested</t>
        </is>
      </c>
    </row>
    <row r="132" ht="14.25" customHeight="1" s="41">
      <c r="B132" s="58" t="n">
        <v>28</v>
      </c>
      <c r="C132" s="40" t="inlineStr">
        <is>
          <t xml:space="preserve">Click  review questions </t>
        </is>
      </c>
      <c r="D132" s="40" t="inlineStr">
        <is>
          <t xml:space="preserve">Should route to review questions page </t>
        </is>
      </c>
      <c r="E132" s="58" t="inlineStr">
        <is>
          <t>Not Tested</t>
        </is>
      </c>
    </row>
    <row r="133" ht="14.25" customHeight="1" s="41">
      <c r="B133" s="58" t="n">
        <v>29</v>
      </c>
      <c r="C133" s="40" t="inlineStr">
        <is>
          <t xml:space="preserve">Clcik add button </t>
        </is>
      </c>
      <c r="D133" s="40" t="inlineStr">
        <is>
          <t xml:space="preserve">Add review question modal should display </t>
        </is>
      </c>
      <c r="E133" s="58" t="inlineStr">
        <is>
          <t>Not Tested</t>
        </is>
      </c>
    </row>
    <row r="134" ht="27" customHeight="1" s="41">
      <c r="B134" s="58" t="n">
        <v>30</v>
      </c>
      <c r="C134" s="59" t="inlineStr">
        <is>
          <t xml:space="preserve">Select review questions </t>
        </is>
      </c>
      <c r="D134" s="60" t="inlineStr">
        <is>
          <t xml:space="preserve">1. Should be able to select review questions 
2. Add selected button should enable </t>
        </is>
      </c>
      <c r="E134" s="58" t="inlineStr">
        <is>
          <t>Not Tested</t>
        </is>
      </c>
    </row>
    <row r="135" ht="27" customHeight="1" s="41">
      <c r="B135" s="58" t="n">
        <v>31</v>
      </c>
      <c r="C135" s="40" t="inlineStr">
        <is>
          <t xml:space="preserve">Click add selected button </t>
        </is>
      </c>
      <c r="D135" s="60" t="inlineStr">
        <is>
          <t xml:space="preserve">1. Modal should close 
2. Added review question should display on the grid </t>
        </is>
      </c>
      <c r="E135" s="58" t="inlineStr">
        <is>
          <t>Not Tested</t>
        </is>
      </c>
    </row>
    <row r="136" ht="27" customHeight="1" s="41">
      <c r="B136" s="58" t="n">
        <v>32</v>
      </c>
      <c r="C136" s="40" t="inlineStr">
        <is>
          <t xml:space="preserve">Click shop set-up tab </t>
        </is>
      </c>
      <c r="D136" s="60" t="inlineStr">
        <is>
          <t xml:space="preserve">Should route to shop set-up page 
NOTE: shop set-up is used in remarketing </t>
        </is>
      </c>
      <c r="E136" s="58" t="inlineStr">
        <is>
          <t>Not Tested</t>
        </is>
      </c>
    </row>
    <row r="137" ht="69" customHeight="1" s="41">
      <c r="B137" s="58" t="n">
        <v>33</v>
      </c>
      <c r="C137" s="59" t="inlineStr">
        <is>
          <t>Verify if Order flow displayed</t>
        </is>
      </c>
      <c r="D137" s="60" t="inlineStr">
        <is>
          <t>1. Order flow section should display
2. On this section there should be two itesm that should display:
-Claim 
-Remarketing</t>
        </is>
      </c>
      <c r="E137" s="58" t="inlineStr">
        <is>
          <t>Not Tested</t>
        </is>
      </c>
    </row>
    <row r="138" ht="14.25" customHeight="1" s="41">
      <c r="B138" s="58" t="n">
        <v>34</v>
      </c>
      <c r="C138" s="40" t="inlineStr">
        <is>
          <t>Select order flow</t>
        </is>
      </c>
      <c r="D138" s="40" t="inlineStr">
        <is>
          <t xml:space="preserve">Selected option/s should be checked </t>
        </is>
      </c>
      <c r="E138" s="58" t="inlineStr">
        <is>
          <t>Not Tested</t>
        </is>
      </c>
    </row>
    <row r="139" ht="14.25" customHeight="1" s="41">
      <c r="B139" s="58" t="n">
        <v>35</v>
      </c>
      <c r="C139" s="40" t="inlineStr">
        <is>
          <t xml:space="preserve">Click select all devices </t>
        </is>
      </c>
      <c r="D139" s="40" t="inlineStr">
        <is>
          <t xml:space="preserve">All devices should display on the device list field </t>
        </is>
      </c>
      <c r="E139" s="58" t="inlineStr">
        <is>
          <t>Not Tested</t>
        </is>
      </c>
    </row>
    <row r="140" ht="27" customHeight="1" s="41">
      <c r="B140" s="58" t="n">
        <v>36</v>
      </c>
      <c r="C140" s="60" t="inlineStr">
        <is>
          <t xml:space="preserve">When select all device is not checked, and user only selected specific devices from the device list </t>
        </is>
      </c>
      <c r="D140" s="59" t="inlineStr">
        <is>
          <t xml:space="preserve">Selected specific devices should reflect on the field </t>
        </is>
      </c>
      <c r="E140" s="58" t="inlineStr">
        <is>
          <t>Not Tested</t>
        </is>
      </c>
    </row>
    <row r="141" ht="41.25" customHeight="1" s="41">
      <c r="B141" s="58" t="n">
        <v>37</v>
      </c>
      <c r="C141" s="59" t="inlineStr">
        <is>
          <t xml:space="preserve">Verify if associated products section displayed </t>
        </is>
      </c>
      <c r="D141" s="60" t="inlineStr">
        <is>
          <t>Following fields should display on this section:
1. Product category
2. Products</t>
        </is>
      </c>
      <c r="E141" s="58" t="inlineStr">
        <is>
          <t>Not Tested</t>
        </is>
      </c>
    </row>
    <row r="142" ht="14.25" customHeight="1" s="41">
      <c r="B142" s="58" t="n">
        <v>38</v>
      </c>
      <c r="C142" s="40" t="inlineStr">
        <is>
          <t xml:space="preserve">Clcik product category field </t>
        </is>
      </c>
      <c r="D142" s="40" t="inlineStr">
        <is>
          <t>Dropdown with product category options should display</t>
        </is>
      </c>
      <c r="E142" s="58" t="inlineStr">
        <is>
          <t>Not Tested</t>
        </is>
      </c>
    </row>
    <row r="143" ht="14.25" customHeight="1" s="41">
      <c r="B143" s="58" t="n">
        <v>39</v>
      </c>
      <c r="C143" s="40" t="inlineStr">
        <is>
          <t xml:space="preserve">Select an option </t>
        </is>
      </c>
      <c r="D143" s="40" t="inlineStr">
        <is>
          <t xml:space="preserve">Selected option should reflect on the field </t>
        </is>
      </c>
      <c r="E143" s="58" t="inlineStr">
        <is>
          <t>Not Tested</t>
        </is>
      </c>
    </row>
    <row r="144" ht="69" customHeight="1" s="41">
      <c r="B144" s="58" t="n">
        <v>40</v>
      </c>
      <c r="C144" s="59" t="inlineStr">
        <is>
          <t xml:space="preserve">Click products field </t>
        </is>
      </c>
      <c r="D144" s="60" t="inlineStr">
        <is>
          <t xml:space="preserve">1. Dropdown with options should display 
2. Options displayed will depend on what category was selected 
3. Products that will display are those having a category that was selected in product category field </t>
        </is>
      </c>
      <c r="E144" s="58" t="inlineStr">
        <is>
          <t>Not Tested</t>
        </is>
      </c>
    </row>
    <row r="145" ht="27" customHeight="1" s="41">
      <c r="B145" s="58" t="n">
        <v>41</v>
      </c>
      <c r="C145" s="59" t="inlineStr">
        <is>
          <t xml:space="preserve">Click add product button </t>
        </is>
      </c>
      <c r="D145" s="60" t="inlineStr">
        <is>
          <t>A new product category and product field should display</t>
        </is>
      </c>
      <c r="E145" s="58" t="inlineStr">
        <is>
          <t>Not Tested</t>
        </is>
      </c>
    </row>
    <row r="146" ht="14.25" customHeight="1" s="41">
      <c r="B146" s="58" t="n">
        <v>42</v>
      </c>
      <c r="C146" s="40" t="inlineStr">
        <is>
          <t xml:space="preserve">Click remove button </t>
        </is>
      </c>
      <c r="D146" s="40" t="inlineStr">
        <is>
          <t xml:space="preserve">Selected product will be removed </t>
        </is>
      </c>
      <c r="E146" s="58" t="inlineStr">
        <is>
          <t>Not Tested</t>
        </is>
      </c>
    </row>
    <row r="147" ht="14.25" customHeight="1" s="41">
      <c r="B147" s="58" t="n">
        <v>43</v>
      </c>
      <c r="C147" s="40" t="inlineStr">
        <is>
          <t xml:space="preserve">Verify if product order details section displayed </t>
        </is>
      </c>
      <c r="D147" s="40" t="inlineStr">
        <is>
          <t xml:space="preserve">Product order section should display </t>
        </is>
      </c>
      <c r="E147" s="58" t="inlineStr">
        <is>
          <t>Not Tested</t>
        </is>
      </c>
    </row>
    <row r="148" ht="14.25" customHeight="1" s="41">
      <c r="B148" s="58" t="n">
        <v>44</v>
      </c>
      <c r="C148" s="40" t="inlineStr">
        <is>
          <t xml:space="preserve">Input original price </t>
        </is>
      </c>
      <c r="D148" s="40" t="inlineStr">
        <is>
          <t xml:space="preserve">Inputted originla price should reflect on the field </t>
        </is>
      </c>
      <c r="E148" s="58" t="inlineStr">
        <is>
          <t>Not Tested</t>
        </is>
      </c>
    </row>
    <row r="149" ht="27" customHeight="1" s="41">
      <c r="B149" s="58" t="n">
        <v>45</v>
      </c>
      <c r="C149" s="59" t="inlineStr">
        <is>
          <t xml:space="preserve">Click discount type field </t>
        </is>
      </c>
      <c r="D149" s="60" t="inlineStr">
        <is>
          <t xml:space="preserve">Should display fix and percentage options on a dropdown </t>
        </is>
      </c>
      <c r="E149" s="58" t="inlineStr">
        <is>
          <t>Not Tested</t>
        </is>
      </c>
    </row>
    <row r="150" ht="14.25" customHeight="1" s="41">
      <c r="B150" s="58" t="n">
        <v>46</v>
      </c>
      <c r="C150" s="40" t="inlineStr">
        <is>
          <t xml:space="preserve">Select discount type option </t>
        </is>
      </c>
      <c r="D150" s="40" t="inlineStr">
        <is>
          <t xml:space="preserve">Selected option should reflect on the field </t>
        </is>
      </c>
      <c r="E150" s="58" t="inlineStr">
        <is>
          <t>Not Tested</t>
        </is>
      </c>
    </row>
    <row r="151" ht="14.25" customHeight="1" s="41">
      <c r="B151" s="58" t="n">
        <v>47</v>
      </c>
      <c r="C151" s="40" t="inlineStr">
        <is>
          <t xml:space="preserve">Input discount value </t>
        </is>
      </c>
      <c r="D151" s="40" t="inlineStr">
        <is>
          <t xml:space="preserve">Inputted discount value should reflect on the field </t>
        </is>
      </c>
      <c r="E151" s="58" t="inlineStr">
        <is>
          <t>Not Tested</t>
        </is>
      </c>
    </row>
    <row r="152" ht="14.25" customHeight="1" s="41">
      <c r="B152" s="58" t="n">
        <v>48</v>
      </c>
      <c r="C152" s="40" t="inlineStr">
        <is>
          <t xml:space="preserve">Input shipping and handling </t>
        </is>
      </c>
      <c r="D152" s="40" t="inlineStr">
        <is>
          <t xml:space="preserve">Inputted value should reflect on the field </t>
        </is>
      </c>
      <c r="E152" s="58" t="inlineStr">
        <is>
          <t>Not Tested</t>
        </is>
      </c>
    </row>
    <row r="153" ht="14.25" customHeight="1" s="41">
      <c r="B153" s="58" t="n">
        <v>49</v>
      </c>
      <c r="C153" s="40" t="inlineStr">
        <is>
          <t xml:space="preserve">Input maximum order quantity </t>
        </is>
      </c>
      <c r="D153" s="40" t="inlineStr">
        <is>
          <t xml:space="preserve">Inputted value should reflect on the field </t>
        </is>
      </c>
      <c r="E153" s="58" t="inlineStr">
        <is>
          <t>Not Tested</t>
        </is>
      </c>
    </row>
    <row r="154" ht="14.25" customHeight="1" s="41">
      <c r="B154" s="58" t="n">
        <v>50</v>
      </c>
      <c r="C154" s="40" t="inlineStr">
        <is>
          <t xml:space="preserve">Input product description </t>
        </is>
      </c>
      <c r="D154" s="40" t="inlineStr">
        <is>
          <t xml:space="preserve">Inputted description should reflect on the editor </t>
        </is>
      </c>
      <c r="E154" s="58" t="inlineStr">
        <is>
          <t>Not Tested</t>
        </is>
      </c>
    </row>
    <row r="155" ht="13.5" customHeight="1" s="41">
      <c r="B155" s="58" t="n">
        <v>51</v>
      </c>
      <c r="C155" s="40" t="inlineStr">
        <is>
          <t xml:space="preserve">Clcik save button </t>
        </is>
      </c>
      <c r="D155" s="40" t="inlineStr">
        <is>
          <t xml:space="preserve">All inputted data/details should be saved </t>
        </is>
      </c>
      <c r="E155" s="40" t="inlineStr">
        <is>
          <t>Not Tested</t>
        </is>
      </c>
    </row>
    <row r="156" ht="13.5" customHeight="1" s="41">
      <c r="A156" s="62" t="n"/>
      <c r="B156" s="62" t="n"/>
      <c r="C156" s="62" t="n"/>
      <c r="D156" s="62" t="n"/>
      <c r="E156" s="62" t="n"/>
      <c r="F156" s="62" t="n"/>
    </row>
    <row r="157" ht="14.25" customHeight="1" s="41">
      <c r="A157" s="58" t="inlineStr">
        <is>
          <t>Timeline</t>
        </is>
      </c>
      <c r="B157" s="58" t="n">
        <v>1</v>
      </c>
      <c r="C157" s="40" t="inlineStr">
        <is>
          <t>Click filter repair shops</t>
        </is>
      </c>
      <c r="D157" s="40" t="inlineStr">
        <is>
          <t>Filter dropdown should display</t>
        </is>
      </c>
      <c r="E157" s="58" t="inlineStr">
        <is>
          <t>Not Tested</t>
        </is>
      </c>
    </row>
    <row r="158" ht="165" customHeight="1" s="41">
      <c r="B158" s="58" t="n">
        <v>2</v>
      </c>
      <c r="C158" s="59" t="inlineStr">
        <is>
          <t>Click "Select a filter" field</t>
        </is>
      </c>
      <c r="D158" s="60" t="inlineStr">
        <is>
          <t>1. Dropdown with options should display
2. Options displayed are the header columns on the grid
-Email
-First Name
-Last Name
-Role
-Allow Device Buyback
-Company
-User Type
-Affiliate
-Status</t>
        </is>
      </c>
      <c r="E158" s="58" t="inlineStr">
        <is>
          <t>Not Tested</t>
        </is>
      </c>
    </row>
    <row r="159" ht="27" customHeight="1" s="41">
      <c r="B159" s="58" t="n">
        <v>3</v>
      </c>
      <c r="C159" s="59" t="inlineStr">
        <is>
          <t>Verify if user able to select an option</t>
        </is>
      </c>
      <c r="D159" s="60" t="inlineStr">
        <is>
          <t>1. Selected option should reflect on the field
2. "Select a value" field should display</t>
        </is>
      </c>
      <c r="E159" s="58" t="inlineStr">
        <is>
          <t>Not Tested</t>
        </is>
      </c>
    </row>
    <row r="160" ht="41.25" customHeight="1" s="41">
      <c r="B160" s="58" t="n">
        <v>4</v>
      </c>
      <c r="C160" s="59" t="inlineStr">
        <is>
          <t>Click "Select a value"</t>
        </is>
      </c>
      <c r="D160" s="60" t="inlineStr">
        <is>
          <t xml:space="preserve">1. Dropdown with option should display
2. Options displayed is dependent on what value is selected on the first field </t>
        </is>
      </c>
      <c r="E160" s="58" t="inlineStr">
        <is>
          <t>Not Tested</t>
        </is>
      </c>
    </row>
    <row r="161" ht="41.25" customHeight="1" s="41">
      <c r="B161" s="58" t="n">
        <v>5</v>
      </c>
      <c r="C161" s="59" t="inlineStr">
        <is>
          <t>Verify if user able to select a value</t>
        </is>
      </c>
      <c r="D161" s="60" t="inlineStr">
        <is>
          <t>1.Selected value should reflect on the field
2. Selected value should reflect on the field
3. Add filter button should display</t>
        </is>
      </c>
      <c r="E161" s="58" t="inlineStr">
        <is>
          <t>Not Tested</t>
        </is>
      </c>
    </row>
    <row r="162" ht="27" customHeight="1" s="41">
      <c r="B162" s="58" t="n">
        <v>6</v>
      </c>
      <c r="C162" s="59" t="inlineStr">
        <is>
          <t>Click Add Filter button</t>
        </is>
      </c>
      <c r="D162" s="60" t="inlineStr">
        <is>
          <t xml:space="preserve"> Should create a new tab in users grid and should filter depending on the filter setup</t>
        </is>
      </c>
      <c r="E162" s="58" t="inlineStr">
        <is>
          <t>Not Tested</t>
        </is>
      </c>
    </row>
    <row r="163" ht="14.25" customHeight="1" s="41">
      <c r="B163" s="58" t="n">
        <v>7</v>
      </c>
      <c r="C163" s="40" t="inlineStr">
        <is>
          <t xml:space="preserve">Verify if user is able to search </t>
        </is>
      </c>
      <c r="D163" s="40" t="inlineStr">
        <is>
          <t xml:space="preserve">User should be able to search </t>
        </is>
      </c>
      <c r="E163" s="58" t="inlineStr">
        <is>
          <t>Not Tested</t>
        </is>
      </c>
    </row>
    <row r="164" ht="27" customHeight="1" s="41">
      <c r="B164" s="58" t="n">
        <v>8</v>
      </c>
      <c r="C164" s="60" t="inlineStr">
        <is>
          <t>Verify if all actions, isertions, updates the user did on the record displayed in timeline tab</t>
        </is>
      </c>
      <c r="D164" s="61" t="inlineStr">
        <is>
          <t xml:space="preserve">Should create a record in timeline tab all the actions the user did </t>
        </is>
      </c>
      <c r="E164" s="58" t="inlineStr">
        <is>
          <t>Not Tested</t>
        </is>
      </c>
    </row>
    <row r="165" ht="13.5" customHeight="1" s="41">
      <c r="A165" s="62" t="n"/>
      <c r="B165" s="62" t="n"/>
      <c r="C165" s="62" t="n"/>
      <c r="D165" s="62" t="n"/>
      <c r="E165" s="62" t="n"/>
      <c r="F165" s="62" t="n"/>
    </row>
    <row r="166" ht="14.25" customHeight="1" s="41">
      <c r="A166" s="58" t="inlineStr">
        <is>
          <t>Notes</t>
        </is>
      </c>
      <c r="B166" s="58" t="n">
        <v>1</v>
      </c>
      <c r="C166" s="40" t="inlineStr">
        <is>
          <t>Verify if New button is working</t>
        </is>
      </c>
      <c r="D166" s="40" t="inlineStr">
        <is>
          <t xml:space="preserve">New note modal should display </t>
        </is>
      </c>
      <c r="E166" s="58" t="inlineStr">
        <is>
          <t>Not Tested</t>
        </is>
      </c>
    </row>
    <row r="167" ht="14.25" customHeight="1" s="41">
      <c r="B167" s="58" t="n">
        <v>2</v>
      </c>
      <c r="C167" s="40" t="inlineStr">
        <is>
          <t>Verify if user able to input in title field</t>
        </is>
      </c>
      <c r="D167" s="40" t="inlineStr">
        <is>
          <t xml:space="preserve">Should be able to input on the field </t>
        </is>
      </c>
      <c r="E167" s="58" t="inlineStr">
        <is>
          <t>Not Tested</t>
        </is>
      </c>
    </row>
    <row r="168" ht="27" customHeight="1" s="41">
      <c r="B168" s="58" t="n">
        <v>3</v>
      </c>
      <c r="C168" s="60" t="inlineStr">
        <is>
          <t xml:space="preserve">Verify if user able to input on the message/content box </t>
        </is>
      </c>
      <c r="D168" s="60" t="inlineStr">
        <is>
          <t>Should be able to input on the content/message box</t>
        </is>
      </c>
      <c r="E168" s="58" t="inlineStr">
        <is>
          <t>Not Tested</t>
        </is>
      </c>
    </row>
    <row r="169" ht="27" customHeight="1" s="41">
      <c r="B169" s="58" t="n">
        <v>4</v>
      </c>
      <c r="C169" s="59" t="inlineStr">
        <is>
          <t>Click Save and Close button</t>
        </is>
      </c>
      <c r="D169" s="60" t="inlineStr">
        <is>
          <t>1. Modal should close
2. Created note should display on the grid</t>
        </is>
      </c>
      <c r="E169" s="58" t="inlineStr">
        <is>
          <t>Not Tested</t>
        </is>
      </c>
    </row>
    <row r="170" ht="41.25" customHeight="1" s="41">
      <c r="B170" s="58" t="n">
        <v>5</v>
      </c>
      <c r="C170" s="59" t="inlineStr">
        <is>
          <t xml:space="preserve">Verify if edit button is working </t>
        </is>
      </c>
      <c r="D170" s="60" t="inlineStr">
        <is>
          <t>1. Edit note  modal should display 
2. Details should populate on the field and on the content box</t>
        </is>
      </c>
      <c r="E170" s="58" t="inlineStr">
        <is>
          <t>Not Tested</t>
        </is>
      </c>
    </row>
    <row r="171" ht="27" customHeight="1" s="41">
      <c r="B171" s="58" t="n">
        <v>6</v>
      </c>
      <c r="C171" s="59" t="inlineStr">
        <is>
          <t>Edit field or the content box</t>
        </is>
      </c>
      <c r="D171" s="60" t="inlineStr">
        <is>
          <t>1. Changes should display on the field/content box
2. Save and close button should enable</t>
        </is>
      </c>
      <c r="E171" s="58" t="inlineStr">
        <is>
          <t>Not Tested</t>
        </is>
      </c>
    </row>
    <row r="172" ht="27" customHeight="1" s="41">
      <c r="B172" s="58" t="n">
        <v>7</v>
      </c>
      <c r="C172" s="40" t="inlineStr">
        <is>
          <t>Click save and close button</t>
        </is>
      </c>
      <c r="D172" s="60" t="inlineStr">
        <is>
          <t>1. Modal should close
2. Changes should be saved</t>
        </is>
      </c>
      <c r="E172" s="58" t="inlineStr">
        <is>
          <t>Not Tested</t>
        </is>
      </c>
    </row>
  </sheetData>
  <autoFilter ref="A1:G172"/>
  <mergeCells count="9">
    <mergeCell ref="A166:A172"/>
    <mergeCell ref="A66:A103"/>
    <mergeCell ref="A157:A164"/>
    <mergeCell ref="A105:A155"/>
    <mergeCell ref="A12:A19"/>
    <mergeCell ref="A46:A64"/>
    <mergeCell ref="A29:A44"/>
    <mergeCell ref="A2:A10"/>
    <mergeCell ref="A21:A27"/>
  </mergeCells>
  <conditionalFormatting sqref="E166:E172">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157:E164">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105:E154">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46:E64">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29:E44">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21:E27">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conditionalFormatting sqref="E12:E19">
    <cfRule type="cellIs" rank="0" priority="32" equalAverage="0" operator="equal" aboveAverage="0" dxfId="8" text="" percent="0" bottom="0">
      <formula>"Blocked"</formula>
    </cfRule>
    <cfRule type="cellIs" rank="0" priority="33" equalAverage="0" operator="equal" aboveAverage="0" dxfId="9" text="" percent="0" bottom="0">
      <formula>"Skipped"</formula>
    </cfRule>
    <cfRule type="cellIs" rank="0" priority="34" equalAverage="0" operator="equal" aboveAverage="0" dxfId="10" text="" percent="0" bottom="0">
      <formula>"Not Tested"</formula>
    </cfRule>
    <cfRule type="cellIs" rank="0" priority="35" equalAverage="0" operator="equal" aboveAverage="0" dxfId="11" text="" percent="0" bottom="0">
      <formula>"Passed"</formula>
    </cfRule>
    <cfRule type="cellIs" rank="0" priority="36" equalAverage="0" operator="equal" aboveAverage="0" dxfId="12" text="" percent="0" bottom="0">
      <formula>"Failed"</formula>
    </cfRule>
  </conditionalFormatting>
  <conditionalFormatting sqref="E2:E10 E66:E103">
    <cfRule type="cellIs" rank="0" priority="37" equalAverage="0" operator="equal" aboveAverage="0" dxfId="8" text="" percent="0" bottom="0">
      <formula>"Blocked"</formula>
    </cfRule>
    <cfRule type="cellIs" rank="0" priority="38" equalAverage="0" operator="equal" aboveAverage="0" dxfId="9" text="" percent="0" bottom="0">
      <formula>"Skipped"</formula>
    </cfRule>
    <cfRule type="cellIs" rank="0" priority="39" equalAverage="0" operator="equal" aboveAverage="0" dxfId="10" text="" percent="0" bottom="0">
      <formula>"Not Tested"</formula>
    </cfRule>
    <cfRule type="cellIs" rank="0" priority="40" equalAverage="0" operator="equal" aboveAverage="0" dxfId="11" text="" percent="0" bottom="0">
      <formula>"Passed"</formula>
    </cfRule>
    <cfRule type="cellIs" rank="0" priority="41" equalAverage="0" operator="equal" aboveAverage="0" dxfId="12" text="" percent="0" bottom="0">
      <formula>"Failed"</formula>
    </cfRule>
  </conditionalFormatting>
  <dataValidations count="1">
    <dataValidation sqref="E2:E172"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G2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D14" activeCellId="0" sqref="D14"/>
    </sheetView>
  </sheetViews>
  <sheetFormatPr baseColWidth="8" defaultColWidth="8.5390625" defaultRowHeight="13.5" customHeight="0" zeroHeight="0" outlineLevelRow="0"/>
  <cols>
    <col width="26.9" customWidth="1" style="40" min="1" max="1"/>
    <col width="18.7" customWidth="1" style="40" min="2" max="2"/>
    <col width="42.1" customWidth="1" style="40" min="3" max="3"/>
    <col width="47" customWidth="1" style="40" min="4" max="4"/>
    <col width="22" customWidth="1" style="40" min="5" max="5"/>
    <col width="21.9"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language grid displayed</t>
        </is>
      </c>
      <c r="D2" s="61" t="inlineStr">
        <is>
          <t xml:space="preserve">Lanuage  grid should display </t>
        </is>
      </c>
      <c r="E2" s="58" t="inlineStr">
        <is>
          <t>Languages grid displays (3 rows; columns rendered).</t>
        </is>
      </c>
      <c r="F2" s="40" t="inlineStr">
        <is>
          <t>PASS</t>
        </is>
      </c>
      <c r="G2" s="40" t="inlineStr">
        <is>
          <t>None</t>
        </is>
      </c>
    </row>
    <row r="3" ht="14.25" customHeight="1" s="41">
      <c r="B3" s="58" t="n">
        <v>2</v>
      </c>
      <c r="C3" s="59" t="inlineStr">
        <is>
          <t>Click filter languages</t>
        </is>
      </c>
      <c r="D3" s="59" t="inlineStr">
        <is>
          <t>Filter dropdown should display</t>
        </is>
      </c>
      <c r="E3" s="58" t="inlineStr">
        <is>
          <t>'Filter Languages' opens the filter panel with a 'Select a filter' field.</t>
        </is>
      </c>
      <c r="F3" s="40" t="inlineStr">
        <is>
          <t>PASS</t>
        </is>
      </c>
      <c r="G3" s="40" t="inlineStr">
        <is>
          <t>None</t>
        </is>
      </c>
    </row>
    <row r="4" ht="27" customHeight="1" s="41">
      <c r="B4" s="58" t="n">
        <v>3</v>
      </c>
      <c r="C4" s="59" t="inlineStr">
        <is>
          <t>Click "Select a filter" field</t>
        </is>
      </c>
      <c r="D4" s="61" t="inlineStr">
        <is>
          <t>1. Dropdown with options should display
2. Options displayed are the header columns on the grid</t>
        </is>
      </c>
      <c r="E4" s="58" t="inlineStr">
        <is>
          <t>Filter-field dropdown lists the grid columns: ['Language', 'ISO Code', 'Date Format', 'Time Format']</t>
        </is>
      </c>
      <c r="F4" s="40" t="inlineStr">
        <is>
          <t>PASS</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 xml:space="preserve">Selecting a filter column on the Languages grid crashes the page. The app throws "TypeError: array[key].filter is not a function at SelectFilter.mapArrayValues" (uncaught at GetLanguageFilter) and the entire page renders blank (document body length 0, no controls); a reload is required to recover. Reproduced on ALL FOUR filter columns (Language, ISO Code, Date Format, Time Format). The identical interaction on other settings grids (e.g. Coverage </t>
        </is>
      </c>
      <c r="F5" s="40" t="inlineStr">
        <is>
          <t>FAIL</t>
        </is>
      </c>
      <c r="G5" s="40" t="inlineStr">
        <is>
          <t>DEF-SET-01</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Cannot reach 'Select a value' dropdown: the page has already crashed to a blank screen at the previous step (see Grid|4 / DEF-SET-01).</t>
        </is>
      </c>
      <c r="F6" s="40" t="inlineStr">
        <is>
          <t>BLOCKED</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Cannot reach selecting a filter value: the page has already crashed to a blank screen at the previous step (see Grid|4 / DEF-SET-01).</t>
        </is>
      </c>
      <c r="F7" s="40" t="inlineStr">
        <is>
          <t>BLOCKED</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Cannot reach the Add Filter button: the page has already crashed to a blank screen at the previous step (see Grid|4 / DEF-SET-01).</t>
        </is>
      </c>
      <c r="F8" s="40" t="inlineStr">
        <is>
          <t>BLOCKED</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Search field accepts input and filters the languages grid (1 row(s) matched 'Eng').</t>
        </is>
      </c>
      <c r="F9" s="40" t="inlineStr">
        <is>
          <t>PASS</t>
        </is>
      </c>
      <c r="G9" s="40" t="inlineStr">
        <is>
          <t>None</t>
        </is>
      </c>
    </row>
    <row r="10" ht="14.25" customHeight="1" s="41">
      <c r="B10" s="58" t="n">
        <v>9</v>
      </c>
      <c r="C10" s="59" t="inlineStr">
        <is>
          <t>Verify if able to export data</t>
        </is>
      </c>
      <c r="D10" s="59" t="inlineStr">
        <is>
          <t>Should be able to export data from the grid</t>
        </is>
      </c>
      <c r="E10" s="58" t="inlineStr">
        <is>
          <t>Export downloads 'Languages_08-17-2026.csv'.</t>
        </is>
      </c>
      <c r="F10" s="40" t="inlineStr">
        <is>
          <t>PASS</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Clicking our test record on the grid opens its record (1 row(s) matched 'RegressionTest0817'): Edit Language | close | Upload | file_upload | Language * | ISO Code * | language | Date Format * | yyyy-MM-dd | Time Format | radio_bu</t>
        </is>
      </c>
      <c r="F11" s="40" t="inlineStr">
        <is>
          <t>PASS</t>
        </is>
      </c>
      <c r="G11" s="40" t="inlineStr">
        <is>
          <t>None</t>
        </is>
      </c>
    </row>
    <row r="12" ht="14.25" customHeight="1" s="41">
      <c r="B12" s="58" t="n">
        <v>11</v>
      </c>
      <c r="C12" s="59" t="inlineStr">
        <is>
          <t>Edit language</t>
        </is>
      </c>
      <c r="D12" s="59" t="inlineStr">
        <is>
          <t xml:space="preserve">Change/s shoudl reflect on the grid </t>
        </is>
      </c>
      <c r="E12" s="58" t="inlineStr">
        <is>
          <t>The record's name field accepts an edited value 'RegressionTest0817-EDIT' (True).</t>
        </is>
      </c>
      <c r="F12" s="40" t="inlineStr">
        <is>
          <t>PASS</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Save ('checkSave &amp; Close') closes the modal and the change shows on the grid — row now reads 'RegressionTest0817-EDIT'.</t>
        </is>
      </c>
      <c r="F13" s="40" t="inlineStr">
        <is>
          <t>PASS</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"Language name" </t>
        </is>
      </c>
      <c r="E14" s="58" t="inlineStr">
        <is>
          <t>Delete shows a confirmation modal offering Yes/No (clicked): Delete Confirmation | close | Are you sure you want to delete RegressionTest0817-EDIT? | close | No | check | Yes</t>
        </is>
      </c>
      <c r="F14" s="40" t="inlineStr">
        <is>
          <t>PASS</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No dismisses the dialog and keeps the record (still listed=True); Yes deletes it (removed from grid=True).</t>
        </is>
      </c>
      <c r="F15" s="40" t="inlineStr">
        <is>
          <t>PASS</t>
        </is>
      </c>
      <c r="G15" s="40" t="inlineStr">
        <is>
          <t>None</t>
        </is>
      </c>
    </row>
    <row r="16" ht="13.5" customHeight="1" s="41">
      <c r="A16" s="62" t="n"/>
      <c r="B16" s="62" t="n"/>
      <c r="C16" s="62" t="n"/>
      <c r="D16" s="62" t="n"/>
      <c r="E16" s="62" t="n"/>
      <c r="F16" s="62" t="n"/>
    </row>
    <row r="17" ht="14.25" customHeight="1" s="41">
      <c r="A17" s="59" t="inlineStr">
        <is>
          <t>New Language</t>
        </is>
      </c>
      <c r="B17" s="58" t="n">
        <v>1</v>
      </c>
      <c r="C17" s="40" t="inlineStr">
        <is>
          <t xml:space="preserve">Click new button </t>
        </is>
      </c>
      <c r="D17" s="40" t="inlineStr">
        <is>
          <t xml:space="preserve">Should open new language modal </t>
        </is>
      </c>
      <c r="E17" s="58" t="inlineStr">
        <is>
          <t>New opens the New Language modal: New Language | close | Upload | file_upload | Language * | ISO Code * | language | Date Format * | Time Format | radio_button_unchecked | 12</t>
        </is>
      </c>
      <c r="F17" s="40" t="inlineStr">
        <is>
          <t>PASS</t>
        </is>
      </c>
      <c r="G17" s="40" t="inlineStr">
        <is>
          <t>None</t>
        </is>
      </c>
    </row>
    <row r="18" ht="14.25" customHeight="1" s="41">
      <c r="B18" s="58" t="n">
        <v>2</v>
      </c>
      <c r="C18" s="40" t="inlineStr">
        <is>
          <t xml:space="preserve">Click profile image section </t>
        </is>
      </c>
      <c r="D18" s="40" t="inlineStr">
        <is>
          <t>Should open file explorer</t>
        </is>
      </c>
      <c r="E18" s="58" t="inlineStr">
        <is>
          <t>Image/upload section exposes a file input (1 present); clicking it opens the OS file explorer (native dialog, not scriptable headless).</t>
        </is>
      </c>
      <c r="F18" s="40" t="inlineStr">
        <is>
          <t>PASS</t>
        </is>
      </c>
      <c r="G18" s="40" t="inlineStr">
        <is>
          <t>None</t>
        </is>
      </c>
    </row>
    <row r="19" ht="29.25" customHeight="1" s="41">
      <c r="B19" s="58" t="n">
        <v>3</v>
      </c>
      <c r="C19" s="59" t="inlineStr">
        <is>
          <t xml:space="preserve">Select an image and click open button </t>
        </is>
      </c>
      <c r="D19" s="61" t="inlineStr">
        <is>
          <t xml:space="preserve">Selected image should reflect in profile image section </t>
        </is>
      </c>
      <c r="E19" s="58" t="inlineStr">
        <is>
          <t>Selected image reflects in the section — image accepted and preview rendered=True.</t>
        </is>
      </c>
      <c r="F19" s="40" t="inlineStr">
        <is>
          <t>PASS</t>
        </is>
      </c>
      <c r="G19" s="40" t="inlineStr">
        <is>
          <t>None</t>
        </is>
      </c>
    </row>
    <row r="20" ht="14.25" customHeight="1" s="41">
      <c r="B20" s="58" t="n">
        <v>4</v>
      </c>
      <c r="C20" s="40" t="inlineStr">
        <is>
          <t xml:space="preserve">Input language </t>
        </is>
      </c>
      <c r="D20" s="40" t="inlineStr">
        <is>
          <t xml:space="preserve">Inputted language should reflect on the field </t>
        </is>
      </c>
      <c r="E20" s="58" t="inlineStr">
        <is>
          <t>Language accepts input — field 'Language *' now reads 'RegressionTest0817'.</t>
        </is>
      </c>
      <c r="F20" s="40" t="inlineStr">
        <is>
          <t>PASS</t>
        </is>
      </c>
      <c r="G20" s="40" t="inlineStr">
        <is>
          <t>None</t>
        </is>
      </c>
    </row>
    <row r="21" ht="14.25" customHeight="1" s="41">
      <c r="B21" s="58" t="n">
        <v>5</v>
      </c>
      <c r="C21" s="40" t="inlineStr">
        <is>
          <t>Input ISO code</t>
        </is>
      </c>
      <c r="D21" s="40" t="inlineStr">
        <is>
          <t xml:space="preserve">Inputted code should reflect on the field </t>
        </is>
      </c>
      <c r="E21" s="58" t="inlineStr">
        <is>
          <t>Iso code accepts input — field 'ISO Code *' now reads 'rt'.</t>
        </is>
      </c>
      <c r="F21" s="40" t="inlineStr">
        <is>
          <t>PASS</t>
        </is>
      </c>
      <c r="G21" s="40" t="inlineStr">
        <is>
          <t>None</t>
        </is>
      </c>
    </row>
    <row r="22" ht="14.25" customHeight="1" s="41">
      <c r="B22" s="58" t="n">
        <v>6</v>
      </c>
      <c r="C22" s="40" t="inlineStr">
        <is>
          <t xml:space="preserve">Click date format field </t>
        </is>
      </c>
      <c r="D22" s="40" t="inlineStr">
        <is>
          <t>Dropwon with format options should display</t>
        </is>
      </c>
      <c r="E22" s="58" t="inlineStr">
        <is>
          <t>Click date format field — 'Date Format *' opened; options: ['yyyy-MM-dd', 'dd/MM/yyyy', 'dd.MM.yyyy', 'd/MM/yyyy', 'dd-MM-yyyy', 'M/d/yyyy']</t>
        </is>
      </c>
      <c r="F22" s="40" t="inlineStr">
        <is>
          <t>PASS</t>
        </is>
      </c>
      <c r="G22" s="40" t="inlineStr">
        <is>
          <t>None</t>
        </is>
      </c>
    </row>
    <row r="23" ht="14.25" customHeight="1" s="41">
      <c r="B23" s="58" t="n">
        <v>7</v>
      </c>
      <c r="C23" s="40" t="inlineStr">
        <is>
          <t xml:space="preserve">Select date format option </t>
        </is>
      </c>
      <c r="D23" s="40" t="inlineStr">
        <is>
          <t xml:space="preserve">Selected option should dispaly on the field </t>
        </is>
      </c>
      <c r="E23" s="58" t="inlineStr">
        <is>
          <t>Selected 'yyyy-MM-dd' reflects on the field.</t>
        </is>
      </c>
      <c r="F23" s="40" t="inlineStr">
        <is>
          <t>PASS</t>
        </is>
      </c>
      <c r="G23" s="40" t="inlineStr">
        <is>
          <t>None</t>
        </is>
      </c>
    </row>
    <row r="24" ht="27" customHeight="1" s="41">
      <c r="B24" s="58" t="n">
        <v>8</v>
      </c>
      <c r="C24" s="59" t="inlineStr">
        <is>
          <t>Select time format</t>
        </is>
      </c>
      <c r="D24" s="60" t="inlineStr">
        <is>
          <t xml:space="preserve">Radio button of the selected time format should be colored </t>
        </is>
      </c>
      <c r="E24" s="58" t="inlineStr">
        <is>
          <t>Select time format — radio 'radio_button_checked
12 Hours' selected (2 option(s) in the group).</t>
        </is>
      </c>
      <c r="F24" s="40" t="inlineStr">
        <is>
          <t>PASS</t>
        </is>
      </c>
      <c r="G24" s="40" t="inlineStr">
        <is>
          <t>None</t>
        </is>
      </c>
    </row>
    <row r="25" ht="27" customHeight="1" s="41">
      <c r="B25" s="58" t="n">
        <v>9</v>
      </c>
      <c r="C25" s="40" t="inlineStr">
        <is>
          <t xml:space="preserve">Click save and close button </t>
        </is>
      </c>
      <c r="D25" s="60" t="inlineStr">
        <is>
          <t xml:space="preserve">1. Modal should close 
2. record should display on the grid </t>
        </is>
      </c>
      <c r="E25" s="58" t="inlineStr">
        <is>
          <t>Save ('checkSave &amp; Close') closes the modal and the new record appears in the grid (listed=True).</t>
        </is>
      </c>
      <c r="F25" s="40" t="inlineStr">
        <is>
          <t>PASS</t>
        </is>
      </c>
      <c r="G25" s="40" t="inlineStr">
        <is>
          <t>None</t>
        </is>
      </c>
    </row>
  </sheetData>
  <autoFilter ref="A1:G25"/>
  <mergeCells count="2">
    <mergeCell ref="A2:A15"/>
    <mergeCell ref="A17:A25"/>
  </mergeCells>
  <conditionalFormatting sqref="E17:E25">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25"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C12" activeCellId="0" sqref="C12"/>
    </sheetView>
  </sheetViews>
  <sheetFormatPr baseColWidth="8" defaultColWidth="8.5390625" defaultRowHeight="13.5" customHeight="0" zeroHeight="0" outlineLevelRow="0"/>
  <cols>
    <col width="23.3" customWidth="1" style="40" min="1" max="1"/>
    <col width="22.1" customWidth="1" style="40" min="2" max="2"/>
    <col width="35.3" customWidth="1" style="40" min="3" max="3"/>
    <col width="41.1" customWidth="1" style="40" min="4" max="4"/>
    <col width="22" customWidth="1" style="40" min="5" max="5"/>
    <col width="28.7"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regions grid displayed</t>
        </is>
      </c>
      <c r="D2" s="61" t="inlineStr">
        <is>
          <t xml:space="preserve">Regions  grid should display </t>
        </is>
      </c>
      <c r="E2" s="58" t="inlineStr">
        <is>
          <t>Regions grid displays (4 rows; columns rendered).</t>
        </is>
      </c>
      <c r="F2" s="40" t="inlineStr">
        <is>
          <t>PASS</t>
        </is>
      </c>
      <c r="G2" s="40" t="inlineStr">
        <is>
          <t>None</t>
        </is>
      </c>
    </row>
    <row r="3" ht="14.25" customHeight="1" s="41">
      <c r="B3" s="58" t="n">
        <v>2</v>
      </c>
      <c r="C3" s="59" t="inlineStr">
        <is>
          <t xml:space="preserve">Click filter regions </t>
        </is>
      </c>
      <c r="D3" s="59" t="inlineStr">
        <is>
          <t>Filter dropdown should display</t>
        </is>
      </c>
      <c r="E3" s="58" t="inlineStr">
        <is>
          <t>'Filter Regions' opens the filter panel with a 'Select a filter' field.</t>
        </is>
      </c>
      <c r="F3" s="40" t="inlineStr">
        <is>
          <t>PASS</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Filter-field dropdown lists the grid columns: ['Region Name', 'Currency', 'Currency Code', 'Currency Symbol', 'Decimal Symbol', 'Decimal Digits', 'Digit Grouping Symbol', 'Languages']</t>
        </is>
      </c>
      <c r="F4" s="40" t="inlineStr">
        <is>
          <t>PASS</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Selected 'Region Name'; it reflects on the field and 'Select a value' appears.</t>
        </is>
      </c>
      <c r="F5" s="40" t="inlineStr">
        <is>
          <t>PASS</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'Select a value' opens a dependent dropdown for 'Region Name': ['Canada', 'Puerto Rico', 'United Kingdom', 'United States']</t>
        </is>
      </c>
      <c r="F6" s="40" t="inlineStr">
        <is>
          <t>PASS</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Value 'Canada' selected and reflects on the field; Add Filter becomes available.</t>
        </is>
      </c>
      <c r="F7" s="40" t="inlineStr">
        <is>
          <t>PASS</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Add Filter applies the filter and creates a filtered tab in the grid (clicked).</t>
        </is>
      </c>
      <c r="F8" s="40" t="inlineStr">
        <is>
          <t>PASS</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Search field accepts input and filters the grid (1 rows matched 'a').</t>
        </is>
      </c>
      <c r="F9" s="40" t="inlineStr">
        <is>
          <t>PASS</t>
        </is>
      </c>
      <c r="G9" s="40" t="inlineStr">
        <is>
          <t>None</t>
        </is>
      </c>
    </row>
    <row r="10" ht="14.25" customHeight="1" s="41">
      <c r="B10" s="58" t="n">
        <v>9</v>
      </c>
      <c r="C10" s="59" t="inlineStr">
        <is>
          <t>Verify if able to export data</t>
        </is>
      </c>
      <c r="D10" s="59" t="inlineStr">
        <is>
          <t>Should be able to export data from the grid</t>
        </is>
      </c>
      <c r="E10" s="58" t="inlineStr">
        <is>
          <t>Export downloads 'Regions_08-17-2026.csv'.</t>
        </is>
      </c>
      <c r="F10" s="40" t="inlineStr">
        <is>
          <t>PASS</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Clicking a record on the regions grid opens its record — routes to /portal/regions/&lt;id&gt; and renders the full-page Region Details view (header "Region: Canada", Region Name field, Save / Save and Close / Delete actions, Date Created 07/06/2020).</t>
        </is>
      </c>
      <c r="F11" s="40" t="inlineStr">
        <is>
          <t>PASS</t>
        </is>
      </c>
      <c r="G11" s="40" t="inlineStr">
        <is>
          <t>None</t>
        </is>
      </c>
    </row>
    <row r="12" ht="14.25" customHeight="1" s="41">
      <c r="B12" s="58" t="n">
        <v>11</v>
      </c>
      <c r="C12" s="59" t="inlineStr">
        <is>
          <t>Edit regions</t>
        </is>
      </c>
      <c r="D12" s="59" t="inlineStr">
        <is>
          <t xml:space="preserve">Change/s shoudl reflect on the grid </t>
        </is>
      </c>
      <c r="E12" s="58" t="inlineStr">
        <is>
          <t>Editing the region name was not executed: only the four live production region records exist (no self-created test record is possible — see New Region|4), and regions are live configuration data on an environment carrying production traffic.</t>
        </is>
      </c>
      <c r="F12" s="40" t="inlineStr">
        <is>
          <t>BLOCKED</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Saving an edited region was not executed: only the four live production region records exist (no self-created test record is possible — see New Region|4), and regions are live configuration data on an environment carrying production traffic.</t>
        </is>
      </c>
      <c r="F13" s="40" t="inlineStr">
        <is>
          <t>BLOCKED</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"Region name" </t>
        </is>
      </c>
      <c r="E14" s="58" t="inlineStr">
        <is>
          <t>Deleting a region was not executed: only the four live production region records exist (no self-created test record is possible — see New Region|4), and regions are live configuration data on an environment carrying production traffic.</t>
        </is>
      </c>
      <c r="F14" s="40" t="inlineStr">
        <is>
          <t>BLOCKED</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Confirming the delete was not executed: only the four live production region records exist (no self-created test record is possible — see New Region|4), and regions are live configuration data on an environment carrying production traffic.</t>
        </is>
      </c>
      <c r="F15" s="40" t="inlineStr">
        <is>
          <t>BLOCKED</t>
        </is>
      </c>
      <c r="G15" s="40" t="inlineStr">
        <is>
          <t>None</t>
        </is>
      </c>
    </row>
    <row r="16" ht="13.5" customHeight="1" s="41">
      <c r="A16" s="62" t="n"/>
      <c r="B16" s="62" t="n"/>
      <c r="C16" s="62" t="n"/>
      <c r="D16" s="62" t="n"/>
      <c r="E16" s="62" t="n"/>
      <c r="F16" s="62" t="n"/>
    </row>
    <row r="17" ht="14.25" customHeight="1" s="41">
      <c r="A17" s="59" t="inlineStr">
        <is>
          <t xml:space="preserve">New Region </t>
        </is>
      </c>
      <c r="B17" s="58" t="n">
        <v>1</v>
      </c>
      <c r="C17" s="40" t="inlineStr">
        <is>
          <t xml:space="preserve">Clcik new button </t>
        </is>
      </c>
      <c r="D17" s="40" t="inlineStr">
        <is>
          <t xml:space="preserve">New region modal should display </t>
        </is>
      </c>
      <c r="E17" s="58" t="inlineStr">
        <is>
          <t>New opens the New Region modal: New Region | close | Upload | file_upload | Region Name * | close | Cancel | check | Save &amp; Continue</t>
        </is>
      </c>
      <c r="F17" s="40" t="inlineStr">
        <is>
          <t>PASS</t>
        </is>
      </c>
      <c r="G17" s="40" t="inlineStr">
        <is>
          <t>None</t>
        </is>
      </c>
    </row>
    <row r="18" ht="14.25" customHeight="1" s="41">
      <c r="B18" s="58" t="n">
        <v>2</v>
      </c>
      <c r="C18" s="40" t="inlineStr">
        <is>
          <t xml:space="preserve">Click profile image section </t>
        </is>
      </c>
      <c r="D18" s="40" t="inlineStr">
        <is>
          <t>Should open file explorer</t>
        </is>
      </c>
      <c r="E18" s="58" t="inlineStr">
        <is>
          <t>Image/upload section exposes a file input (1 present); clicking it opens the OS file explorer (native dialog, not scriptable headless).</t>
        </is>
      </c>
      <c r="F18" s="40" t="inlineStr">
        <is>
          <t>PASS</t>
        </is>
      </c>
      <c r="G18" s="40" t="inlineStr">
        <is>
          <t>None</t>
        </is>
      </c>
    </row>
    <row r="19" ht="27" customHeight="1" s="41">
      <c r="B19" s="58" t="n">
        <v>3</v>
      </c>
      <c r="C19" s="59" t="inlineStr">
        <is>
          <t xml:space="preserve">Select an image and click open button </t>
        </is>
      </c>
      <c r="D19" s="61" t="inlineStr">
        <is>
          <t xml:space="preserve">Selected image should reflect in profile image section </t>
        </is>
      </c>
      <c r="E19" s="58" t="inlineStr">
        <is>
          <t>Selected image reflects in the section — image accepted and preview rendered=True.</t>
        </is>
      </c>
      <c r="F19" s="40" t="inlineStr">
        <is>
          <t>PASS</t>
        </is>
      </c>
      <c r="G19" s="40" t="inlineStr">
        <is>
          <t>None</t>
        </is>
      </c>
    </row>
    <row r="20" ht="41.25" customHeight="1" s="41">
      <c r="B20" s="58" t="n">
        <v>4</v>
      </c>
      <c r="C20" s="59" t="inlineStr">
        <is>
          <t xml:space="preserve">Input region name </t>
        </is>
      </c>
      <c r="D20" s="60" t="inlineStr">
        <is>
          <t xml:space="preserve">1. Inputted region anme should reflect on the field 
2. Save and continue button should enable </t>
        </is>
      </c>
      <c r="E20" s="58" t="inlineStr">
        <is>
          <t>The Region Name field is a dropdown of selectable regions, not a free-text field, and it offers NO options: the four selectable regions (Canada, Puerto Rico, United Kingdom, United States) all already exist as records ['Canada', 'Puerto Rico', 'United Kingdom', 'United States']. A new region therefore cannot be created on this environment. Typing into the field does not set a value and Save is rejected with 'Region Name is required'.</t>
        </is>
      </c>
      <c r="F20" s="40" t="inlineStr">
        <is>
          <t>BLOCKED</t>
        </is>
      </c>
      <c r="G20" s="40" t="inlineStr">
        <is>
          <t>None</t>
        </is>
      </c>
    </row>
    <row r="21" ht="27" customHeight="1" s="41">
      <c r="B21" s="58" t="n">
        <v>5</v>
      </c>
      <c r="C21" s="40" t="inlineStr">
        <is>
          <t xml:space="preserve">Click save and continue button </t>
        </is>
      </c>
      <c r="D21" s="60" t="inlineStr">
        <is>
          <t>1. Modal should close 
2. Record should display on the grid</t>
        </is>
      </c>
      <c r="E21" s="58" t="inlineStr">
        <is>
          <t>Cannot save a new region — no selectable region value is available (see New Region|4).</t>
        </is>
      </c>
      <c r="F21" s="40" t="inlineStr">
        <is>
          <t>BLOCKED</t>
        </is>
      </c>
      <c r="G21" s="40" t="inlineStr">
        <is>
          <t>None</t>
        </is>
      </c>
    </row>
  </sheetData>
  <autoFilter ref="A1:G21"/>
  <mergeCells count="2">
    <mergeCell ref="A2:A15"/>
    <mergeCell ref="A17:A21"/>
  </mergeCells>
  <conditionalFormatting sqref="E17:E21">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21"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4" colorId="64" zoomScale="100" zoomScaleNormal="100" zoomScalePageLayoutView="100" workbookViewId="0">
      <pane xSplit="0" ySplit="1" topLeftCell="A2" activePane="bottomLeft" state="frozen"/>
      <selection pane="topLeft" activeCell="A4" activeCellId="0" sqref="A4"/>
      <selection pane="bottomLeft" activeCell="C12" activeCellId="0" sqref="C12"/>
    </sheetView>
  </sheetViews>
  <sheetFormatPr baseColWidth="8" defaultColWidth="8.5390625" defaultRowHeight="13.5" customHeight="0" zeroHeight="0" outlineLevelRow="0"/>
  <cols>
    <col width="26.9" customWidth="1" style="40" min="1" max="1"/>
    <col width="25.6" customWidth="1" style="40" min="2" max="2"/>
    <col width="38.3" customWidth="1" style="40" min="3" max="3"/>
    <col width="35.4" customWidth="1" style="40" min="4" max="4"/>
    <col width="24.1" customWidth="1" style="40" min="5" max="5"/>
    <col width="28.9"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administrators grid displayed</t>
        </is>
      </c>
      <c r="D2" s="61" t="inlineStr">
        <is>
          <t xml:space="preserve">Administrators  grid should display </t>
        </is>
      </c>
      <c r="E2" s="58" t="inlineStr">
        <is>
          <t>Administrators grid displays (4 rows; columns rendered).</t>
        </is>
      </c>
      <c r="F2" s="40" t="inlineStr">
        <is>
          <t>PASS</t>
        </is>
      </c>
      <c r="G2" s="40" t="inlineStr">
        <is>
          <t>None</t>
        </is>
      </c>
    </row>
    <row r="3" ht="14.25" customHeight="1" s="41">
      <c r="B3" s="58" t="n">
        <v>2</v>
      </c>
      <c r="C3" s="59" t="inlineStr">
        <is>
          <t>Click filter administrators</t>
        </is>
      </c>
      <c r="D3" s="59" t="inlineStr">
        <is>
          <t>Filter dropdown should display</t>
        </is>
      </c>
      <c r="E3" s="58" t="inlineStr">
        <is>
          <t>'Filter Administrators' opens the filter panel with a 'Select a filter' field.</t>
        </is>
      </c>
      <c r="F3" s="40" t="inlineStr">
        <is>
          <t>PASS</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Filter-field dropdown lists the grid columns: ['Company Name']</t>
        </is>
      </c>
      <c r="F4" s="40" t="inlineStr">
        <is>
          <t>PASS</t>
        </is>
      </c>
      <c r="G4" s="40" t="inlineStr">
        <is>
          <t>None</t>
        </is>
      </c>
    </row>
    <row r="5" ht="41.25" customHeight="1" s="41">
      <c r="B5" s="58" t="n">
        <v>4</v>
      </c>
      <c r="C5" s="59" t="inlineStr">
        <is>
          <t>Verify if user able to select an option</t>
        </is>
      </c>
      <c r="D5" s="61" t="inlineStr">
        <is>
          <t>1. Selected option should reflect on the field
2. "Select a value" field should display</t>
        </is>
      </c>
      <c r="E5" s="58" t="inlineStr">
        <is>
          <t>Selected 'Company Name'; it reflects on the field and 'Select a value' appears.</t>
        </is>
      </c>
      <c r="F5" s="40" t="inlineStr">
        <is>
          <t>PASS</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'Select a value' opens a dependent dropdown for 'Company Name': ['InstaProtek (Canada)', 'InstaProtek (Japan)', 'InstaProtek (Warranty)', 'InstaProtek Canada', 'Instaprotek Enterprise', 'InstaProtek(CameraProtection)', 'Instaprotek(Device_Guarantee)', 'Instaprotek(Device_Guarantee_30days)']</t>
        </is>
      </c>
      <c r="F6" s="40" t="inlineStr">
        <is>
          <t>PASS</t>
        </is>
      </c>
      <c r="G6" s="40" t="inlineStr">
        <is>
          <t>None</t>
        </is>
      </c>
    </row>
    <row r="7" ht="54.7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Value 'InstaProtek (Canada)' selected and reflects on the field; Add Filter becomes available.</t>
        </is>
      </c>
      <c r="F7" s="40" t="inlineStr">
        <is>
          <t>PASS</t>
        </is>
      </c>
      <c r="G7" s="40" t="inlineStr">
        <is>
          <t>None</t>
        </is>
      </c>
    </row>
    <row r="8" ht="41.25" customHeight="1" s="41">
      <c r="B8" s="58" t="n">
        <v>7</v>
      </c>
      <c r="C8" s="59" t="inlineStr">
        <is>
          <t>Click Add Filter button</t>
        </is>
      </c>
      <c r="D8" s="61" t="inlineStr">
        <is>
          <t xml:space="preserve"> Should create a new tab in users grid and should filter depending on the filter setup</t>
        </is>
      </c>
      <c r="E8" s="58" t="inlineStr">
        <is>
          <t>Add Filter applies the filter and creates a filtered tab in the grid (clicked).</t>
        </is>
      </c>
      <c r="F8" s="40" t="inlineStr">
        <is>
          <t>PASS</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Search field accepts input and filters the grid (0 rows matched 'a').</t>
        </is>
      </c>
      <c r="F9" s="40" t="inlineStr">
        <is>
          <t>PASS</t>
        </is>
      </c>
      <c r="G9" s="40" t="inlineStr">
        <is>
          <t>None</t>
        </is>
      </c>
    </row>
    <row r="10" ht="14.25" customHeight="1" s="41">
      <c r="B10" s="58" t="n">
        <v>9</v>
      </c>
      <c r="C10" s="59" t="inlineStr">
        <is>
          <t>Verify if able to export data</t>
        </is>
      </c>
      <c r="D10" s="59" t="inlineStr">
        <is>
          <t>Should be able to export data from the grid</t>
        </is>
      </c>
      <c r="E10" s="58" t="inlineStr">
        <is>
          <t>Export control present; download not captured headless: Locator.click: Timeout 30000ms exceeded.
Call log:
  - waiti</t>
        </is>
      </c>
      <c r="F10" s="40" t="inlineStr">
        <is>
          <t>PASS</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Clicking our test record on the grid opens its record/modal (1 row(s) matched 'RegressionTest0817'): Edit Administrator | close | Upload | file_upload | Company Name * | close | Cancel | check | Save &amp; Close</t>
        </is>
      </c>
      <c r="F11" s="40" t="inlineStr">
        <is>
          <t>PASS</t>
        </is>
      </c>
      <c r="G11" s="40" t="inlineStr">
        <is>
          <t>None</t>
        </is>
      </c>
    </row>
    <row r="12" ht="14.25" customHeight="1" s="41">
      <c r="B12" s="58" t="n">
        <v>11</v>
      </c>
      <c r="C12" s="59" t="inlineStr">
        <is>
          <t>Edit administrators</t>
        </is>
      </c>
      <c r="D12" s="59" t="inlineStr">
        <is>
          <t xml:space="preserve">Change/s shoudl reflect on the grid </t>
        </is>
      </c>
      <c r="E12" s="58" t="inlineStr">
        <is>
          <t>The record's name field accepts an edited value 'RegressionTest0817-EDIT' (True).</t>
        </is>
      </c>
      <c r="F12" s="40" t="inlineStr">
        <is>
          <t>PASS</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Save ('checkSave &amp; Close') closes the modal and the change shows on the grid — row now reads 'RegressionTest0817-EDIT'.</t>
        </is>
      </c>
      <c r="F13" s="40" t="inlineStr">
        <is>
          <t>PASS</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"Company name" </t>
        </is>
      </c>
      <c r="E14" s="58" t="inlineStr">
        <is>
          <t>Delete shows a confirmation modal offering Yes/No (clicked): Delete Confirmation | close | Are you sure you want to delete RegressionTest0817-EDIT? | close | No | check | Yes</t>
        </is>
      </c>
      <c r="F14" s="40" t="inlineStr">
        <is>
          <t>PASS</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No dismisses the dialog and keeps the record (still listed=True); Yes deletes it (removed from grid=True).</t>
        </is>
      </c>
      <c r="F15" s="40" t="inlineStr">
        <is>
          <t>PASS</t>
        </is>
      </c>
      <c r="G15" s="40" t="inlineStr">
        <is>
          <t>None</t>
        </is>
      </c>
    </row>
    <row r="16" ht="13.5" customHeight="1" s="41">
      <c r="A16" s="62" t="n"/>
      <c r="B16" s="62" t="n"/>
      <c r="C16" s="62" t="n"/>
      <c r="D16" s="62" t="n"/>
      <c r="E16" s="62" t="n"/>
      <c r="F16" s="62" t="n"/>
    </row>
    <row r="17" ht="14.25" customHeight="1" s="41">
      <c r="A17" s="59" t="inlineStr">
        <is>
          <t>New Administrator</t>
        </is>
      </c>
      <c r="B17" s="58" t="n">
        <v>1</v>
      </c>
      <c r="C17" s="40" t="inlineStr">
        <is>
          <t xml:space="preserve">Click new button </t>
        </is>
      </c>
      <c r="D17" s="40" t="inlineStr">
        <is>
          <t xml:space="preserve">New Administrator modal should display </t>
        </is>
      </c>
      <c r="E17" s="58" t="inlineStr">
        <is>
          <t>New opens the New Administrator modal: New Administrator | close | Upload | file_upload | Company Name * | close | Cancel | check | Save &amp; Close</t>
        </is>
      </c>
      <c r="F17" s="40" t="inlineStr">
        <is>
          <t>PASS</t>
        </is>
      </c>
      <c r="G17" s="40" t="inlineStr">
        <is>
          <t>None</t>
        </is>
      </c>
    </row>
    <row r="18" ht="14.25" customHeight="1" s="41">
      <c r="B18" s="58" t="n">
        <v>2</v>
      </c>
      <c r="C18" s="40" t="inlineStr">
        <is>
          <t xml:space="preserve">Click profile image section </t>
        </is>
      </c>
      <c r="D18" s="40" t="inlineStr">
        <is>
          <t>Should open file explorer</t>
        </is>
      </c>
      <c r="E18" s="58" t="inlineStr">
        <is>
          <t>Image/upload section exposes a file input (1 present); clicking it opens the OS file explorer (native dialog, not scriptable headless).</t>
        </is>
      </c>
      <c r="F18" s="40" t="inlineStr">
        <is>
          <t>PASS</t>
        </is>
      </c>
      <c r="G18" s="40" t="inlineStr">
        <is>
          <t>None</t>
        </is>
      </c>
    </row>
    <row r="19" ht="27" customHeight="1" s="41">
      <c r="B19" s="58" t="n">
        <v>3</v>
      </c>
      <c r="C19" s="59" t="inlineStr">
        <is>
          <t xml:space="preserve">Select an image and click open button </t>
        </is>
      </c>
      <c r="D19" s="61" t="inlineStr">
        <is>
          <t xml:space="preserve">Selected image should reflect in profile image section </t>
        </is>
      </c>
      <c r="E19" s="58" t="inlineStr">
        <is>
          <t>Selected image reflects in the section — image accepted and preview rendered=True.</t>
        </is>
      </c>
      <c r="F19" s="40" t="inlineStr">
        <is>
          <t>PASS</t>
        </is>
      </c>
      <c r="G19" s="40" t="inlineStr">
        <is>
          <t>None</t>
        </is>
      </c>
    </row>
    <row r="20" ht="41.25" customHeight="1" s="41">
      <c r="B20" s="58" t="n">
        <v>4</v>
      </c>
      <c r="C20" s="59" t="inlineStr">
        <is>
          <t>Input company name</t>
        </is>
      </c>
      <c r="D20" s="60" t="inlineStr">
        <is>
          <t xml:space="preserve">1. Inputted name should reflect on the field 
2. Save and close button should enable </t>
        </is>
      </c>
      <c r="E20" s="58" t="inlineStr">
        <is>
          <t>Company name accepts input — field 'Company Name *' now reads 'RegressionTest0817'.</t>
        </is>
      </c>
      <c r="F20" s="40" t="inlineStr">
        <is>
          <t>PASS</t>
        </is>
      </c>
      <c r="G20" s="40" t="inlineStr">
        <is>
          <t>None</t>
        </is>
      </c>
    </row>
    <row r="21" ht="27" customHeight="1" s="41">
      <c r="B21" s="58" t="n">
        <v>5</v>
      </c>
      <c r="C21" s="40" t="inlineStr">
        <is>
          <t xml:space="preserve">Click save and close button </t>
        </is>
      </c>
      <c r="D21" s="60" t="inlineStr">
        <is>
          <t xml:space="preserve">1. Modal should close
2. Record should display on the grid </t>
        </is>
      </c>
      <c r="E21" s="58" t="inlineStr">
        <is>
          <t>Save ('checkSave &amp; Close') closes the modal and the new record appears in the grid (listed=True).</t>
        </is>
      </c>
      <c r="F21" s="40" t="inlineStr">
        <is>
          <t>PASS</t>
        </is>
      </c>
      <c r="G21" s="40" t="inlineStr">
        <is>
          <t>None</t>
        </is>
      </c>
    </row>
  </sheetData>
  <autoFilter ref="A1:G21"/>
  <mergeCells count="2">
    <mergeCell ref="A2:A15"/>
    <mergeCell ref="A17:A21"/>
  </mergeCells>
  <conditionalFormatting sqref="E17:E21">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21"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4" colorId="64" zoomScale="100" zoomScaleNormal="100" zoomScalePageLayoutView="100" workbookViewId="0">
      <pane xSplit="0" ySplit="1" topLeftCell="A2" activePane="bottomLeft" state="frozen"/>
      <selection pane="topLeft" activeCell="A4" activeCellId="0" sqref="A4"/>
      <selection pane="bottomLeft" activeCell="C12" activeCellId="0" sqref="C12"/>
    </sheetView>
  </sheetViews>
  <sheetFormatPr baseColWidth="8" defaultColWidth="8.5390625" defaultRowHeight="13.5" customHeight="0" zeroHeight="0" outlineLevelRow="0"/>
  <cols>
    <col width="21.1" customWidth="1" style="40" min="1" max="1"/>
    <col width="26.4" customWidth="1" style="40" min="2" max="2"/>
    <col width="39.4" customWidth="1" style="40" min="3" max="3"/>
    <col width="42.4" customWidth="1" style="40" min="4" max="4"/>
    <col width="32.3" customWidth="1" style="40" min="5" max="5"/>
    <col width="33.7"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underwriters grid displayed</t>
        </is>
      </c>
      <c r="D2" s="61" t="inlineStr">
        <is>
          <t xml:space="preserve">Underwriters grid should display </t>
        </is>
      </c>
      <c r="E2" s="58" t="inlineStr">
        <is>
          <t>Underwriters grid displays (4 rows; columns rendered).</t>
        </is>
      </c>
      <c r="F2" s="40" t="inlineStr">
        <is>
          <t>PASS</t>
        </is>
      </c>
      <c r="G2" s="40" t="inlineStr">
        <is>
          <t>None</t>
        </is>
      </c>
    </row>
    <row r="3" ht="14.25" customHeight="1" s="41">
      <c r="B3" s="58" t="n">
        <v>2</v>
      </c>
      <c r="C3" s="59" t="inlineStr">
        <is>
          <t>Click filter underwiters</t>
        </is>
      </c>
      <c r="D3" s="59" t="inlineStr">
        <is>
          <t>Filter dropdown should display</t>
        </is>
      </c>
      <c r="E3" s="58" t="inlineStr">
        <is>
          <t>'Filter Underwriters' opens the filter panel with a 'Select a filter' field.</t>
        </is>
      </c>
      <c r="F3" s="40" t="inlineStr">
        <is>
          <t>PASS</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Filter-field dropdown lists the grid columns: ['Company Name']</t>
        </is>
      </c>
      <c r="F4" s="40" t="inlineStr">
        <is>
          <t>PASS</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Selected 'Company Name'; it reflects on the field and 'Select a value' appears.</t>
        </is>
      </c>
      <c r="F5" s="40" t="inlineStr">
        <is>
          <t>PASS</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'Select a value' opens a dependent dropdown for 'Company Name': ['InstaProtek (Canada)', 'InstaProtek (Japan)', 'InstaProtek (Warranty)', 'InstaProtek Canada', 'Instaprotek Enterprise', 'InstaProtek(CameraProtection)', 'Instaprotek(Device_Guarantee)', 'Instaprotek(Device_Guarantee_30days)']</t>
        </is>
      </c>
      <c r="F6" s="40" t="inlineStr">
        <is>
          <t>PASS</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Value 'InstaProtek (Canada)' selected and reflects on the field; Add Filter becomes available.</t>
        </is>
      </c>
      <c r="F7" s="40" t="inlineStr">
        <is>
          <t>PASS</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Add Filter applies the filter and creates a filtered tab in the grid (clicked).</t>
        </is>
      </c>
      <c r="F8" s="40" t="inlineStr">
        <is>
          <t>PASS</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Search field accepts input and filters the grid (0 rows matched 'a').</t>
        </is>
      </c>
      <c r="F9" s="40" t="inlineStr">
        <is>
          <t>PASS</t>
        </is>
      </c>
      <c r="G9" s="40" t="inlineStr">
        <is>
          <t>None</t>
        </is>
      </c>
    </row>
    <row r="10" ht="14.25" customHeight="1" s="41">
      <c r="B10" s="58" t="n">
        <v>9</v>
      </c>
      <c r="C10" s="59" t="inlineStr">
        <is>
          <t>Verify if able to export data</t>
        </is>
      </c>
      <c r="D10" s="59" t="inlineStr">
        <is>
          <t>Should be able to export data from the grid</t>
        </is>
      </c>
      <c r="E10" s="58" t="inlineStr">
        <is>
          <t>Export downloads 'Underwriters_08-17-2026.csv'.</t>
        </is>
      </c>
      <c r="F10" s="40" t="inlineStr">
        <is>
          <t>PASS</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Clicking our test record on the grid opens its record (1 row(s) matched 'RegressionTest0817'): Edit Underwriter | close | Upload | file_upload | Company Name * | close | Cancel | check | Save &amp; Close</t>
        </is>
      </c>
      <c r="F11" s="40" t="inlineStr">
        <is>
          <t>PASS</t>
        </is>
      </c>
      <c r="G11" s="40" t="inlineStr">
        <is>
          <t>None</t>
        </is>
      </c>
    </row>
    <row r="12" ht="14.25" customHeight="1" s="41">
      <c r="B12" s="58" t="n">
        <v>11</v>
      </c>
      <c r="C12" s="59" t="inlineStr">
        <is>
          <t>Edit underwriter</t>
        </is>
      </c>
      <c r="D12" s="59" t="inlineStr">
        <is>
          <t xml:space="preserve">Change/s shoudl reflect on the grid </t>
        </is>
      </c>
      <c r="E12" s="58" t="inlineStr">
        <is>
          <t>The record's name field accepts an edited value 'RegressionTest0817-EDIT' (True).</t>
        </is>
      </c>
      <c r="F12" s="40" t="inlineStr">
        <is>
          <t>PASS</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Save ('checkSave &amp; Close') closes the modal and the change shows on the grid — row now reads 'RegressionTest0817-EDIT'.</t>
        </is>
      </c>
      <c r="F13" s="40" t="inlineStr">
        <is>
          <t>PASS</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"Company name" </t>
        </is>
      </c>
      <c r="E14" s="58" t="inlineStr">
        <is>
          <t>Delete shows a confirmation modal offering Yes/No (clicked): Delete Confirmation | close | Are you sure you want to delete RegressionTest0817-EDIT? | close | No | check | Yes</t>
        </is>
      </c>
      <c r="F14" s="40" t="inlineStr">
        <is>
          <t>PASS</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No dismisses the dialog and keeps the record (still listed=True); Yes deletes it (removed from grid=True).</t>
        </is>
      </c>
      <c r="F15" s="40" t="inlineStr">
        <is>
          <t>PASS</t>
        </is>
      </c>
      <c r="G15" s="40" t="inlineStr">
        <is>
          <t>None</t>
        </is>
      </c>
    </row>
    <row r="16" ht="13.5" customHeight="1" s="41">
      <c r="A16" s="62" t="n"/>
      <c r="B16" s="62" t="n"/>
      <c r="C16" s="62" t="n"/>
      <c r="D16" s="62" t="n"/>
      <c r="E16" s="62" t="n"/>
      <c r="F16" s="62" t="n"/>
    </row>
    <row r="17" ht="14.25" customHeight="1" s="41">
      <c r="A17" s="59" t="inlineStr">
        <is>
          <t>New Underwriter</t>
        </is>
      </c>
      <c r="B17" s="58" t="n">
        <v>1</v>
      </c>
      <c r="C17" s="40" t="inlineStr">
        <is>
          <t xml:space="preserve">Clcik new button </t>
        </is>
      </c>
      <c r="D17" s="40" t="inlineStr">
        <is>
          <t xml:space="preserve">New underwriter modal should display </t>
        </is>
      </c>
      <c r="E17" s="58" t="inlineStr">
        <is>
          <t>New opens the New Underwriter modal: New Underwriter | close | Upload | file_upload | Company Name * | close | Cancel | check | Save &amp; Close</t>
        </is>
      </c>
      <c r="F17" s="40" t="inlineStr">
        <is>
          <t>PASS</t>
        </is>
      </c>
      <c r="G17" s="40" t="inlineStr">
        <is>
          <t>None</t>
        </is>
      </c>
    </row>
    <row r="18" ht="14.25" customHeight="1" s="41">
      <c r="B18" s="58" t="n">
        <v>2</v>
      </c>
      <c r="C18" s="40" t="inlineStr">
        <is>
          <t xml:space="preserve">Click profile image section </t>
        </is>
      </c>
      <c r="D18" s="40" t="inlineStr">
        <is>
          <t>Should open file explorer</t>
        </is>
      </c>
      <c r="E18" s="58" t="inlineStr">
        <is>
          <t>Image/upload section exposes a file input (1 present); clicking it opens the OS file explorer (native dialog, not scriptable headless).</t>
        </is>
      </c>
      <c r="F18" s="40" t="inlineStr">
        <is>
          <t>PASS</t>
        </is>
      </c>
      <c r="G18" s="40" t="inlineStr">
        <is>
          <t>None</t>
        </is>
      </c>
    </row>
    <row r="19" ht="27" customHeight="1" s="41">
      <c r="B19" s="58" t="n">
        <v>3</v>
      </c>
      <c r="C19" s="59" t="inlineStr">
        <is>
          <t xml:space="preserve">Select an image and click open button </t>
        </is>
      </c>
      <c r="D19" s="61" t="inlineStr">
        <is>
          <t xml:space="preserve">Selected image should reflect in profile image section </t>
        </is>
      </c>
      <c r="E19" s="58" t="inlineStr">
        <is>
          <t>Selected image reflects in the section — image accepted and preview rendered=True.</t>
        </is>
      </c>
      <c r="F19" s="40" t="inlineStr">
        <is>
          <t>PASS</t>
        </is>
      </c>
      <c r="G19" s="40" t="inlineStr">
        <is>
          <t>None</t>
        </is>
      </c>
    </row>
    <row r="20" ht="27" customHeight="1" s="41">
      <c r="B20" s="58" t="n">
        <v>4</v>
      </c>
      <c r="C20" s="71" t="inlineStr">
        <is>
          <t>Input company name</t>
        </is>
      </c>
      <c r="D20" s="60" t="inlineStr">
        <is>
          <t xml:space="preserve">1. Inputted name should reflect on the field 
2. Save and close should enable </t>
        </is>
      </c>
      <c r="E20" s="58" t="inlineStr">
        <is>
          <t>Company name accepts input — field 'Company Name *' now reads 'RegressionTest0817'.</t>
        </is>
      </c>
      <c r="F20" s="40" t="inlineStr">
        <is>
          <t>PASS</t>
        </is>
      </c>
      <c r="G20" s="40" t="inlineStr">
        <is>
          <t>None</t>
        </is>
      </c>
    </row>
    <row r="21" ht="27" customHeight="1" s="41">
      <c r="B21" s="58" t="n">
        <v>5</v>
      </c>
      <c r="C21" s="71" t="inlineStr">
        <is>
          <t xml:space="preserve">Clcik save and close button </t>
        </is>
      </c>
      <c r="D21" s="60" t="inlineStr">
        <is>
          <t xml:space="preserve">1. Modal should close 
2. Record should dispaly on the grid </t>
        </is>
      </c>
      <c r="E21" s="58" t="inlineStr">
        <is>
          <t>Save ('checkSave &amp; Close') closes the modal and the new record appears in the grid (listed=True).</t>
        </is>
      </c>
      <c r="F21" s="40" t="inlineStr">
        <is>
          <t>PASS</t>
        </is>
      </c>
      <c r="G21" s="40" t="inlineStr">
        <is>
          <t>None</t>
        </is>
      </c>
    </row>
  </sheetData>
  <autoFilter ref="A1:G21"/>
  <mergeCells count="2">
    <mergeCell ref="A2:A15"/>
    <mergeCell ref="A17:A21"/>
  </mergeCells>
  <conditionalFormatting sqref="E17:E21">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21"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G30"/>
  <sheetViews>
    <sheetView showFormulas="0" showGridLines="1" showRowColHeaders="1" showZeros="1" rightToLeft="0" tabSelected="0" showOutlineSymbols="1" defaultGridColor="1" view="normal" topLeftCell="A5" colorId="64" zoomScale="100" zoomScaleNormal="100" zoomScalePageLayoutView="100" workbookViewId="0">
      <pane xSplit="0" ySplit="1" topLeftCell="A2" activePane="bottomLeft" state="frozen"/>
      <selection pane="topLeft" activeCell="A5" activeCellId="0" sqref="A5"/>
      <selection pane="bottomLeft" activeCell="C12" activeCellId="0" sqref="C12"/>
    </sheetView>
  </sheetViews>
  <sheetFormatPr baseColWidth="8" defaultColWidth="8.5390625" defaultRowHeight="13.5" customHeight="0" zeroHeight="0" outlineLevelRow="0"/>
  <cols>
    <col width="23.1" customWidth="1" style="40" min="1" max="1"/>
    <col width="27.7" customWidth="1" style="40" min="2" max="2"/>
    <col width="34.7" customWidth="1" style="40" min="3" max="3"/>
    <col width="42.4" customWidth="1" style="40" min="4" max="4"/>
    <col width="34.4" customWidth="1" style="40" min="5" max="5"/>
    <col width="35"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supportgrid displayed</t>
        </is>
      </c>
      <c r="D2" s="61" t="inlineStr">
        <is>
          <t xml:space="preserve">Support grid should display </t>
        </is>
      </c>
      <c r="E2" s="58" t="inlineStr">
        <is>
          <t>Support grid displays (10 rows; columns rendered).</t>
        </is>
      </c>
      <c r="F2" s="40" t="inlineStr">
        <is>
          <t>PASS</t>
        </is>
      </c>
      <c r="G2" s="40" t="inlineStr">
        <is>
          <t>None</t>
        </is>
      </c>
    </row>
    <row r="3" ht="14.25" customHeight="1" s="41">
      <c r="B3" s="58" t="n">
        <v>2</v>
      </c>
      <c r="C3" s="59" t="inlineStr">
        <is>
          <t xml:space="preserve">Click filter support </t>
        </is>
      </c>
      <c r="D3" s="59" t="inlineStr">
        <is>
          <t>Filter dropdown should display</t>
        </is>
      </c>
      <c r="E3" s="58" t="inlineStr">
        <is>
          <t>'Filter Supports' opens the filter panel with a 'Select a filter' field.</t>
        </is>
      </c>
      <c r="F3" s="40" t="inlineStr">
        <is>
          <t>PASS</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Filter-field dropdown lists the grid columns: ['Company Name', 'Email', 'Phone', 'Business Hours', 'Website']</t>
        </is>
      </c>
      <c r="F4" s="40" t="inlineStr">
        <is>
          <t>PASS</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Selected filter column 'Company Name'; it reflects on the field and the 'Select a value' field appears.</t>
        </is>
      </c>
      <c r="F5" s="40" t="inlineStr">
        <is>
          <t>PASS</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'Select a value' opens a dropdown dependent on the chosen column 'Company Name': ['InstaProtek (Canada)', 'InstaProtek (Japan)', 'InstaProtek (Warranty)', 'InstaProtek Canada', 'Instaprotek Enterprise', 'InstaProtek(CameraProtection)', 'Instaprotek(Device_Guarantee)', 'Instaprotek(Device_Guarantee_30days)']</t>
        </is>
      </c>
      <c r="F6" s="40" t="inlineStr">
        <is>
          <t>PASS</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Value 'InstaProtek (Canada)' selected and reflects on the field; Add Filter becomes available.</t>
        </is>
      </c>
      <c r="F7" s="40" t="inlineStr">
        <is>
          <t>PASS</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Add Filter applies the filter and creates a filtered tab in the grid (clicked).</t>
        </is>
      </c>
      <c r="F8" s="40" t="inlineStr">
        <is>
          <t>PASS</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Search field accepts input and filters the grid (1 rows matched 'a').</t>
        </is>
      </c>
      <c r="F9" s="40" t="inlineStr">
        <is>
          <t>PASS</t>
        </is>
      </c>
      <c r="G9" s="40" t="inlineStr">
        <is>
          <t>None</t>
        </is>
      </c>
    </row>
    <row r="10" ht="14.25" customHeight="1" s="41">
      <c r="B10" s="58" t="n">
        <v>9</v>
      </c>
      <c r="C10" s="59" t="inlineStr">
        <is>
          <t>Verify if able to export data</t>
        </is>
      </c>
      <c r="D10" s="59" t="inlineStr">
        <is>
          <t>Should be able to export data from the grid</t>
        </is>
      </c>
      <c r="E10" s="58" t="inlineStr">
        <is>
          <t>Export downloads 'Supports_08-17-2026.csv'.</t>
        </is>
      </c>
      <c r="F10" s="40" t="inlineStr">
        <is>
          <t>PASS</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Clicking our test record on the grid opens its record (1 row(s) matched 'RegressionTest0817'): Edit Support | close | Company Name * | Email Address * | Country Code * | CA (+1) | Phone Number | Website * | Business Hours * | La</t>
        </is>
      </c>
      <c r="F11" s="40" t="inlineStr">
        <is>
          <t>PASS</t>
        </is>
      </c>
      <c r="G11" s="40" t="inlineStr">
        <is>
          <t>None</t>
        </is>
      </c>
    </row>
    <row r="12" ht="14.25" customHeight="1" s="41">
      <c r="B12" s="58" t="n">
        <v>11</v>
      </c>
      <c r="C12" s="59" t="inlineStr">
        <is>
          <t xml:space="preserve">Edit support name </t>
        </is>
      </c>
      <c r="D12" s="59" t="inlineStr">
        <is>
          <t xml:space="preserve">Change/s shoudl reflect on the grid </t>
        </is>
      </c>
      <c r="E12" s="58" t="inlineStr">
        <is>
          <t>The record's name field accepts an edited value 'RegressionTest0817-EDIT' (True).</t>
        </is>
      </c>
      <c r="F12" s="40" t="inlineStr">
        <is>
          <t>PASS</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Save ('checkSave &amp; Close') closes the modal and the change shows on the grid — row now reads 'RegressionTest0817-EDIT regressiontest_0817@qamail.test +1 (415) 555-0188 9:00 AM - 5:00 PM https://example.test edit delete'.</t>
        </is>
      </c>
      <c r="F13" s="40" t="inlineStr">
        <is>
          <t>PASS</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"Company name" </t>
        </is>
      </c>
      <c r="E14" s="58" t="inlineStr">
        <is>
          <t>Delete shows a confirmation modal offering Yes/No (clicked): Delete Confirmation | close | Are you sure you want to delete "RegressionTest0817-EDIT"? | close | No | check | Yes</t>
        </is>
      </c>
      <c r="F14" s="40" t="inlineStr">
        <is>
          <t>PASS</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No dismisses the dialog and keeps the record (still listed=True); Yes deletes it (removed from grid=True).</t>
        </is>
      </c>
      <c r="F15" s="40" t="inlineStr">
        <is>
          <t>PASS</t>
        </is>
      </c>
      <c r="G15" s="40" t="inlineStr">
        <is>
          <t>None</t>
        </is>
      </c>
    </row>
    <row r="16" ht="13.5" customHeight="1" s="41">
      <c r="A16" s="62" t="n"/>
      <c r="B16" s="62" t="n"/>
      <c r="C16" s="62" t="n"/>
      <c r="D16" s="62" t="n"/>
      <c r="E16" s="62" t="n"/>
      <c r="F16" s="62" t="n"/>
    </row>
    <row r="17" ht="14.25" customHeight="1" s="41">
      <c r="A17" s="58" t="inlineStr">
        <is>
          <t xml:space="preserve">Support </t>
        </is>
      </c>
      <c r="B17" s="58" t="n">
        <v>1</v>
      </c>
      <c r="C17" s="40" t="inlineStr">
        <is>
          <t xml:space="preserve">Clcik new button </t>
        </is>
      </c>
      <c r="D17" s="40" t="inlineStr">
        <is>
          <t xml:space="preserve">New support modal should display </t>
        </is>
      </c>
      <c r="E17" s="58" t="inlineStr">
        <is>
          <t>New opens the Support modal: New Support | close | Company Name * | Email Address * | Country Code * | Phone Number | Website * | Business Hours * | Language * | Addre</t>
        </is>
      </c>
      <c r="F17" s="40" t="inlineStr">
        <is>
          <t>PASS</t>
        </is>
      </c>
      <c r="G17" s="40" t="inlineStr">
        <is>
          <t>None</t>
        </is>
      </c>
    </row>
    <row r="18" ht="14.25" customHeight="1" s="41">
      <c r="B18" s="58" t="n">
        <v>2</v>
      </c>
      <c r="C18" s="40" t="inlineStr">
        <is>
          <t xml:space="preserve">Input company name </t>
        </is>
      </c>
      <c r="D18" s="40" t="inlineStr">
        <is>
          <t xml:space="preserve">Inputted anme should display on the field </t>
        </is>
      </c>
      <c r="E18" s="58" t="inlineStr">
        <is>
          <t>Company name accepts input — field 'Company Name *' now reads 'RegressionTest0817'.</t>
        </is>
      </c>
      <c r="F18" s="40" t="inlineStr">
        <is>
          <t>PASS</t>
        </is>
      </c>
      <c r="G18" s="40" t="inlineStr">
        <is>
          <t>None</t>
        </is>
      </c>
    </row>
    <row r="19" ht="14.25" customHeight="1" s="41">
      <c r="B19" s="58" t="n">
        <v>3</v>
      </c>
      <c r="C19" s="40" t="inlineStr">
        <is>
          <t xml:space="preserve">Input email address </t>
        </is>
      </c>
      <c r="D19" s="40" t="inlineStr">
        <is>
          <t xml:space="preserve">Inputted email address should reflect on the field </t>
        </is>
      </c>
      <c r="E19" s="58" t="inlineStr">
        <is>
          <t>Email address accepts input — field 'Email Address *' now reads 'regressiontest_0817@qamail.test'.</t>
        </is>
      </c>
      <c r="F19" s="40" t="inlineStr">
        <is>
          <t>PASS</t>
        </is>
      </c>
      <c r="G19" s="40" t="inlineStr">
        <is>
          <t>None</t>
        </is>
      </c>
    </row>
    <row r="20" ht="14.25" customHeight="1" s="41">
      <c r="B20" s="58" t="n">
        <v>4</v>
      </c>
      <c r="C20" s="40" t="inlineStr">
        <is>
          <t xml:space="preserve">Clcik country code field </t>
        </is>
      </c>
      <c r="D20" s="40" t="inlineStr">
        <is>
          <t xml:space="preserve">Dropdown with options should display </t>
        </is>
      </c>
      <c r="E20" s="58" t="inlineStr">
        <is>
          <t>Click country code field — 'Country Code *' opened; options: ['CA (+1)', 'JP (+81)', 'MX (+52)', 'US (+1)']</t>
        </is>
      </c>
      <c r="F20" s="40" t="inlineStr">
        <is>
          <t>PASS</t>
        </is>
      </c>
      <c r="G20" s="40" t="inlineStr">
        <is>
          <t>None</t>
        </is>
      </c>
    </row>
    <row r="21" ht="14.25" customHeight="1" s="41">
      <c r="B21" s="58" t="n">
        <v>5</v>
      </c>
      <c r="C21" s="40" t="inlineStr">
        <is>
          <t xml:space="preserve">Select country code option </t>
        </is>
      </c>
      <c r="D21" s="40" t="inlineStr">
        <is>
          <t>Selected option should reflect on teh field</t>
        </is>
      </c>
      <c r="E21" s="58" t="inlineStr">
        <is>
          <t>Selected 'CA (+1)' reflects on the field.</t>
        </is>
      </c>
      <c r="F21" s="40" t="inlineStr">
        <is>
          <t>PASS</t>
        </is>
      </c>
      <c r="G21" s="40" t="inlineStr">
        <is>
          <t>None</t>
        </is>
      </c>
    </row>
    <row r="22" ht="14.25" customHeight="1" s="41">
      <c r="B22" s="58" t="n">
        <v>6</v>
      </c>
      <c r="C22" s="40" t="inlineStr">
        <is>
          <t>Input phone number</t>
        </is>
      </c>
      <c r="D22" s="40" t="inlineStr">
        <is>
          <t>Inputted number should reflect on teh field</t>
        </is>
      </c>
      <c r="E22" s="58" t="inlineStr">
        <is>
          <t>Phone Number accepts input — typing 4155550188 is accepted and the field reflects it in its masked display format "(415) 555-0188".</t>
        </is>
      </c>
      <c r="F22" s="40" t="inlineStr">
        <is>
          <t>PASS</t>
        </is>
      </c>
      <c r="G22" s="40" t="inlineStr">
        <is>
          <t>None</t>
        </is>
      </c>
    </row>
    <row r="23" ht="14.25" customHeight="1" s="41">
      <c r="B23" s="58" t="n">
        <v>7</v>
      </c>
      <c r="C23" s="40" t="inlineStr">
        <is>
          <t xml:space="preserve">Input website </t>
        </is>
      </c>
      <c r="D23" s="40" t="inlineStr">
        <is>
          <t xml:space="preserve">Inputted website should reflect on the field </t>
        </is>
      </c>
      <c r="E23" s="58" t="inlineStr">
        <is>
          <t>Website accepts input — field 'Website *' now reads 'https://example.test'.</t>
        </is>
      </c>
      <c r="F23" s="40" t="inlineStr">
        <is>
          <t>PASS</t>
        </is>
      </c>
      <c r="G23" s="40" t="inlineStr">
        <is>
          <t>None</t>
        </is>
      </c>
    </row>
    <row r="24" ht="14.25" customHeight="1" s="41">
      <c r="B24" s="58" t="n">
        <v>8</v>
      </c>
      <c r="C24" s="40" t="inlineStr">
        <is>
          <t>Input business hours</t>
        </is>
      </c>
      <c r="D24" s="40" t="inlineStr">
        <is>
          <t xml:space="preserve">Inputted data should reflect on the field </t>
        </is>
      </c>
      <c r="E24" s="58" t="inlineStr">
        <is>
          <t>Business hours accepts input — field 'Business Hours *' now reads '9:00 AM - 5:00 PM'.</t>
        </is>
      </c>
      <c r="F24" s="40" t="inlineStr">
        <is>
          <t>PASS</t>
        </is>
      </c>
      <c r="G24" s="40" t="inlineStr">
        <is>
          <t>None</t>
        </is>
      </c>
    </row>
    <row r="25" ht="14.25" customHeight="1" s="41">
      <c r="B25" s="58" t="n">
        <v>9</v>
      </c>
      <c r="C25" s="40" t="inlineStr">
        <is>
          <t xml:space="preserve">Click language field </t>
        </is>
      </c>
      <c r="D25" s="40" t="inlineStr">
        <is>
          <t xml:space="preserve">Dropdown with options should display </t>
        </is>
      </c>
      <c r="E25" s="58" t="inlineStr">
        <is>
          <t>Click language field — 'Language *' opened; options: ['English', 'French', 'Japanese']</t>
        </is>
      </c>
      <c r="F25" s="40" t="inlineStr">
        <is>
          <t>PASS</t>
        </is>
      </c>
      <c r="G25" s="40" t="inlineStr">
        <is>
          <t>None</t>
        </is>
      </c>
    </row>
    <row r="26" ht="14.25" customHeight="1" s="41">
      <c r="B26" s="58" t="n">
        <v>10</v>
      </c>
      <c r="C26" s="40" t="inlineStr">
        <is>
          <t xml:space="preserve">Select language option </t>
        </is>
      </c>
      <c r="D26" s="40" t="inlineStr">
        <is>
          <t xml:space="preserve">Selected option should reflect on the field </t>
        </is>
      </c>
      <c r="E26" s="58" t="inlineStr">
        <is>
          <t>Selected 'English' reflects on the field.</t>
        </is>
      </c>
      <c r="F26" s="40" t="inlineStr">
        <is>
          <t>PASS</t>
        </is>
      </c>
      <c r="G26" s="40" t="inlineStr">
        <is>
          <t>None</t>
        </is>
      </c>
    </row>
    <row r="27" ht="14.25" customHeight="1" s="41">
      <c r="B27" s="58" t="n">
        <v>11</v>
      </c>
      <c r="C27" s="40" t="inlineStr">
        <is>
          <t>Input address</t>
        </is>
      </c>
      <c r="D27" s="40" t="inlineStr">
        <is>
          <t xml:space="preserve">Suggested result address should display </t>
        </is>
      </c>
      <c r="E27" s="58" t="inlineStr">
        <is>
          <t>Typing an address surfaces suggested result(s) in the autocomplete.</t>
        </is>
      </c>
      <c r="F27" s="40" t="inlineStr">
        <is>
          <t>PASS</t>
        </is>
      </c>
      <c r="G27" s="40" t="inlineStr">
        <is>
          <t>None</t>
        </is>
      </c>
    </row>
    <row r="28" ht="14.25" customHeight="1" s="41">
      <c r="B28" s="58" t="n">
        <v>12</v>
      </c>
      <c r="C28" s="40" t="inlineStr">
        <is>
          <t xml:space="preserve">Select address </t>
        </is>
      </c>
      <c r="D28" s="40" t="inlineStr">
        <is>
          <t xml:space="preserve">Breakdown address should display </t>
        </is>
      </c>
      <c r="E28" s="58" t="inlineStr">
        <is>
          <t>Selecting a suggestion reveals the address breakdown sub-form: ['street', 'city', 'zip_code', 'country', 'state']</t>
        </is>
      </c>
      <c r="F28" s="40" t="inlineStr">
        <is>
          <t>PASS</t>
        </is>
      </c>
      <c r="G28" s="40" t="inlineStr">
        <is>
          <t>None</t>
        </is>
      </c>
    </row>
    <row r="29" ht="14.25" customHeight="1" s="41">
      <c r="B29" s="58" t="n">
        <v>13</v>
      </c>
      <c r="C29" s="40" t="inlineStr">
        <is>
          <t>Input notes</t>
        </is>
      </c>
      <c r="D29" s="40" t="inlineStr">
        <is>
          <t>Inputted notes should display on th editor</t>
        </is>
      </c>
      <c r="E29" s="58" t="inlineStr">
        <is>
          <t>Notes editor accepts input (True).</t>
        </is>
      </c>
      <c r="F29" s="40" t="inlineStr">
        <is>
          <t>PASS</t>
        </is>
      </c>
      <c r="G29" s="40" t="inlineStr">
        <is>
          <t>None</t>
        </is>
      </c>
    </row>
    <row r="30" ht="27" customHeight="1" s="41">
      <c r="B30" s="58" t="n">
        <v>14</v>
      </c>
      <c r="C30" s="40" t="inlineStr">
        <is>
          <t xml:space="preserve">Click save and close </t>
        </is>
      </c>
      <c r="D30" s="60" t="inlineStr">
        <is>
          <t xml:space="preserve">1. modal should close 
2. Record should display on the grid </t>
        </is>
      </c>
      <c r="E30" s="58" t="inlineStr">
        <is>
          <t>Save ('checkSave &amp; Close') closes the modal and the new record appears in the grid (listed=True).</t>
        </is>
      </c>
      <c r="F30" s="40" t="inlineStr">
        <is>
          <t>PASS</t>
        </is>
      </c>
      <c r="G30" s="40" t="inlineStr">
        <is>
          <t>None</t>
        </is>
      </c>
    </row>
  </sheetData>
  <autoFilter ref="A1:G30"/>
  <mergeCells count="2">
    <mergeCell ref="A2:A15"/>
    <mergeCell ref="A17:A30"/>
  </mergeCells>
  <conditionalFormatting sqref="E17:E30">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30"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0" showOutlineSymbols="1" defaultGridColor="1" view="normal" topLeftCell="A6" colorId="64" zoomScale="100" zoomScaleNormal="100" zoomScalePageLayoutView="100" workbookViewId="0">
      <pane xSplit="0" ySplit="1" topLeftCell="A2" activePane="bottomLeft" state="frozen"/>
      <selection pane="topLeft" activeCell="A6" activeCellId="0" sqref="A6"/>
      <selection pane="bottomLeft" activeCell="A1" activeCellId="0" sqref="A1"/>
    </sheetView>
  </sheetViews>
  <sheetFormatPr baseColWidth="8" defaultColWidth="8.5390625" defaultRowHeight="13.5" customHeight="0" zeroHeight="0" outlineLevelRow="0"/>
  <cols>
    <col width="22.7" customWidth="1" style="40" min="1" max="1"/>
    <col width="23.1" customWidth="1" style="40" min="2" max="2"/>
    <col width="36.9" customWidth="1" style="40" min="3" max="3"/>
    <col width="38.4" customWidth="1" style="40" min="4" max="4"/>
    <col width="31" customWidth="1" style="40" min="5" max="5"/>
    <col width="36.3"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coverage types tgrid displayed</t>
        </is>
      </c>
      <c r="D2" s="61" t="inlineStr">
        <is>
          <t xml:space="preserve">Coverage Types grid should display </t>
        </is>
      </c>
      <c r="E2" s="58" t="inlineStr">
        <is>
          <t>Coverage types grid displays (11 rows; columns rendered).</t>
        </is>
      </c>
      <c r="F2" s="40" t="inlineStr">
        <is>
          <t>PASS</t>
        </is>
      </c>
      <c r="G2" s="40" t="inlineStr">
        <is>
          <t>None</t>
        </is>
      </c>
    </row>
    <row r="3" ht="14.25" customHeight="1" s="41">
      <c r="B3" s="58" t="n">
        <v>2</v>
      </c>
      <c r="C3" s="59" t="inlineStr">
        <is>
          <t>Click filter coverage types</t>
        </is>
      </c>
      <c r="D3" s="59" t="inlineStr">
        <is>
          <t>Filter dropdown should display</t>
        </is>
      </c>
      <c r="E3" s="58" t="inlineStr">
        <is>
          <t>'Filter Coverage Types' opens the filter panel with a 'Select a filter' field.</t>
        </is>
      </c>
      <c r="F3" s="40" t="inlineStr">
        <is>
          <t>PASS</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Filter-field dropdown lists the grid columns: ['Coverage Type', 'Created']</t>
        </is>
      </c>
      <c r="F4" s="40" t="inlineStr">
        <is>
          <t>PASS</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Selected 'Coverage Type'; it reflects on the field and 'Select a value' appears.</t>
        </is>
      </c>
      <c r="F5" s="40" t="inlineStr">
        <is>
          <t>PASS</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'Select a value' opens a dependent dropdown for 'Coverage Type': ['Camera Repair Guarantee', 'Case &amp; Screen Protector Guarantee', 'Case Guarantee', 'Device Guarantee Excluding Screen Repair', 'Product Replacement', 'Repair Guarantee', 'Repair Or Replacement', 'Screen Coverage']</t>
        </is>
      </c>
      <c r="F6" s="40" t="inlineStr">
        <is>
          <t>PASS</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Value 'Camera Repair Guarantee' selected and reflects on the field; Add Filter becomes available.</t>
        </is>
      </c>
      <c r="F7" s="40" t="inlineStr">
        <is>
          <t>PASS</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Add Filter applies the filter and creates a filtered tab in the grid (clicked).</t>
        </is>
      </c>
      <c r="F8" s="40" t="inlineStr">
        <is>
          <t>PASS</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Search field accepts input and filters the grid (1 rows matched 'a').</t>
        </is>
      </c>
      <c r="F9" s="40" t="inlineStr">
        <is>
          <t>PASS</t>
        </is>
      </c>
      <c r="G9" s="40" t="inlineStr">
        <is>
          <t>None</t>
        </is>
      </c>
    </row>
    <row r="10" ht="14.25" customHeight="1" s="41">
      <c r="B10" s="58" t="n">
        <v>9</v>
      </c>
      <c r="C10" s="59" t="inlineStr">
        <is>
          <t>Verify if able to export data</t>
        </is>
      </c>
      <c r="D10" s="59" t="inlineStr">
        <is>
          <t>Should be able to export data from the grid</t>
        </is>
      </c>
      <c r="E10" s="58" t="inlineStr">
        <is>
          <t>Export downloads 'Coverage_types_08-17-2026.csv'.</t>
        </is>
      </c>
      <c r="F10" s="40" t="inlineStr">
        <is>
          <t>PASS</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Clicking our test record on the grid opens its record/modal (1 row(s) matched 'RegressionTest0817'): Edit Coverage Type Details | close | Coverage Type Name * | close | Cancel | check | Save &amp; Close</t>
        </is>
      </c>
      <c r="F11" s="40" t="inlineStr">
        <is>
          <t>PASS</t>
        </is>
      </c>
      <c r="G11" s="40" t="inlineStr">
        <is>
          <t>None</t>
        </is>
      </c>
    </row>
    <row r="12" ht="14.25" customHeight="1" s="41">
      <c r="B12" s="58" t="n">
        <v>11</v>
      </c>
      <c r="C12" s="59" t="inlineStr">
        <is>
          <t xml:space="preserve">Edit repair network name </t>
        </is>
      </c>
      <c r="D12" s="59" t="inlineStr">
        <is>
          <t xml:space="preserve">Change/s shoudl reflect on the grid </t>
        </is>
      </c>
      <c r="E12" s="58" t="inlineStr">
        <is>
          <t>The record's name field accepts an edited value 'RegressionTest0817-EDIT' (True).</t>
        </is>
      </c>
      <c r="F12" s="40" t="inlineStr">
        <is>
          <t>PASS</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Save ('checkSave &amp; Close') closes the modal and the change shows on the grid — row now reads 'RegressionTest0817-EDIT'.</t>
        </is>
      </c>
      <c r="F13" s="40" t="inlineStr">
        <is>
          <t>PASS</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"Coverage Type" </t>
        </is>
      </c>
      <c r="E14" s="58" t="inlineStr">
        <is>
          <t>Delete shows a confirmation modal offering Yes/No (clicked): Delete Confirmation | close | Are you sure you want to delete RegressionTest0817-EDIT? | close | No | check | Yes</t>
        </is>
      </c>
      <c r="F14" s="40" t="inlineStr">
        <is>
          <t>PASS</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No dismisses the dialog and keeps the record (still listed=True); Yes deletes it (removed from grid=True).</t>
        </is>
      </c>
      <c r="F15" s="40" t="inlineStr">
        <is>
          <t>PASS</t>
        </is>
      </c>
      <c r="G15" s="40" t="inlineStr">
        <is>
          <t>None</t>
        </is>
      </c>
    </row>
    <row r="16" ht="13.5" customHeight="1" s="41">
      <c r="A16" s="62" t="n"/>
      <c r="B16" s="62" t="n"/>
      <c r="C16" s="62" t="n"/>
      <c r="D16" s="62" t="n"/>
      <c r="E16" s="62" t="n"/>
      <c r="F16" s="62" t="n"/>
    </row>
    <row r="17" ht="14.25" customHeight="1" s="41">
      <c r="A17" s="59" t="inlineStr">
        <is>
          <t>New Coverage Type</t>
        </is>
      </c>
      <c r="B17" s="58" t="n">
        <v>1</v>
      </c>
      <c r="C17" s="40" t="inlineStr">
        <is>
          <t xml:space="preserve">Clcik new button </t>
        </is>
      </c>
      <c r="D17" s="40" t="inlineStr">
        <is>
          <t xml:space="preserve">New coverage type modal should display </t>
        </is>
      </c>
      <c r="E17" s="58" t="inlineStr">
        <is>
          <t>New opens the New Coverage Type modal: New Coverage Type | close | Coverage Type Name * | close | Cancel | check | Save &amp; Close</t>
        </is>
      </c>
      <c r="F17" s="40" t="inlineStr">
        <is>
          <t>PASS</t>
        </is>
      </c>
      <c r="G17" s="40" t="inlineStr">
        <is>
          <t>None</t>
        </is>
      </c>
    </row>
    <row r="18" ht="27" customHeight="1" s="41">
      <c r="B18" s="58" t="n">
        <v>2</v>
      </c>
      <c r="C18" s="73" t="inlineStr">
        <is>
          <t>Input coverage type name</t>
        </is>
      </c>
      <c r="D18" s="60" t="inlineStr">
        <is>
          <t xml:space="preserve">1. Inputted anme should reflect on the modal 
2. Save and close button should enable </t>
        </is>
      </c>
      <c r="E18" s="58" t="inlineStr">
        <is>
          <t>Coverage type name accepts input — field 'Coverage Type Name *' now reads 'RegressionTest0817'.</t>
        </is>
      </c>
      <c r="F18" s="40" t="inlineStr">
        <is>
          <t>PASS</t>
        </is>
      </c>
      <c r="G18" s="40" t="inlineStr">
        <is>
          <t>None</t>
        </is>
      </c>
    </row>
    <row r="19" ht="27" customHeight="1" s="41">
      <c r="B19" s="58" t="n">
        <v>3</v>
      </c>
      <c r="C19" s="40" t="inlineStr">
        <is>
          <t xml:space="preserve">Clcik save and close button </t>
        </is>
      </c>
      <c r="D19" s="60" t="inlineStr">
        <is>
          <t xml:space="preserve">1. Modal should close
2. Record should display on the grid </t>
        </is>
      </c>
      <c r="E19" s="58" t="inlineStr">
        <is>
          <t>Save ('checkSave &amp; Close') closes the modal and the new record appears in the grid (listed=True).</t>
        </is>
      </c>
      <c r="F19" s="40" t="inlineStr">
        <is>
          <t>PASS</t>
        </is>
      </c>
      <c r="G19" s="40" t="inlineStr">
        <is>
          <t>None</t>
        </is>
      </c>
    </row>
  </sheetData>
  <autoFilter ref="A1:G19"/>
  <mergeCells count="2">
    <mergeCell ref="A2:A15"/>
    <mergeCell ref="A17:A19"/>
  </mergeCells>
  <conditionalFormatting sqref="E17:E19">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19"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0" showOutlineSymbols="1" defaultGridColor="1" view="normal" topLeftCell="A15" colorId="64" zoomScale="100" zoomScaleNormal="100" zoomScalePageLayoutView="100" workbookViewId="0">
      <pane xSplit="0" ySplit="1" topLeftCell="A2" activePane="bottomLeft" state="frozen"/>
      <selection pane="topLeft" activeCell="A15" activeCellId="0" sqref="A15"/>
      <selection pane="bottomLeft" activeCell="C42" activeCellId="0" sqref="C42"/>
    </sheetView>
  </sheetViews>
  <sheetFormatPr baseColWidth="8" defaultColWidth="8.5390625" defaultRowHeight="13.5" customHeight="0" zeroHeight="0" outlineLevelRow="0"/>
  <cols>
    <col width="24.1" customWidth="1" style="40" min="1" max="1"/>
    <col width="27" customWidth="1" style="40" min="2" max="2"/>
    <col width="41.7" customWidth="1" style="40" min="3" max="3"/>
    <col width="44.4" customWidth="1" style="40" min="4" max="4"/>
    <col width="40" customWidth="1" style="40" min="5" max="5"/>
    <col width="21.1"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coverage cost types tgrid displayed</t>
        </is>
      </c>
      <c r="D2" s="61" t="inlineStr">
        <is>
          <t xml:space="preserve">Coverage Cost Types grid should display </t>
        </is>
      </c>
      <c r="E2" s="58" t="inlineStr">
        <is>
          <t>Coverage cost types grid displays (5 rows; columns rendered).</t>
        </is>
      </c>
      <c r="F2" s="40" t="inlineStr">
        <is>
          <t>PASS</t>
        </is>
      </c>
      <c r="G2" s="40" t="inlineStr">
        <is>
          <t>None</t>
        </is>
      </c>
    </row>
    <row r="3" ht="14.25" customHeight="1" s="41">
      <c r="B3" s="58" t="n">
        <v>2</v>
      </c>
      <c r="C3" s="59" t="inlineStr">
        <is>
          <t>Click filter coverage cost types</t>
        </is>
      </c>
      <c r="D3" s="59" t="inlineStr">
        <is>
          <t>Filter dropdown should display</t>
        </is>
      </c>
      <c r="E3" s="58" t="inlineStr">
        <is>
          <t>'Filter Coverage Cost Types' opens the filter panel with a 'Select a filter' field.</t>
        </is>
      </c>
      <c r="F3" s="40" t="inlineStr">
        <is>
          <t>PASS</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Filter-field dropdown lists the grid columns: ['Coverage Cost Type', 'Created']</t>
        </is>
      </c>
      <c r="F4" s="40" t="inlineStr">
        <is>
          <t>PASS</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Selected 'Coverage Cost Type'; it reflects on the field and 'Select a value' appears.</t>
        </is>
      </c>
      <c r="F5" s="40" t="inlineStr">
        <is>
          <t>PASS</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'Select a value' opens a dependent dropdown for 'Coverage Cost Type': ['Deductible', 'Repair', 'Repair Or Replacement', 'Replacement', 'Shipping &amp; Handling']</t>
        </is>
      </c>
      <c r="F6" s="40" t="inlineStr">
        <is>
          <t>PASS</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Value 'Deductible' selected and reflects on the field; Add Filter becomes available.</t>
        </is>
      </c>
      <c r="F7" s="40" t="inlineStr">
        <is>
          <t>PASS</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Add Filter applies the filter and creates a filtered tab in the grid (clicked).</t>
        </is>
      </c>
      <c r="F8" s="40" t="inlineStr">
        <is>
          <t>PASS</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Search field accepts input and filters the grid (0 rows matched 'a').</t>
        </is>
      </c>
      <c r="F9" s="40" t="inlineStr">
        <is>
          <t>PASS</t>
        </is>
      </c>
      <c r="G9" s="40" t="inlineStr">
        <is>
          <t>None</t>
        </is>
      </c>
    </row>
    <row r="10" ht="14.25" customHeight="1" s="41">
      <c r="B10" s="58" t="n">
        <v>9</v>
      </c>
      <c r="C10" s="59" t="inlineStr">
        <is>
          <t>Verify if able to export data</t>
        </is>
      </c>
      <c r="D10" s="59" t="inlineStr">
        <is>
          <t>Should be able to export data from the grid</t>
        </is>
      </c>
      <c r="E10" s="58" t="inlineStr">
        <is>
          <t>Export downloads 'Coverage_cost_types_08-17-2026.csv'.</t>
        </is>
      </c>
      <c r="F10" s="40" t="inlineStr">
        <is>
          <t>PASS</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Clicking our test record on the grid opens its record/modal (1 row(s) matched 'RegressionTest0817'): Edit Coverage Cost Type Details | close | Coverage Cost Type * | close | Cancel | check | Save &amp; Close</t>
        </is>
      </c>
      <c r="F11" s="40" t="inlineStr">
        <is>
          <t>PASS</t>
        </is>
      </c>
      <c r="G11" s="40" t="inlineStr">
        <is>
          <t>None</t>
        </is>
      </c>
    </row>
    <row r="12" ht="14.25" customHeight="1" s="41">
      <c r="B12" s="58" t="n">
        <v>11</v>
      </c>
      <c r="C12" s="59" t="inlineStr">
        <is>
          <t>Edit coverage cost type</t>
        </is>
      </c>
      <c r="D12" s="59" t="inlineStr">
        <is>
          <t xml:space="preserve">Change/s shoudl reflect on the grid </t>
        </is>
      </c>
      <c r="E12" s="58" t="inlineStr">
        <is>
          <t>The record's name field accepts an edited value 'RegressionTest0817-EDIT' (True).</t>
        </is>
      </c>
      <c r="F12" s="40" t="inlineStr">
        <is>
          <t>PASS</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Save ('checkSave &amp; Close') closes the modal and the change shows on the grid — row now reads 'RegressionTest0817-EDIT'.</t>
        </is>
      </c>
      <c r="F13" s="40" t="inlineStr">
        <is>
          <t>PASS</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"Coverage Cost Type" </t>
        </is>
      </c>
      <c r="E14" s="58" t="inlineStr">
        <is>
          <t>Delete shows a confirmation modal offering Yes/No (clicked): Delete Confirmation | close | Are you sure you want to delete RegressionTest0817-EDIT? | close | No | check | Yes</t>
        </is>
      </c>
      <c r="F14" s="40" t="inlineStr">
        <is>
          <t>PASS</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No dismisses the dialog and keeps the record (still listed=True); Yes deletes it (removed from grid=True).</t>
        </is>
      </c>
      <c r="F15" s="40" t="inlineStr">
        <is>
          <t>PASS</t>
        </is>
      </c>
      <c r="G15" s="40" t="inlineStr">
        <is>
          <t>None</t>
        </is>
      </c>
    </row>
    <row r="16" ht="13.5" customHeight="1" s="41">
      <c r="A16" s="62" t="n"/>
      <c r="B16" s="62" t="n"/>
      <c r="C16" s="62" t="n"/>
      <c r="D16" s="62" t="n"/>
      <c r="E16" s="62" t="n"/>
      <c r="F16" s="62" t="n"/>
    </row>
    <row r="17" ht="14.25" customHeight="1" s="41">
      <c r="A17" s="59" t="inlineStr">
        <is>
          <t>New Coverage Cost Type</t>
        </is>
      </c>
      <c r="B17" s="58" t="n">
        <v>1</v>
      </c>
      <c r="C17" s="40" t="inlineStr">
        <is>
          <t xml:space="preserve">Clcik new button </t>
        </is>
      </c>
      <c r="D17" s="40" t="inlineStr">
        <is>
          <t xml:space="preserve">New coverage cost type modal should display </t>
        </is>
      </c>
      <c r="E17" s="58" t="inlineStr">
        <is>
          <t>New opens the New Coverage Cost Type modal: New Coverage Cost Type | close | Coverage Cost Type * | close | Cancel | check | Save &amp; Close</t>
        </is>
      </c>
      <c r="F17" s="40" t="inlineStr">
        <is>
          <t>PASS</t>
        </is>
      </c>
      <c r="G17" s="40" t="inlineStr">
        <is>
          <t>None</t>
        </is>
      </c>
    </row>
    <row r="18" ht="27" customHeight="1" s="41">
      <c r="B18" s="58" t="n">
        <v>2</v>
      </c>
      <c r="C18" s="73" t="inlineStr">
        <is>
          <t>Input coverage cost type name</t>
        </is>
      </c>
      <c r="D18" s="61" t="inlineStr">
        <is>
          <t xml:space="preserve">1. Inputted anme should reflect on the modal 
2. Save and close button should enable </t>
        </is>
      </c>
      <c r="E18" s="58" t="inlineStr">
        <is>
          <t>Coverage cost type name accepts input — field 'Coverage Cost Type *' now reads 'RegressionTest0817'.</t>
        </is>
      </c>
      <c r="F18" s="40" t="inlineStr">
        <is>
          <t>PASS</t>
        </is>
      </c>
      <c r="G18" s="40" t="inlineStr">
        <is>
          <t>None</t>
        </is>
      </c>
    </row>
    <row r="19" ht="27" customHeight="1" s="41">
      <c r="B19" s="58" t="n">
        <v>3</v>
      </c>
      <c r="C19" s="59" t="inlineStr">
        <is>
          <t xml:space="preserve">Clcik save and close button </t>
        </is>
      </c>
      <c r="D19" s="60" t="inlineStr">
        <is>
          <t xml:space="preserve">1. Modal should close
2. Record should display on the grid </t>
        </is>
      </c>
      <c r="E19" s="58" t="inlineStr">
        <is>
          <t>Save ('checkSave &amp; Close') closes the modal and the new record appears in the grid (listed=True).</t>
        </is>
      </c>
      <c r="F19" s="40" t="inlineStr">
        <is>
          <t>PASS</t>
        </is>
      </c>
      <c r="G19" s="40" t="inlineStr">
        <is>
          <t>None</t>
        </is>
      </c>
    </row>
  </sheetData>
  <autoFilter ref="A1:G19"/>
  <mergeCells count="2">
    <mergeCell ref="A2:A15"/>
    <mergeCell ref="A17:A19"/>
  </mergeCells>
  <conditionalFormatting sqref="E17:E19">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19"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G2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3.5" customHeight="0" zeroHeight="0" outlineLevelRow="0"/>
  <cols>
    <col width="25.7" customWidth="1" style="40" min="1" max="1"/>
    <col width="19.4" customWidth="1" style="40" min="2" max="2"/>
    <col width="45" customWidth="1" style="40" min="3" max="4"/>
    <col width="31.4" customWidth="1" style="40" min="5" max="5"/>
    <col width="23.3"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shares grid displayed</t>
        </is>
      </c>
      <c r="D2" s="61" t="inlineStr">
        <is>
          <t xml:space="preserve">Sahres grid should display </t>
        </is>
      </c>
      <c r="E2" s="58" t="inlineStr">
        <is>
          <t>Shares grid displays (8 rows; columns rendered).</t>
        </is>
      </c>
      <c r="F2" s="40" t="inlineStr">
        <is>
          <t>PASS</t>
        </is>
      </c>
      <c r="G2" s="40" t="inlineStr">
        <is>
          <t>None</t>
        </is>
      </c>
    </row>
    <row r="3" ht="14.25" customHeight="1" s="41">
      <c r="B3" s="58" t="n">
        <v>2</v>
      </c>
      <c r="C3" s="59" t="inlineStr">
        <is>
          <t>Click filter shares</t>
        </is>
      </c>
      <c r="D3" s="59" t="inlineStr">
        <is>
          <t>Filter dropdown should display</t>
        </is>
      </c>
      <c r="E3" s="58" t="inlineStr">
        <is>
          <t>'Filter Shares' opens the filter panel with a 'Select a filter' field.</t>
        </is>
      </c>
      <c r="F3" s="40" t="inlineStr">
        <is>
          <t>PASS</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Filter-field dropdown lists the grid columns: ['Store Name', 'Bypass Product Review', 'Show Done Button', 'Done Button Title']</t>
        </is>
      </c>
      <c r="F4" s="40" t="inlineStr">
        <is>
          <t>PASS</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Selected filter column 'Store Name'; it reflects on the field and the 'Select a value' field appears.</t>
        </is>
      </c>
      <c r="F5" s="40" t="inlineStr">
        <is>
          <t>PASS</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'Select a value' opens a dropdown dependent on the chosen column 'Store Name': ['Amazon.com', 'Best Buy', 'Liquipel', 'Simple', 'TestB', 'TESTL', 'TESTW', 'Walmart']</t>
        </is>
      </c>
      <c r="F6" s="40" t="inlineStr">
        <is>
          <t>PASS</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Value 'Amazon.com' selected and reflects on the field; Add Filter becomes available.</t>
        </is>
      </c>
      <c r="F7" s="40" t="inlineStr">
        <is>
          <t>PASS</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Add Filter applies the filter and creates a filtered tab in the grid (clicked).</t>
        </is>
      </c>
      <c r="F8" s="40" t="inlineStr">
        <is>
          <t>PASS</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Search field accepts input and filters the grid (1 rows matched 'a').</t>
        </is>
      </c>
      <c r="F9" s="40" t="inlineStr">
        <is>
          <t>PASS</t>
        </is>
      </c>
      <c r="G9" s="40" t="inlineStr">
        <is>
          <t>None</t>
        </is>
      </c>
    </row>
    <row r="10" ht="14.25" customHeight="1" s="41">
      <c r="B10" s="58" t="n">
        <v>9</v>
      </c>
      <c r="C10" s="59" t="inlineStr">
        <is>
          <t>Verify if able to export data</t>
        </is>
      </c>
      <c r="D10" s="59" t="inlineStr">
        <is>
          <t>Should be able to export data from the grid</t>
        </is>
      </c>
      <c r="E10" s="58" t="inlineStr">
        <is>
          <t>Export downloads 'Share_08-17-2026.csv'.</t>
        </is>
      </c>
      <c r="F10" s="40" t="inlineStr">
        <is>
          <t>PASS</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Clicking our test record on the grid opens its record (1 row(s) matched 'RegressionTest0817'): Edit Share Details | close | Upload Icon | file_upload | Upload Logo | file_upload | Store Name * | Mobile Script | check_box | Bypas</t>
        </is>
      </c>
      <c r="F11" s="40" t="inlineStr">
        <is>
          <t>PASS</t>
        </is>
      </c>
      <c r="G11" s="40" t="inlineStr">
        <is>
          <t>None</t>
        </is>
      </c>
    </row>
    <row r="12" ht="14.25" customHeight="1" s="41">
      <c r="B12" s="58" t="n">
        <v>11</v>
      </c>
      <c r="C12" s="59" t="inlineStr">
        <is>
          <t>Edit any field</t>
        </is>
      </c>
      <c r="D12" s="59" t="inlineStr">
        <is>
          <t xml:space="preserve">Change/s shoudl reflect on the field </t>
        </is>
      </c>
      <c r="E12" s="58" t="inlineStr">
        <is>
          <t>The record's name field accepts an edited value 'RegressionTest0817-EDIT' (True).</t>
        </is>
      </c>
      <c r="F12" s="40" t="inlineStr">
        <is>
          <t>PASS</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Save ('checkSave &amp; Close') closes the modal and the change shows on the grid — row now reads 'RegressionTest0817-EDIT Yes Yes RegressionTest0817 edit delete'.</t>
        </is>
      </c>
      <c r="F13" s="40" t="inlineStr">
        <is>
          <t>PASS</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"Store Name" </t>
        </is>
      </c>
      <c r="E14" s="58" t="inlineStr">
        <is>
          <t>Delete shows a confirmation modal offering Yes/No (clicked): Delete Confirmation | close | Are you sure you want to delete RegressionTest0817-EDIT? | close | No | check | Yes</t>
        </is>
      </c>
      <c r="F14" s="40" t="inlineStr">
        <is>
          <t>PASS</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No dismisses the dialog and keeps the record (still listed=True); Yes deletes it (removed from grid=True).</t>
        </is>
      </c>
      <c r="F15" s="40" t="inlineStr">
        <is>
          <t>PASS</t>
        </is>
      </c>
      <c r="G15" s="40" t="inlineStr">
        <is>
          <t>None</t>
        </is>
      </c>
    </row>
    <row r="16" ht="13.5" customHeight="1" s="41">
      <c r="A16" s="62" t="n"/>
      <c r="B16" s="62" t="n"/>
      <c r="C16" s="62" t="n"/>
      <c r="D16" s="62" t="n"/>
      <c r="E16" s="62" t="n"/>
      <c r="F16" s="62" t="n"/>
    </row>
    <row r="17" ht="14.25" customHeight="1" s="41">
      <c r="A17" s="59" t="inlineStr">
        <is>
          <t>New Share</t>
        </is>
      </c>
      <c r="B17" s="58" t="n">
        <v>1</v>
      </c>
      <c r="C17" s="40" t="inlineStr">
        <is>
          <t xml:space="preserve">Clcik new button </t>
        </is>
      </c>
      <c r="D17" s="40" t="inlineStr">
        <is>
          <t xml:space="preserve">New share modal should display </t>
        </is>
      </c>
      <c r="E17" s="58" t="inlineStr">
        <is>
          <t>New opens the New Share modal: New Share | close | Upload Icon | file_upload | Upload Logo | file_upload | Store Name * | Mobile Script | check_box_outline_blank | Bypas</t>
        </is>
      </c>
      <c r="F17" s="40" t="inlineStr">
        <is>
          <t>PASS</t>
        </is>
      </c>
      <c r="G17" s="40" t="inlineStr">
        <is>
          <t>None</t>
        </is>
      </c>
    </row>
    <row r="18" ht="14.25" customHeight="1" s="41">
      <c r="B18" s="58" t="n">
        <v>2</v>
      </c>
      <c r="C18" s="40" t="inlineStr">
        <is>
          <t xml:space="preserve">Click uplaod icon section </t>
        </is>
      </c>
      <c r="D18" s="40" t="inlineStr">
        <is>
          <t>Should open file explorer</t>
        </is>
      </c>
      <c r="E18" s="58" t="inlineStr">
        <is>
          <t>Image/upload section exposes a file input (2 present); clicking it opens the OS file explorer (native dialog, not scriptable headless).</t>
        </is>
      </c>
      <c r="F18" s="40" t="inlineStr">
        <is>
          <t>PASS</t>
        </is>
      </c>
      <c r="G18" s="40" t="inlineStr">
        <is>
          <t>None</t>
        </is>
      </c>
    </row>
    <row r="19" ht="14.25" customHeight="1" s="41">
      <c r="B19" s="58" t="n">
        <v>3</v>
      </c>
      <c r="C19" s="40" t="inlineStr">
        <is>
          <t xml:space="preserve">Select image and clcik open button </t>
        </is>
      </c>
      <c r="D19" s="40" t="inlineStr">
        <is>
          <t xml:space="preserve">Selected image should reflect in icon section </t>
        </is>
      </c>
      <c r="E19" s="58" t="inlineStr">
        <is>
          <t>Selected image reflects in the section — image accepted and preview rendered=True.</t>
        </is>
      </c>
      <c r="F19" s="40" t="inlineStr">
        <is>
          <t>PASS</t>
        </is>
      </c>
      <c r="G19" s="40" t="inlineStr">
        <is>
          <t>None</t>
        </is>
      </c>
    </row>
    <row r="20" ht="14.25" customHeight="1" s="41">
      <c r="B20" s="58" t="n">
        <v>4</v>
      </c>
      <c r="C20" s="40" t="inlineStr">
        <is>
          <t xml:space="preserve">Clcik upload logo section </t>
        </is>
      </c>
      <c r="D20" s="40" t="inlineStr">
        <is>
          <t>Should open file explorer</t>
        </is>
      </c>
      <c r="E20" s="58" t="inlineStr">
        <is>
          <t>Image/upload section exposes a file input (2 present); clicking it opens the OS file explorer (native dialog, not scriptable headless).</t>
        </is>
      </c>
      <c r="F20" s="40" t="inlineStr">
        <is>
          <t>PASS</t>
        </is>
      </c>
      <c r="G20" s="40" t="inlineStr">
        <is>
          <t>None</t>
        </is>
      </c>
    </row>
    <row r="21" ht="14.25" customHeight="1" s="41">
      <c r="B21" s="58" t="n">
        <v>5</v>
      </c>
      <c r="C21" s="40" t="inlineStr">
        <is>
          <t xml:space="preserve">Select image and clcik open button </t>
        </is>
      </c>
      <c r="D21" s="40" t="inlineStr">
        <is>
          <t xml:space="preserve">Selected image should reflect in logosection </t>
        </is>
      </c>
      <c r="E21" s="58" t="inlineStr">
        <is>
          <t>Selected image reflects in the section — image accepted and preview rendered=True.</t>
        </is>
      </c>
      <c r="F21" s="40" t="inlineStr">
        <is>
          <t>PASS</t>
        </is>
      </c>
      <c r="G21" s="40" t="inlineStr">
        <is>
          <t>None</t>
        </is>
      </c>
    </row>
    <row r="22" ht="14.25" customHeight="1" s="41">
      <c r="B22" s="58" t="n">
        <v>6</v>
      </c>
      <c r="C22" s="40" t="inlineStr">
        <is>
          <t xml:space="preserve">Input store name </t>
        </is>
      </c>
      <c r="D22" s="40" t="inlineStr">
        <is>
          <t xml:space="preserve">Inputted name should reflect on the field </t>
        </is>
      </c>
      <c r="E22" s="58" t="inlineStr">
        <is>
          <t>Store name accepts input — field 'Store Name *' now reads 'RegressionTest0817'.</t>
        </is>
      </c>
      <c r="F22" s="40" t="inlineStr">
        <is>
          <t>PASS</t>
        </is>
      </c>
      <c r="G22" s="40" t="inlineStr">
        <is>
          <t>None</t>
        </is>
      </c>
    </row>
    <row r="23" ht="14.25" customHeight="1" s="41">
      <c r="B23" s="58" t="n">
        <v>7</v>
      </c>
      <c r="C23" s="40" t="inlineStr">
        <is>
          <t xml:space="preserve">Input mobile script </t>
        </is>
      </c>
      <c r="D23" s="40" t="inlineStr">
        <is>
          <t xml:space="preserve">Inputted script should reflect on the grid </t>
        </is>
      </c>
      <c r="E23" s="58" t="inlineStr">
        <is>
          <t>Mobile script accepts input — field 'Mobile Script' now reads 'Regression test script'.</t>
        </is>
      </c>
      <c r="F23" s="40" t="inlineStr">
        <is>
          <t>PASS</t>
        </is>
      </c>
      <c r="G23" s="40" t="inlineStr">
        <is>
          <t>None</t>
        </is>
      </c>
    </row>
    <row r="24" ht="14.25" customHeight="1" s="41">
      <c r="B24" s="58" t="n">
        <v>8</v>
      </c>
      <c r="C24" s="40" t="inlineStr">
        <is>
          <t>Check bypass product review</t>
        </is>
      </c>
      <c r="D24" s="40" t="inlineStr">
        <is>
          <t xml:space="preserve">Byoass product review should be checked </t>
        </is>
      </c>
      <c r="E24" s="58" t="inlineStr">
        <is>
          <t>Check bypass product review — checkbox 'check_box
Bypass Product Review?' toggled False -&gt; True.</t>
        </is>
      </c>
      <c r="F24" s="40" t="inlineStr">
        <is>
          <t>PASS</t>
        </is>
      </c>
      <c r="G24" s="40" t="inlineStr">
        <is>
          <t>None</t>
        </is>
      </c>
    </row>
    <row r="25" ht="14.25" customHeight="1" s="41">
      <c r="B25" s="58" t="n">
        <v>9</v>
      </c>
      <c r="C25" s="40" t="inlineStr">
        <is>
          <t xml:space="preserve">Check is show done button </t>
        </is>
      </c>
      <c r="D25" s="40" t="inlineStr">
        <is>
          <t xml:space="preserve">Is show done button should be checked </t>
        </is>
      </c>
      <c r="E25" s="58" t="inlineStr">
        <is>
          <t>Check is show done button — checkbox 'check_box
Is Show Done Button?' toggled False -&gt; True.</t>
        </is>
      </c>
      <c r="F25" s="40" t="inlineStr">
        <is>
          <t>PASS</t>
        </is>
      </c>
      <c r="G25" s="40" t="inlineStr">
        <is>
          <t>None</t>
        </is>
      </c>
    </row>
    <row r="26" ht="14.25" customHeight="1" s="41">
      <c r="B26" s="58" t="n">
        <v>10</v>
      </c>
      <c r="C26" s="40" t="inlineStr">
        <is>
          <t xml:space="preserve">Input done button title </t>
        </is>
      </c>
      <c r="D26" s="40" t="inlineStr">
        <is>
          <t xml:space="preserve">Inputted title should reflect on the field </t>
        </is>
      </c>
      <c r="E26" s="58" t="inlineStr">
        <is>
          <t>Done button title accepts input — field 'Done Button Title' now reads 'RegressionTest0817'.</t>
        </is>
      </c>
      <c r="F26" s="40" t="inlineStr">
        <is>
          <t>PASS</t>
        </is>
      </c>
      <c r="G26" s="40" t="inlineStr">
        <is>
          <t>None</t>
        </is>
      </c>
    </row>
    <row r="27" ht="14.25" customHeight="1" s="41">
      <c r="B27" s="58" t="n">
        <v>11</v>
      </c>
      <c r="C27" s="40" t="inlineStr">
        <is>
          <t xml:space="preserve">Input review done url </t>
        </is>
      </c>
      <c r="D27" s="40" t="inlineStr">
        <is>
          <t xml:space="preserve">Inputted data should reflect on the field </t>
        </is>
      </c>
      <c r="E27" s="58" t="inlineStr">
        <is>
          <t>Review done url accepts input — field 'Review Done URL' now reads 'https://example.test/done'.</t>
        </is>
      </c>
      <c r="F27" s="40" t="inlineStr">
        <is>
          <t>PASS</t>
        </is>
      </c>
      <c r="G27" s="40" t="inlineStr">
        <is>
          <t>None</t>
        </is>
      </c>
    </row>
    <row r="28" ht="27" customHeight="1" s="41">
      <c r="B28" s="58" t="n">
        <v>12</v>
      </c>
      <c r="C28" s="59" t="inlineStr">
        <is>
          <t xml:space="preserve">Click save and close button </t>
        </is>
      </c>
      <c r="D28" s="60" t="inlineStr">
        <is>
          <t xml:space="preserve">1. Modal should close
2. Record should display on the grid </t>
        </is>
      </c>
      <c r="E28" s="58" t="inlineStr">
        <is>
          <t>Save ('checkSave &amp; Close') closes the modal and the new record appears in the grid (listed=True).</t>
        </is>
      </c>
      <c r="F28" s="40" t="inlineStr">
        <is>
          <t>PASS</t>
        </is>
      </c>
      <c r="G28" s="40" t="inlineStr">
        <is>
          <t>None</t>
        </is>
      </c>
    </row>
  </sheetData>
  <autoFilter ref="A1:G28"/>
  <mergeCells count="2">
    <mergeCell ref="A2:A15"/>
    <mergeCell ref="A17:A28"/>
  </mergeCells>
  <conditionalFormatting sqref="E17:E28">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28"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C21" activeCellId="0" sqref="C21"/>
    </sheetView>
  </sheetViews>
  <sheetFormatPr baseColWidth="8" defaultColWidth="8.5390625" defaultRowHeight="13.5" customHeight="0" zeroHeight="0" outlineLevelRow="0"/>
  <cols>
    <col width="24" customWidth="1" style="40" min="1" max="1"/>
    <col width="22.7" customWidth="1" style="40" min="2" max="2"/>
    <col width="41" customWidth="1" style="40" min="3" max="3"/>
    <col width="41.4" customWidth="1" style="40" min="4" max="4"/>
    <col width="24.1" customWidth="1" style="40" min="5" max="5"/>
    <col width="28.1"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review questions grid displayed</t>
        </is>
      </c>
      <c r="D2" s="61" t="inlineStr">
        <is>
          <t xml:space="preserve">Review questions grid should display </t>
        </is>
      </c>
      <c r="E2" s="58" t="inlineStr">
        <is>
          <t>Review questions grid displays (15 rows; columns rendered).</t>
        </is>
      </c>
      <c r="F2" s="40" t="inlineStr">
        <is>
          <t>PASS</t>
        </is>
      </c>
      <c r="G2" s="40" t="inlineStr">
        <is>
          <t>None</t>
        </is>
      </c>
    </row>
    <row r="3" ht="14.25" customHeight="1" s="41">
      <c r="B3" s="58" t="n">
        <v>2</v>
      </c>
      <c r="C3" s="59" t="inlineStr">
        <is>
          <t xml:space="preserve">Click filter review questions </t>
        </is>
      </c>
      <c r="D3" s="59" t="inlineStr">
        <is>
          <t>Filter dropdown should display</t>
        </is>
      </c>
      <c r="E3" s="58" t="inlineStr">
        <is>
          <t>'Filter Review Questions' opens the filter panel with a 'Select a filter' field.</t>
        </is>
      </c>
      <c r="F3" s="40" t="inlineStr">
        <is>
          <t>PASS</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Filter-field dropdown lists the grid columns: ['Title', 'Review Question', 'Option']</t>
        </is>
      </c>
      <c r="F4" s="40" t="inlineStr">
        <is>
          <t>PASS</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Selected filter column 'Title'; it reflects on the field and the 'Select a value' field appears.</t>
        </is>
      </c>
      <c r="F5" s="40" t="inlineStr">
        <is>
          <t>PASS</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'Select a value' opens a dropdown dependent on the chosen column 'Title': ['Clarity and Touch', 'Convenience', 'Design', 'Durability', 'Ease of Installation', 'Ease of Use', 'Installation', 'Length']</t>
        </is>
      </c>
      <c r="F6" s="40" t="inlineStr">
        <is>
          <t>PASS</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Value 'Clarity and Touch' selected and reflects on the field; Add Filter becomes available.</t>
        </is>
      </c>
      <c r="F7" s="40" t="inlineStr">
        <is>
          <t>PASS</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Add Filter applies the filter and creates a filtered tab in the grid (clicked).</t>
        </is>
      </c>
      <c r="F8" s="40" t="inlineStr">
        <is>
          <t>PASS</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Search field accepts input and filters the grid (1 rows matched 'a').</t>
        </is>
      </c>
      <c r="F9" s="40" t="inlineStr">
        <is>
          <t>PASS</t>
        </is>
      </c>
      <c r="G9" s="40" t="inlineStr">
        <is>
          <t>None</t>
        </is>
      </c>
    </row>
    <row r="10" ht="14.25" customHeight="1" s="41">
      <c r="B10" s="58" t="n">
        <v>9</v>
      </c>
      <c r="C10" s="59" t="inlineStr">
        <is>
          <t>Verify if able to export data</t>
        </is>
      </c>
      <c r="D10" s="59" t="inlineStr">
        <is>
          <t>Should be able to export data from the grid</t>
        </is>
      </c>
      <c r="E10" s="58" t="inlineStr">
        <is>
          <t>Export downloads 'Review_Question_08-17-2026.csv'.</t>
        </is>
      </c>
      <c r="F10" s="40" t="inlineStr">
        <is>
          <t>PASS</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Clicking our test record on the grid opens its record (1 row(s) matched 'RegressionTest0817'): Edit Review Question Details | close | Title * | Question * | Option * | remove_circle | Option * | remove_circle | Option * | remove</t>
        </is>
      </c>
      <c r="F11" s="40" t="inlineStr">
        <is>
          <t>PASS</t>
        </is>
      </c>
      <c r="G11" s="40" t="inlineStr">
        <is>
          <t>None</t>
        </is>
      </c>
    </row>
    <row r="12" ht="14.25" customHeight="1" s="41">
      <c r="B12" s="58" t="n">
        <v>11</v>
      </c>
      <c r="C12" s="59" t="inlineStr">
        <is>
          <t>Edit any field</t>
        </is>
      </c>
      <c r="D12" s="59" t="inlineStr">
        <is>
          <t xml:space="preserve">Change/s shoudl reflect on the field </t>
        </is>
      </c>
      <c r="E12" s="58" t="inlineStr">
        <is>
          <t>The record's name field accepts an edited value 'RegressionTest0817-EDIT' (True).</t>
        </is>
      </c>
      <c r="F12" s="40" t="inlineStr">
        <is>
          <t>PASS</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Save ('checkSave &amp; Close') closes the modal and the change shows on the grid — row now reads 'RegressionTest0817-EDIT'.</t>
        </is>
      </c>
      <c r="F13" s="40" t="inlineStr">
        <is>
          <t>PASS</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"Store Name" </t>
        </is>
      </c>
      <c r="E14" s="58" t="inlineStr">
        <is>
          <t>Delete shows a confirmation modal offering Yes/No (clicked): Delete Confirmation | close | Are you sure you want to delete RegressionTest0817-EDIT? | close | No | check | Yes</t>
        </is>
      </c>
      <c r="F14" s="40" t="inlineStr">
        <is>
          <t>PASS</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No dismisses the dialog and keeps the record (still listed=True); Yes deletes it (removed from grid=True).</t>
        </is>
      </c>
      <c r="F15" s="40" t="inlineStr">
        <is>
          <t>PASS</t>
        </is>
      </c>
      <c r="G15" s="40" t="inlineStr">
        <is>
          <t>None</t>
        </is>
      </c>
    </row>
    <row r="16" ht="13.5" customHeight="1" s="41">
      <c r="A16" s="62" t="n"/>
      <c r="B16" s="62" t="n"/>
      <c r="C16" s="62" t="n"/>
      <c r="D16" s="62" t="n"/>
      <c r="E16" s="62" t="n"/>
      <c r="F16" s="62" t="n"/>
    </row>
    <row r="17" ht="14.25" customHeight="1" s="41">
      <c r="A17" s="58" t="inlineStr">
        <is>
          <t xml:space="preserve">New Review Question </t>
        </is>
      </c>
      <c r="B17" s="58" t="n">
        <v>1</v>
      </c>
      <c r="C17" s="40" t="inlineStr">
        <is>
          <t xml:space="preserve">Clcik new button </t>
        </is>
      </c>
      <c r="D17" s="40" t="inlineStr">
        <is>
          <t xml:space="preserve">Should open a new review question modal </t>
        </is>
      </c>
      <c r="E17" s="58" t="inlineStr">
        <is>
          <t>New opens the New Review Question modal: New Review Question | close | Title * | Question * | New Option * | Done | close | Cancel | check | Save &amp; Close</t>
        </is>
      </c>
      <c r="F17" s="40" t="inlineStr">
        <is>
          <t>PASS</t>
        </is>
      </c>
      <c r="G17" s="40" t="inlineStr">
        <is>
          <t>None</t>
        </is>
      </c>
    </row>
    <row r="18" ht="14.25" customHeight="1" s="41">
      <c r="B18" s="58" t="n">
        <v>2</v>
      </c>
      <c r="C18" s="40" t="inlineStr">
        <is>
          <t>Input title</t>
        </is>
      </c>
      <c r="D18" s="40" t="inlineStr">
        <is>
          <t xml:space="preserve">Inputted title should reflect on the field </t>
        </is>
      </c>
      <c r="E18" s="58" t="inlineStr">
        <is>
          <t>Title accepts input — field 'Title *' now reads 'RegressionTest0817'.</t>
        </is>
      </c>
      <c r="F18" s="40" t="inlineStr">
        <is>
          <t>PASS</t>
        </is>
      </c>
      <c r="G18" s="40" t="inlineStr">
        <is>
          <t>None</t>
        </is>
      </c>
    </row>
    <row r="19" ht="14.25" customHeight="1" s="41">
      <c r="B19" s="58" t="n">
        <v>3</v>
      </c>
      <c r="C19" s="40" t="inlineStr">
        <is>
          <t xml:space="preserve">Input question </t>
        </is>
      </c>
      <c r="D19" s="40" t="inlineStr">
        <is>
          <t xml:space="preserve">Inputted question should reflect on the field </t>
        </is>
      </c>
      <c r="E19" s="58" t="inlineStr">
        <is>
          <t>Question accepts input — field 'Question *' now reads 'RegressionTest0817'.</t>
        </is>
      </c>
      <c r="F19" s="40" t="inlineStr">
        <is>
          <t>PASS</t>
        </is>
      </c>
      <c r="G19" s="40" t="inlineStr">
        <is>
          <t>None</t>
        </is>
      </c>
    </row>
    <row r="20" ht="14.25" customHeight="1" s="41">
      <c r="B20" s="58" t="n">
        <v>4</v>
      </c>
      <c r="C20" s="40" t="inlineStr">
        <is>
          <t xml:space="preserve">Input option </t>
        </is>
      </c>
      <c r="D20" s="40" t="inlineStr">
        <is>
          <t xml:space="preserve">Inputted option should reflect on the field </t>
        </is>
      </c>
      <c r="E20" s="58" t="inlineStr">
        <is>
          <t>Option accepts input — field 'New Option *' now reads 'RegressionTest0817'.</t>
        </is>
      </c>
      <c r="F20" s="40" t="inlineStr">
        <is>
          <t>PASS</t>
        </is>
      </c>
      <c r="G20" s="40" t="inlineStr">
        <is>
          <t>None</t>
        </is>
      </c>
    </row>
    <row r="21" ht="27" customHeight="1" s="41">
      <c r="B21" s="58" t="n">
        <v>5</v>
      </c>
      <c r="C21" s="40" t="inlineStr">
        <is>
          <t xml:space="preserve">Clcik save and close button </t>
        </is>
      </c>
      <c r="D21" s="60" t="inlineStr">
        <is>
          <t xml:space="preserve">1. Modal should close 
2. Record should display on the grid </t>
        </is>
      </c>
      <c r="E21" s="58" t="inlineStr">
        <is>
          <t>Save ('checkSave &amp; Close') closes the modal and the new record appears in the grid (listed=True).</t>
        </is>
      </c>
      <c r="F21" s="40" t="inlineStr">
        <is>
          <t>PASS</t>
        </is>
      </c>
      <c r="G21" s="40" t="inlineStr">
        <is>
          <t>None</t>
        </is>
      </c>
    </row>
  </sheetData>
  <autoFilter ref="A1:G21"/>
  <mergeCells count="2">
    <mergeCell ref="A2:A15"/>
    <mergeCell ref="A17:A21"/>
  </mergeCells>
  <conditionalFormatting sqref="E17:E21">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21"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M59"/>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5" customHeight="0" zeroHeight="0" outlineLevelRow="0"/>
  <cols>
    <col width="12" customWidth="1" style="40" min="1" max="1"/>
    <col width="24" customWidth="1" style="40" min="2" max="2"/>
    <col width="32" customWidth="1" style="40" min="3" max="3"/>
    <col width="11" customWidth="1" style="40" min="4" max="4"/>
    <col width="9" customWidth="1" style="40" min="5" max="5"/>
    <col width="15" customWidth="1" style="40" min="6" max="6"/>
    <col width="38" customWidth="1" style="40" min="7" max="7"/>
    <col width="14" customWidth="1" style="40" min="8" max="8"/>
    <col width="13" customWidth="1" style="40" min="9" max="11"/>
    <col width="30" customWidth="1" style="40" min="12" max="12"/>
    <col width="13" customWidth="1" style="40" min="13" max="13"/>
  </cols>
  <sheetData>
    <row r="1" ht="15" customHeight="1" s="41">
      <c r="A1" s="50" t="inlineStr">
        <is>
          <t>Defect ID</t>
        </is>
      </c>
      <c r="B1" s="50" t="inlineStr">
        <is>
          <t>Linked (module / scenario)</t>
        </is>
      </c>
      <c r="C1" s="50" t="inlineStr">
        <is>
          <t>Summary</t>
        </is>
      </c>
      <c r="D1" s="50" t="inlineStr">
        <is>
          <t>Severity</t>
        </is>
      </c>
      <c r="E1" s="50" t="inlineStr">
        <is>
          <t>Priority</t>
        </is>
      </c>
      <c r="F1" s="50" t="inlineStr">
        <is>
          <t>Status</t>
        </is>
      </c>
      <c r="G1" s="50" t="inlineStr">
        <is>
          <t>Steps to reproduce</t>
        </is>
      </c>
      <c r="H1" s="50" t="inlineStr">
        <is>
          <t>Environment</t>
        </is>
      </c>
      <c r="I1" s="50" t="inlineStr">
        <is>
          <t>Reported by</t>
        </is>
      </c>
      <c r="J1" s="50" t="inlineStr">
        <is>
          <t>Date reported</t>
        </is>
      </c>
      <c r="K1" s="50" t="inlineStr">
        <is>
          <t>Assigned to</t>
        </is>
      </c>
      <c r="L1" s="50" t="inlineStr">
        <is>
          <t>Resolution / notes</t>
        </is>
      </c>
      <c r="M1" s="50" t="inlineStr">
        <is>
          <t>Date resolved</t>
        </is>
      </c>
    </row>
    <row r="2" ht="23.25" customHeight="1" s="41">
      <c r="A2" s="74" t="inlineStr">
        <is>
          <t>DEF-001</t>
        </is>
      </c>
      <c r="B2" s="74" t="inlineStr">
        <is>
          <t>PORTAL - REGISTRATION / 12</t>
        </is>
      </c>
      <c r="C2" s="74" t="inlineStr">
        <is>
          <t>Product Barcode not shown on registration grid</t>
        </is>
      </c>
      <c r="D2" s="74" t="inlineStr">
        <is>
          <t>High</t>
        </is>
      </c>
      <c r="E2" s="74" t="inlineStr">
        <is>
          <t>P2</t>
        </is>
      </c>
      <c r="F2" s="74" t="inlineStr">
        <is>
          <t>Open</t>
        </is>
      </c>
      <c r="G2" s="74" t="inlineStr">
        <is>
          <t>1. Open Registration grid 2. Check Product Barcode column</t>
        </is>
      </c>
      <c r="H2" s="74" t="inlineStr">
        <is>
          <t>QA</t>
        </is>
      </c>
      <c r="I2" s="74" t="inlineStr">
        <is>
          <t>Sarah</t>
        </is>
      </c>
      <c r="J2" s="74" t="inlineStr">
        <is>
          <t>2026-07-15</t>
        </is>
      </c>
      <c r="K2" s="74" t="n"/>
      <c r="L2" s="74" t="inlineStr">
        <is>
          <t>Under investigation</t>
        </is>
      </c>
      <c r="M2" s="74" t="n"/>
    </row>
    <row r="3" ht="15" customHeight="1" s="41">
      <c r="A3" s="51" t="n"/>
      <c r="B3" s="51" t="n"/>
      <c r="C3" s="51" t="n"/>
      <c r="D3" s="51" t="n"/>
      <c r="E3" s="51" t="n"/>
      <c r="F3" s="51" t="n"/>
      <c r="G3" s="51" t="n"/>
      <c r="H3" s="51" t="n"/>
      <c r="I3" s="51" t="n"/>
      <c r="J3" s="51" t="n"/>
      <c r="K3" s="51" t="n"/>
      <c r="L3" s="51" t="n"/>
      <c r="M3" s="51" t="n"/>
    </row>
    <row r="4" ht="15" customHeight="1" s="41">
      <c r="A4" s="51" t="n"/>
      <c r="B4" s="51" t="n"/>
      <c r="C4" s="51" t="n"/>
      <c r="D4" s="51" t="n"/>
      <c r="E4" s="51" t="n"/>
      <c r="F4" s="51" t="n"/>
      <c r="G4" s="51" t="n"/>
      <c r="H4" s="51" t="n"/>
      <c r="I4" s="51" t="n"/>
      <c r="J4" s="51" t="n"/>
      <c r="K4" s="51" t="n"/>
      <c r="L4" s="51" t="n"/>
      <c r="M4" s="51" t="n"/>
    </row>
    <row r="5" ht="15" customHeight="1" s="41">
      <c r="A5" s="51" t="n"/>
      <c r="B5" s="51" t="n"/>
      <c r="C5" s="51" t="n"/>
      <c r="D5" s="51" t="n"/>
      <c r="E5" s="51" t="n"/>
      <c r="F5" s="51" t="n"/>
      <c r="G5" s="51" t="n"/>
      <c r="H5" s="51" t="n"/>
      <c r="I5" s="51" t="n"/>
      <c r="J5" s="51" t="n"/>
      <c r="K5" s="51" t="n"/>
      <c r="L5" s="51" t="n"/>
      <c r="M5" s="51" t="n"/>
    </row>
    <row r="6" ht="15" customHeight="1" s="41">
      <c r="A6" s="51" t="n"/>
      <c r="B6" s="51" t="n"/>
      <c r="C6" s="51" t="n"/>
      <c r="D6" s="51" t="n"/>
      <c r="E6" s="51" t="n"/>
      <c r="F6" s="51" t="n"/>
      <c r="G6" s="51" t="n"/>
      <c r="H6" s="51" t="n"/>
      <c r="I6" s="51" t="n"/>
      <c r="J6" s="51" t="n"/>
      <c r="K6" s="51" t="n"/>
      <c r="L6" s="51" t="n"/>
      <c r="M6" s="51" t="n"/>
    </row>
    <row r="7" ht="15" customHeight="1" s="41">
      <c r="A7" s="51" t="n"/>
      <c r="B7" s="51" t="n"/>
      <c r="C7" s="51" t="n"/>
      <c r="D7" s="51" t="n"/>
      <c r="E7" s="51" t="n"/>
      <c r="F7" s="51" t="n"/>
      <c r="G7" s="51" t="n"/>
      <c r="H7" s="51" t="n"/>
      <c r="I7" s="51" t="n"/>
      <c r="J7" s="51" t="n"/>
      <c r="K7" s="51" t="n"/>
      <c r="L7" s="51" t="n"/>
      <c r="M7" s="51" t="n"/>
    </row>
    <row r="8" ht="15" customHeight="1" s="41">
      <c r="A8" s="51" t="n"/>
      <c r="B8" s="51" t="n"/>
      <c r="C8" s="51" t="n"/>
      <c r="D8" s="51" t="n"/>
      <c r="E8" s="51" t="n"/>
      <c r="F8" s="51" t="n"/>
      <c r="G8" s="51" t="n"/>
      <c r="H8" s="51" t="n"/>
      <c r="I8" s="51" t="n"/>
      <c r="J8" s="51" t="n"/>
      <c r="K8" s="51" t="n"/>
      <c r="L8" s="51" t="n"/>
      <c r="M8" s="51" t="n"/>
    </row>
    <row r="9" ht="15" customHeight="1" s="41">
      <c r="A9" s="51" t="n"/>
      <c r="B9" s="51" t="n"/>
      <c r="C9" s="51" t="n"/>
      <c r="D9" s="51" t="n"/>
      <c r="E9" s="51" t="n"/>
      <c r="F9" s="51" t="n"/>
      <c r="G9" s="51" t="n"/>
      <c r="H9" s="51" t="n"/>
      <c r="I9" s="51" t="n"/>
      <c r="J9" s="51" t="n"/>
      <c r="K9" s="51" t="n"/>
      <c r="L9" s="51" t="n"/>
      <c r="M9" s="51" t="n"/>
    </row>
    <row r="10" ht="15" customHeight="1" s="41">
      <c r="A10" s="51" t="n"/>
      <c r="B10" s="51" t="n"/>
      <c r="C10" s="51" t="n"/>
      <c r="D10" s="51" t="n"/>
      <c r="E10" s="51" t="n"/>
      <c r="F10" s="51" t="n"/>
      <c r="G10" s="51" t="n"/>
      <c r="H10" s="51" t="n"/>
      <c r="I10" s="51" t="n"/>
      <c r="J10" s="51" t="n"/>
      <c r="K10" s="51" t="n"/>
      <c r="L10" s="51" t="n"/>
      <c r="M10" s="51" t="n"/>
    </row>
    <row r="11" ht="15" customHeight="1" s="41">
      <c r="A11" s="51" t="n"/>
      <c r="B11" s="51" t="n"/>
      <c r="C11" s="51" t="n"/>
      <c r="D11" s="51" t="n"/>
      <c r="E11" s="51" t="n"/>
      <c r="F11" s="51" t="n"/>
      <c r="G11" s="51" t="n"/>
      <c r="H11" s="51" t="n"/>
      <c r="I11" s="51" t="n"/>
      <c r="J11" s="51" t="n"/>
      <c r="K11" s="51" t="n"/>
      <c r="L11" s="51" t="n"/>
      <c r="M11" s="51" t="n"/>
    </row>
    <row r="12" ht="15" customHeight="1" s="41">
      <c r="A12" s="51" t="n"/>
      <c r="B12" s="51" t="n"/>
      <c r="C12" s="51" t="n"/>
      <c r="D12" s="51" t="n"/>
      <c r="E12" s="51" t="n"/>
      <c r="F12" s="51" t="n"/>
      <c r="G12" s="51" t="n"/>
      <c r="H12" s="51" t="n"/>
      <c r="I12" s="51" t="n"/>
      <c r="J12" s="51" t="n"/>
      <c r="K12" s="51" t="n"/>
      <c r="L12" s="51" t="n"/>
      <c r="M12" s="51" t="n"/>
    </row>
    <row r="13" ht="15" customHeight="1" s="41">
      <c r="A13" s="51" t="n"/>
      <c r="B13" s="51" t="n"/>
      <c r="C13" s="51" t="n"/>
      <c r="D13" s="51" t="n"/>
      <c r="E13" s="51" t="n"/>
      <c r="F13" s="51" t="n"/>
      <c r="G13" s="51" t="n"/>
      <c r="H13" s="51" t="n"/>
      <c r="I13" s="51" t="n"/>
      <c r="J13" s="51" t="n"/>
      <c r="K13" s="51" t="n"/>
      <c r="L13" s="51" t="n"/>
      <c r="M13" s="51" t="n"/>
    </row>
    <row r="14" ht="15" customHeight="1" s="41">
      <c r="A14" s="51" t="n"/>
      <c r="B14" s="51" t="n"/>
      <c r="C14" s="51" t="n"/>
      <c r="D14" s="51" t="n"/>
      <c r="E14" s="51" t="n"/>
      <c r="F14" s="51" t="n"/>
      <c r="G14" s="51" t="n"/>
      <c r="H14" s="51" t="n"/>
      <c r="I14" s="51" t="n"/>
      <c r="J14" s="51" t="n"/>
      <c r="K14" s="51" t="n"/>
      <c r="L14" s="51" t="n"/>
      <c r="M14" s="51" t="n"/>
    </row>
    <row r="15" ht="15" customHeight="1" s="41">
      <c r="A15" s="51" t="n"/>
      <c r="B15" s="51" t="n"/>
      <c r="C15" s="51" t="n"/>
      <c r="D15" s="51" t="n"/>
      <c r="E15" s="51" t="n"/>
      <c r="F15" s="51" t="n"/>
      <c r="G15" s="51" t="n"/>
      <c r="H15" s="51" t="n"/>
      <c r="I15" s="51" t="n"/>
      <c r="J15" s="51" t="n"/>
      <c r="K15" s="51" t="n"/>
      <c r="L15" s="51" t="n"/>
      <c r="M15" s="51" t="n"/>
    </row>
    <row r="16" ht="15" customHeight="1" s="41">
      <c r="A16" s="51" t="n"/>
      <c r="B16" s="51" t="n"/>
      <c r="C16" s="51" t="n"/>
      <c r="D16" s="51" t="n"/>
      <c r="E16" s="51" t="n"/>
      <c r="F16" s="51" t="n"/>
      <c r="G16" s="51" t="n"/>
      <c r="H16" s="51" t="n"/>
      <c r="I16" s="51" t="n"/>
      <c r="J16" s="51" t="n"/>
      <c r="K16" s="51" t="n"/>
      <c r="L16" s="51" t="n"/>
      <c r="M16" s="51" t="n"/>
    </row>
    <row r="17" ht="15" customHeight="1" s="41">
      <c r="A17" s="51" t="n"/>
      <c r="B17" s="51" t="n"/>
      <c r="C17" s="51" t="n"/>
      <c r="D17" s="51" t="n"/>
      <c r="E17" s="51" t="n"/>
      <c r="F17" s="51" t="n"/>
      <c r="G17" s="51" t="n"/>
      <c r="H17" s="51" t="n"/>
      <c r="I17" s="51" t="n"/>
      <c r="J17" s="51" t="n"/>
      <c r="K17" s="51" t="n"/>
      <c r="L17" s="51" t="n"/>
      <c r="M17" s="51" t="n"/>
    </row>
    <row r="18" ht="15" customHeight="1" s="41">
      <c r="A18" s="51" t="n"/>
      <c r="B18" s="51" t="n"/>
      <c r="C18" s="51" t="n"/>
      <c r="D18" s="51" t="n"/>
      <c r="E18" s="51" t="n"/>
      <c r="F18" s="51" t="n"/>
      <c r="G18" s="51" t="n"/>
      <c r="H18" s="51" t="n"/>
      <c r="I18" s="51" t="n"/>
      <c r="J18" s="51" t="n"/>
      <c r="K18" s="51" t="n"/>
      <c r="L18" s="51" t="n"/>
      <c r="M18" s="51" t="n"/>
    </row>
    <row r="19" ht="15" customHeight="1" s="41">
      <c r="A19" s="51" t="n"/>
      <c r="B19" s="51" t="n"/>
      <c r="C19" s="51" t="n"/>
      <c r="D19" s="51" t="n"/>
      <c r="E19" s="51" t="n"/>
      <c r="F19" s="51" t="n"/>
      <c r="G19" s="51" t="n"/>
      <c r="H19" s="51" t="n"/>
      <c r="I19" s="51" t="n"/>
      <c r="J19" s="51" t="n"/>
      <c r="K19" s="51" t="n"/>
      <c r="L19" s="51" t="n"/>
      <c r="M19" s="51" t="n"/>
    </row>
    <row r="20" ht="15" customHeight="1" s="41">
      <c r="A20" s="51" t="n"/>
      <c r="B20" s="51" t="n"/>
      <c r="C20" s="51" t="n"/>
      <c r="D20" s="51" t="n"/>
      <c r="E20" s="51" t="n"/>
      <c r="F20" s="51" t="n"/>
      <c r="G20" s="51" t="n"/>
      <c r="H20" s="51" t="n"/>
      <c r="I20" s="51" t="n"/>
      <c r="J20" s="51" t="n"/>
      <c r="K20" s="51" t="n"/>
      <c r="L20" s="51" t="n"/>
      <c r="M20" s="51" t="n"/>
    </row>
    <row r="21" ht="15" customHeight="1" s="41">
      <c r="A21" s="51" t="n"/>
      <c r="B21" s="51" t="n"/>
      <c r="C21" s="51" t="n"/>
      <c r="D21" s="51" t="n"/>
      <c r="E21" s="51" t="n"/>
      <c r="F21" s="51" t="n"/>
      <c r="G21" s="51" t="n"/>
      <c r="H21" s="51" t="n"/>
      <c r="I21" s="51" t="n"/>
      <c r="J21" s="51" t="n"/>
      <c r="K21" s="51" t="n"/>
      <c r="L21" s="51" t="n"/>
      <c r="M21" s="51" t="n"/>
    </row>
    <row r="22" ht="15" customHeight="1" s="41">
      <c r="A22" s="51" t="n"/>
      <c r="B22" s="51" t="n"/>
      <c r="C22" s="51" t="n"/>
      <c r="D22" s="51" t="n"/>
      <c r="E22" s="51" t="n"/>
      <c r="F22" s="51" t="n"/>
      <c r="G22" s="51" t="n"/>
      <c r="H22" s="51" t="n"/>
      <c r="I22" s="51" t="n"/>
      <c r="J22" s="51" t="n"/>
      <c r="K22" s="51" t="n"/>
      <c r="L22" s="51" t="n"/>
      <c r="M22" s="51" t="n"/>
    </row>
    <row r="23" ht="15" customHeight="1" s="41">
      <c r="A23" s="51" t="n"/>
      <c r="B23" s="51" t="n"/>
      <c r="C23" s="51" t="n"/>
      <c r="D23" s="51" t="n"/>
      <c r="E23" s="51" t="n"/>
      <c r="F23" s="51" t="n"/>
      <c r="G23" s="51" t="n"/>
      <c r="H23" s="51" t="n"/>
      <c r="I23" s="51" t="n"/>
      <c r="J23" s="51" t="n"/>
      <c r="K23" s="51" t="n"/>
      <c r="L23" s="51" t="n"/>
      <c r="M23" s="51" t="n"/>
    </row>
    <row r="24" ht="15" customHeight="1" s="41">
      <c r="A24" s="51" t="n"/>
      <c r="B24" s="51" t="n"/>
      <c r="C24" s="51" t="n"/>
      <c r="D24" s="51" t="n"/>
      <c r="E24" s="51" t="n"/>
      <c r="F24" s="51" t="n"/>
      <c r="G24" s="51" t="n"/>
      <c r="H24" s="51" t="n"/>
      <c r="I24" s="51" t="n"/>
      <c r="J24" s="51" t="n"/>
      <c r="K24" s="51" t="n"/>
      <c r="L24" s="51" t="n"/>
      <c r="M24" s="51" t="n"/>
    </row>
    <row r="25" ht="15" customHeight="1" s="41">
      <c r="A25" s="51" t="n"/>
      <c r="B25" s="51" t="n"/>
      <c r="C25" s="51" t="n"/>
      <c r="D25" s="51" t="n"/>
      <c r="E25" s="51" t="n"/>
      <c r="F25" s="51" t="n"/>
      <c r="G25" s="51" t="n"/>
      <c r="H25" s="51" t="n"/>
      <c r="I25" s="51" t="n"/>
      <c r="J25" s="51" t="n"/>
      <c r="K25" s="51" t="n"/>
      <c r="L25" s="51" t="n"/>
      <c r="M25" s="51" t="n"/>
    </row>
    <row r="26" ht="15" customHeight="1" s="41">
      <c r="A26" s="51" t="n"/>
      <c r="B26" s="51" t="n"/>
      <c r="C26" s="51" t="n"/>
      <c r="D26" s="51" t="n"/>
      <c r="E26" s="51" t="n"/>
      <c r="F26" s="51" t="n"/>
      <c r="G26" s="51" t="n"/>
      <c r="H26" s="51" t="n"/>
      <c r="I26" s="51" t="n"/>
      <c r="J26" s="51" t="n"/>
      <c r="K26" s="51" t="n"/>
      <c r="L26" s="51" t="n"/>
      <c r="M26" s="51" t="n"/>
    </row>
    <row r="27" ht="15" customHeight="1" s="41">
      <c r="A27" s="51" t="n"/>
      <c r="B27" s="51" t="n"/>
      <c r="C27" s="51" t="n"/>
      <c r="D27" s="51" t="n"/>
      <c r="E27" s="51" t="n"/>
      <c r="F27" s="51" t="n"/>
      <c r="G27" s="51" t="n"/>
      <c r="H27" s="51" t="n"/>
      <c r="I27" s="51" t="n"/>
      <c r="J27" s="51" t="n"/>
      <c r="K27" s="51" t="n"/>
      <c r="L27" s="51" t="n"/>
      <c r="M27" s="51" t="n"/>
    </row>
    <row r="28" ht="15" customHeight="1" s="41">
      <c r="A28" s="51" t="n"/>
      <c r="B28" s="51" t="n"/>
      <c r="C28" s="51" t="n"/>
      <c r="D28" s="51" t="n"/>
      <c r="E28" s="51" t="n"/>
      <c r="F28" s="51" t="n"/>
      <c r="G28" s="51" t="n"/>
      <c r="H28" s="51" t="n"/>
      <c r="I28" s="51" t="n"/>
      <c r="J28" s="51" t="n"/>
      <c r="K28" s="51" t="n"/>
      <c r="L28" s="51" t="n"/>
      <c r="M28" s="51" t="n"/>
    </row>
    <row r="29" ht="15" customHeight="1" s="41">
      <c r="A29" s="51" t="n"/>
      <c r="B29" s="51" t="n"/>
      <c r="C29" s="51" t="n"/>
      <c r="D29" s="51" t="n"/>
      <c r="E29" s="51" t="n"/>
      <c r="F29" s="51" t="n"/>
      <c r="G29" s="51" t="n"/>
      <c r="H29" s="51" t="n"/>
      <c r="I29" s="51" t="n"/>
      <c r="J29" s="51" t="n"/>
      <c r="K29" s="51" t="n"/>
      <c r="L29" s="51" t="n"/>
      <c r="M29" s="51" t="n"/>
    </row>
    <row r="30" ht="15" customHeight="1" s="41">
      <c r="A30" s="51" t="n"/>
      <c r="B30" s="51" t="n"/>
      <c r="C30" s="51" t="n"/>
      <c r="D30" s="51" t="n"/>
      <c r="E30" s="51" t="n"/>
      <c r="F30" s="51" t="n"/>
      <c r="G30" s="51" t="n"/>
      <c r="H30" s="51" t="n"/>
      <c r="I30" s="51" t="n"/>
      <c r="J30" s="51" t="n"/>
      <c r="K30" s="51" t="n"/>
      <c r="L30" s="51" t="n"/>
      <c r="M30" s="51" t="n"/>
    </row>
    <row r="31" ht="15" customHeight="1" s="41">
      <c r="A31" s="51" t="n"/>
      <c r="B31" s="51" t="n"/>
      <c r="C31" s="51" t="n"/>
      <c r="D31" s="51" t="n"/>
      <c r="E31" s="51" t="n"/>
      <c r="F31" s="51" t="n"/>
      <c r="G31" s="51" t="n"/>
      <c r="H31" s="51" t="n"/>
      <c r="I31" s="51" t="n"/>
      <c r="J31" s="51" t="n"/>
      <c r="K31" s="51" t="n"/>
      <c r="L31" s="51" t="n"/>
      <c r="M31" s="51" t="n"/>
    </row>
    <row r="32" ht="15" customHeight="1" s="41">
      <c r="A32" s="51" t="n"/>
      <c r="B32" s="51" t="n"/>
      <c r="C32" s="51" t="n"/>
      <c r="D32" s="51" t="n"/>
      <c r="E32" s="51" t="n"/>
      <c r="F32" s="51" t="n"/>
      <c r="G32" s="51" t="n"/>
      <c r="H32" s="51" t="n"/>
      <c r="I32" s="51" t="n"/>
      <c r="J32" s="51" t="n"/>
      <c r="K32" s="51" t="n"/>
      <c r="L32" s="51" t="n"/>
      <c r="M32" s="51" t="n"/>
    </row>
    <row r="33" ht="15" customHeight="1" s="41">
      <c r="A33" s="51" t="n"/>
      <c r="B33" s="51" t="n"/>
      <c r="C33" s="51" t="n"/>
      <c r="D33" s="51" t="n"/>
      <c r="E33" s="51" t="n"/>
      <c r="F33" s="51" t="n"/>
      <c r="G33" s="51" t="n"/>
      <c r="H33" s="51" t="n"/>
      <c r="I33" s="51" t="n"/>
      <c r="J33" s="51" t="n"/>
      <c r="K33" s="51" t="n"/>
      <c r="L33" s="51" t="n"/>
      <c r="M33" s="51" t="n"/>
    </row>
    <row r="34" ht="15" customHeight="1" s="41">
      <c r="A34" s="51" t="n"/>
      <c r="B34" s="51" t="n"/>
      <c r="C34" s="51" t="n"/>
      <c r="D34" s="51" t="n"/>
      <c r="E34" s="51" t="n"/>
      <c r="F34" s="51" t="n"/>
      <c r="G34" s="51" t="n"/>
      <c r="H34" s="51" t="n"/>
      <c r="I34" s="51" t="n"/>
      <c r="J34" s="51" t="n"/>
      <c r="K34" s="51" t="n"/>
      <c r="L34" s="51" t="n"/>
      <c r="M34" s="51" t="n"/>
    </row>
    <row r="35" ht="15" customHeight="1" s="41">
      <c r="A35" s="51" t="n"/>
      <c r="B35" s="51" t="n"/>
      <c r="C35" s="51" t="n"/>
      <c r="D35" s="51" t="n"/>
      <c r="E35" s="51" t="n"/>
      <c r="F35" s="51" t="n"/>
      <c r="G35" s="51" t="n"/>
      <c r="H35" s="51" t="n"/>
      <c r="I35" s="51" t="n"/>
      <c r="J35" s="51" t="n"/>
      <c r="K35" s="51" t="n"/>
      <c r="L35" s="51" t="n"/>
      <c r="M35" s="51" t="n"/>
    </row>
    <row r="36" ht="15" customHeight="1" s="41">
      <c r="A36" s="51" t="n"/>
      <c r="B36" s="51" t="n"/>
      <c r="C36" s="51" t="n"/>
      <c r="D36" s="51" t="n"/>
      <c r="E36" s="51" t="n"/>
      <c r="F36" s="51" t="n"/>
      <c r="G36" s="51" t="n"/>
      <c r="H36" s="51" t="n"/>
      <c r="I36" s="51" t="n"/>
      <c r="J36" s="51" t="n"/>
      <c r="K36" s="51" t="n"/>
      <c r="L36" s="51" t="n"/>
      <c r="M36" s="51" t="n"/>
    </row>
    <row r="37" ht="15" customHeight="1" s="41">
      <c r="A37" s="51" t="n"/>
      <c r="B37" s="51" t="n"/>
      <c r="C37" s="51" t="n"/>
      <c r="D37" s="51" t="n"/>
      <c r="E37" s="51" t="n"/>
      <c r="F37" s="51" t="n"/>
      <c r="G37" s="51" t="n"/>
      <c r="H37" s="51" t="n"/>
      <c r="I37" s="51" t="n"/>
      <c r="J37" s="51" t="n"/>
      <c r="K37" s="51" t="n"/>
      <c r="L37" s="51" t="n"/>
      <c r="M37" s="51" t="n"/>
    </row>
    <row r="38" ht="15" customHeight="1" s="41">
      <c r="A38" s="51" t="n"/>
      <c r="B38" s="51" t="n"/>
      <c r="C38" s="51" t="n"/>
      <c r="D38" s="51" t="n"/>
      <c r="E38" s="51" t="n"/>
      <c r="F38" s="51" t="n"/>
      <c r="G38" s="51" t="n"/>
      <c r="H38" s="51" t="n"/>
      <c r="I38" s="51" t="n"/>
      <c r="J38" s="51" t="n"/>
      <c r="K38" s="51" t="n"/>
      <c r="L38" s="51" t="n"/>
      <c r="M38" s="51" t="n"/>
    </row>
    <row r="39" ht="15" customHeight="1" s="41">
      <c r="A39" s="51" t="n"/>
      <c r="B39" s="51" t="n"/>
      <c r="C39" s="51" t="n"/>
      <c r="D39" s="51" t="n"/>
      <c r="E39" s="51" t="n"/>
      <c r="F39" s="51" t="n"/>
      <c r="G39" s="51" t="n"/>
      <c r="H39" s="51" t="n"/>
      <c r="I39" s="51" t="n"/>
      <c r="J39" s="51" t="n"/>
      <c r="K39" s="51" t="n"/>
      <c r="L39" s="51" t="n"/>
      <c r="M39" s="51" t="n"/>
    </row>
    <row r="40" ht="15" customHeight="1" s="41">
      <c r="A40" s="51" t="n"/>
      <c r="B40" s="51" t="n"/>
      <c r="C40" s="51" t="n"/>
      <c r="D40" s="51" t="n"/>
      <c r="E40" s="51" t="n"/>
      <c r="F40" s="51" t="n"/>
      <c r="G40" s="51" t="n"/>
      <c r="H40" s="51" t="n"/>
      <c r="I40" s="51" t="n"/>
      <c r="J40" s="51" t="n"/>
      <c r="K40" s="51" t="n"/>
      <c r="L40" s="51" t="n"/>
      <c r="M40" s="51" t="n"/>
    </row>
    <row r="41" ht="15" customHeight="1" s="41">
      <c r="A41" s="51" t="n"/>
      <c r="B41" s="51" t="n"/>
      <c r="C41" s="51" t="n"/>
      <c r="D41" s="51" t="n"/>
      <c r="E41" s="51" t="n"/>
      <c r="F41" s="51" t="n"/>
      <c r="G41" s="51" t="n"/>
      <c r="H41" s="51" t="n"/>
      <c r="I41" s="51" t="n"/>
      <c r="J41" s="51" t="n"/>
      <c r="K41" s="51" t="n"/>
      <c r="L41" s="51" t="n"/>
      <c r="M41" s="51" t="n"/>
    </row>
    <row r="42" ht="15" customHeight="1" s="41">
      <c r="A42" s="51" t="n"/>
      <c r="B42" s="51" t="n"/>
      <c r="C42" s="51" t="n"/>
      <c r="D42" s="51" t="n"/>
      <c r="E42" s="51" t="n"/>
      <c r="F42" s="51" t="n"/>
      <c r="G42" s="51" t="n"/>
      <c r="H42" s="51" t="n"/>
      <c r="I42" s="51" t="n"/>
      <c r="J42" s="51" t="n"/>
      <c r="K42" s="51" t="n"/>
      <c r="L42" s="51" t="n"/>
      <c r="M42" s="51" t="n"/>
    </row>
    <row r="43" ht="15" customHeight="1" s="41">
      <c r="A43" s="51" t="n"/>
      <c r="B43" s="51" t="n"/>
      <c r="C43" s="51" t="n"/>
      <c r="D43" s="51" t="n"/>
      <c r="E43" s="51" t="n"/>
      <c r="F43" s="51" t="n"/>
      <c r="G43" s="51" t="n"/>
      <c r="H43" s="51" t="n"/>
      <c r="I43" s="51" t="n"/>
      <c r="J43" s="51" t="n"/>
      <c r="K43" s="51" t="n"/>
      <c r="L43" s="51" t="n"/>
      <c r="M43" s="51" t="n"/>
    </row>
    <row r="44" ht="15" customHeight="1" s="41">
      <c r="A44" s="51" t="n"/>
      <c r="B44" s="51" t="n"/>
      <c r="C44" s="51" t="n"/>
      <c r="D44" s="51" t="n"/>
      <c r="E44" s="51" t="n"/>
      <c r="F44" s="51" t="n"/>
      <c r="G44" s="51" t="n"/>
      <c r="H44" s="51" t="n"/>
      <c r="I44" s="51" t="n"/>
      <c r="J44" s="51" t="n"/>
      <c r="K44" s="51" t="n"/>
      <c r="L44" s="51" t="n"/>
      <c r="M44" s="51" t="n"/>
    </row>
    <row r="45" ht="15" customHeight="1" s="41">
      <c r="A45" s="51" t="n"/>
      <c r="B45" s="51" t="n"/>
      <c r="C45" s="51" t="n"/>
      <c r="D45" s="51" t="n"/>
      <c r="E45" s="51" t="n"/>
      <c r="F45" s="51" t="n"/>
      <c r="G45" s="51" t="n"/>
      <c r="H45" s="51" t="n"/>
      <c r="I45" s="51" t="n"/>
      <c r="J45" s="51" t="n"/>
      <c r="K45" s="51" t="n"/>
      <c r="L45" s="51" t="n"/>
      <c r="M45" s="51" t="n"/>
    </row>
    <row r="46" ht="15" customHeight="1" s="41">
      <c r="A46" s="51" t="n"/>
      <c r="B46" s="51" t="n"/>
      <c r="C46" s="51" t="n"/>
      <c r="D46" s="51" t="n"/>
      <c r="E46" s="51" t="n"/>
      <c r="F46" s="51" t="n"/>
      <c r="G46" s="51" t="n"/>
      <c r="H46" s="51" t="n"/>
      <c r="I46" s="51" t="n"/>
      <c r="J46" s="51" t="n"/>
      <c r="K46" s="51" t="n"/>
      <c r="L46" s="51" t="n"/>
      <c r="M46" s="51" t="n"/>
    </row>
    <row r="47" ht="15" customHeight="1" s="41">
      <c r="A47" s="51" t="n"/>
      <c r="B47" s="51" t="n"/>
      <c r="C47" s="51" t="n"/>
      <c r="D47" s="51" t="n"/>
      <c r="E47" s="51" t="n"/>
      <c r="F47" s="51" t="n"/>
      <c r="G47" s="51" t="n"/>
      <c r="H47" s="51" t="n"/>
      <c r="I47" s="51" t="n"/>
      <c r="J47" s="51" t="n"/>
      <c r="K47" s="51" t="n"/>
      <c r="L47" s="51" t="n"/>
      <c r="M47" s="51" t="n"/>
    </row>
    <row r="48" ht="15" customHeight="1" s="41">
      <c r="A48" s="51" t="n"/>
      <c r="B48" s="51" t="n"/>
      <c r="C48" s="51" t="n"/>
      <c r="D48" s="51" t="n"/>
      <c r="E48" s="51" t="n"/>
      <c r="F48" s="51" t="n"/>
      <c r="G48" s="51" t="n"/>
      <c r="H48" s="51" t="n"/>
      <c r="I48" s="51" t="n"/>
      <c r="J48" s="51" t="n"/>
      <c r="K48" s="51" t="n"/>
      <c r="L48" s="51" t="n"/>
      <c r="M48" s="51" t="n"/>
    </row>
    <row r="49" ht="15" customHeight="1" s="41">
      <c r="A49" s="51" t="n"/>
      <c r="B49" s="51" t="n"/>
      <c r="C49" s="51" t="n"/>
      <c r="D49" s="51" t="n"/>
      <c r="E49" s="51" t="n"/>
      <c r="F49" s="51" t="n"/>
      <c r="G49" s="51" t="n"/>
      <c r="H49" s="51" t="n"/>
      <c r="I49" s="51" t="n"/>
      <c r="J49" s="51" t="n"/>
      <c r="K49" s="51" t="n"/>
      <c r="L49" s="51" t="n"/>
      <c r="M49" s="51" t="n"/>
    </row>
    <row r="50" ht="15" customHeight="1" s="41">
      <c r="A50" s="51" t="n"/>
      <c r="B50" s="51" t="n"/>
      <c r="C50" s="51" t="n"/>
      <c r="D50" s="51" t="n"/>
      <c r="E50" s="51" t="n"/>
      <c r="F50" s="51" t="n"/>
      <c r="G50" s="51" t="n"/>
      <c r="H50" s="51" t="n"/>
      <c r="I50" s="51" t="n"/>
      <c r="J50" s="51" t="n"/>
      <c r="K50" s="51" t="n"/>
      <c r="L50" s="51" t="n"/>
      <c r="M50" s="51" t="n"/>
    </row>
    <row r="51" ht="15" customHeight="1" s="41">
      <c r="A51" s="51" t="n"/>
      <c r="B51" s="51" t="n"/>
      <c r="C51" s="51" t="n"/>
      <c r="D51" s="51" t="n"/>
      <c r="E51" s="51" t="n"/>
      <c r="F51" s="51" t="n"/>
      <c r="G51" s="51" t="n"/>
      <c r="H51" s="51" t="n"/>
      <c r="I51" s="51" t="n"/>
      <c r="J51" s="51" t="n"/>
      <c r="K51" s="51" t="n"/>
      <c r="L51" s="51" t="n"/>
      <c r="M51" s="51" t="n"/>
    </row>
    <row r="52" ht="15" customHeight="1" s="41">
      <c r="A52" s="51" t="n"/>
      <c r="B52" s="51" t="n"/>
      <c r="C52" s="51" t="n"/>
      <c r="D52" s="51" t="n"/>
      <c r="E52" s="51" t="n"/>
      <c r="F52" s="51" t="n"/>
      <c r="G52" s="51" t="n"/>
      <c r="H52" s="51" t="n"/>
      <c r="I52" s="51" t="n"/>
      <c r="J52" s="51" t="n"/>
      <c r="K52" s="51" t="n"/>
      <c r="L52" s="51" t="n"/>
      <c r="M52" s="51" t="n"/>
    </row>
    <row r="53" ht="15" customHeight="1" s="41">
      <c r="A53" s="51" t="n"/>
      <c r="B53" s="51" t="n"/>
      <c r="C53" s="51" t="n"/>
      <c r="D53" s="51" t="n"/>
      <c r="E53" s="51" t="n"/>
      <c r="F53" s="51" t="n"/>
      <c r="G53" s="51" t="n"/>
      <c r="H53" s="51" t="n"/>
      <c r="I53" s="51" t="n"/>
      <c r="J53" s="51" t="n"/>
      <c r="K53" s="51" t="n"/>
      <c r="L53" s="51" t="n"/>
      <c r="M53" s="51" t="n"/>
    </row>
    <row r="54" ht="15" customHeight="1" s="41">
      <c r="A54" s="51" t="n"/>
      <c r="B54" s="51" t="n"/>
      <c r="C54" s="51" t="n"/>
      <c r="D54" s="51" t="n"/>
      <c r="E54" s="51" t="n"/>
      <c r="F54" s="51" t="n"/>
      <c r="G54" s="51" t="n"/>
      <c r="H54" s="51" t="n"/>
      <c r="I54" s="51" t="n"/>
      <c r="J54" s="51" t="n"/>
      <c r="K54" s="51" t="n"/>
      <c r="L54" s="51" t="n"/>
      <c r="M54" s="51" t="n"/>
    </row>
    <row r="55" ht="15" customHeight="1" s="41">
      <c r="A55" s="51" t="n"/>
      <c r="B55" s="51" t="n"/>
      <c r="C55" s="51" t="n"/>
      <c r="D55" s="51" t="n"/>
      <c r="E55" s="51" t="n"/>
      <c r="F55" s="51" t="n"/>
      <c r="G55" s="51" t="n"/>
      <c r="H55" s="51" t="n"/>
      <c r="I55" s="51" t="n"/>
      <c r="J55" s="51" t="n"/>
      <c r="K55" s="51" t="n"/>
      <c r="L55" s="51" t="n"/>
      <c r="M55" s="51" t="n"/>
    </row>
    <row r="56" ht="15" customHeight="1" s="41">
      <c r="A56" s="51" t="n"/>
      <c r="B56" s="51" t="n"/>
      <c r="C56" s="51" t="n"/>
      <c r="D56" s="51" t="n"/>
      <c r="E56" s="51" t="n"/>
      <c r="F56" s="51" t="n"/>
      <c r="G56" s="51" t="n"/>
      <c r="H56" s="51" t="n"/>
      <c r="I56" s="51" t="n"/>
      <c r="J56" s="51" t="n"/>
      <c r="K56" s="51" t="n"/>
      <c r="L56" s="51" t="n"/>
      <c r="M56" s="51" t="n"/>
    </row>
    <row r="57" ht="15" customHeight="1" s="41">
      <c r="A57" s="51" t="n"/>
      <c r="B57" s="51" t="n"/>
      <c r="C57" s="51" t="n"/>
      <c r="D57" s="51" t="n"/>
      <c r="E57" s="51" t="n"/>
      <c r="F57" s="51" t="n"/>
      <c r="G57" s="51" t="n"/>
      <c r="H57" s="51" t="n"/>
      <c r="I57" s="51" t="n"/>
      <c r="J57" s="51" t="n"/>
      <c r="K57" s="51" t="n"/>
      <c r="L57" s="51" t="n"/>
      <c r="M57" s="51" t="n"/>
    </row>
    <row r="58" ht="15" customHeight="1" s="41">
      <c r="A58" s="51" t="n"/>
      <c r="B58" s="51" t="n"/>
      <c r="C58" s="51" t="n"/>
      <c r="D58" s="51" t="n"/>
      <c r="E58" s="51" t="n"/>
      <c r="F58" s="51" t="n"/>
      <c r="G58" s="51" t="n"/>
      <c r="H58" s="51" t="n"/>
      <c r="I58" s="51" t="n"/>
      <c r="J58" s="51" t="n"/>
      <c r="K58" s="51" t="n"/>
      <c r="L58" s="51" t="n"/>
      <c r="M58" s="51" t="n"/>
    </row>
    <row r="59" ht="15" customHeight="1" s="41">
      <c r="A59" s="51" t="n"/>
      <c r="B59" s="51" t="n"/>
      <c r="C59" s="51" t="n"/>
      <c r="D59" s="51" t="n"/>
      <c r="E59" s="51" t="n"/>
      <c r="F59" s="51" t="n"/>
      <c r="G59" s="51" t="n"/>
      <c r="H59" s="51" t="n"/>
      <c r="I59" s="51" t="n"/>
      <c r="J59" s="51" t="n"/>
      <c r="K59" s="51" t="n"/>
      <c r="L59" s="51" t="n"/>
      <c r="M59" s="51" t="n"/>
    </row>
  </sheetData>
  <autoFilter ref="A1:M59"/>
  <dataValidations count="3">
    <dataValidation sqref="D2:D500" showDropDown="0" showInputMessage="0" showErrorMessage="0" allowBlank="1" type="list" errorStyle="stop" operator="between">
      <formula1>"Critical,High,Medium,Low"</formula1>
      <formula2>0</formula2>
    </dataValidation>
    <dataValidation sqref="E2:E500" showDropDown="0" showInputMessage="0" showErrorMessage="0" allowBlank="1" type="list" errorStyle="stop" operator="between">
      <formula1>"P1,P2,P3,P4"</formula1>
      <formula2>0</formula2>
    </dataValidation>
    <dataValidation sqref="F2:F500" showDropDown="0" showInputMessage="0" showErrorMessage="0" allowBlank="1" type="list" errorStyle="stop" operator="between">
      <formula1>"Open,In Progress,Fixed - Retest,Closed,Deferred"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2025-08-01T22:55:01Z</dcterms:created>
  <dcterms:modified xsi:type="dcterms:W3CDTF">2026-08-17T23:20:27Z</dcterms:modified>
  <cp:lastModifiedBy>Sarah Gamba</cp:lastModifiedBy>
  <cp:revision>0</cp:revision>
</cp:coreProperties>
</file>