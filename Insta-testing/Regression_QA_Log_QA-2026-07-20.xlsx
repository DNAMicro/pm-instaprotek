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1" autoFilterDateGrouping="1"/>
  </bookViews>
  <sheets>
    <sheet name="READ ME" sheetId="1" state="visible" r:id="rId1"/>
    <sheet name="SUMMARY" sheetId="2" state="visible" r:id="rId2"/>
    <sheet name="USERS" sheetId="3" state="visible" r:id="rId3"/>
    <sheet name="PORTAL - REGISTRATION" sheetId="4" state="visible" r:id="rId4"/>
    <sheet name="ORDERS" sheetId="5" state="visible" r:id="rId5"/>
    <sheet name="REPAIR SHOPS" sheetId="6" state="visible" r:id="rId6"/>
    <sheet name="AFFILIATES" sheetId="7" state="visible" r:id="rId7"/>
    <sheet name="CLAIM REPORTS" sheetId="8" state="visible" r:id="rId8"/>
    <sheet name="PRODUCT REVIEWS" sheetId="9" state="visible" r:id="rId9"/>
    <sheet name="DEVICE BUYBACK" sheetId="10" state="visible" r:id="rId10"/>
    <sheet name="SETTINGS - DEVICE  CATEGORY" sheetId="11" state="visible" r:id="rId11"/>
    <sheet name="SETTINGS - PRODUCT CATEGORY " sheetId="12" state="visible" r:id="rId12"/>
    <sheet name="SETTINGS - BRAND" sheetId="13" state="visible" r:id="rId13"/>
    <sheet name="SETTINGS - REGISTRATION SURVEY " sheetId="14" state="visible" r:id="rId14"/>
    <sheet name="SETTINGS - PLAN " sheetId="15" state="visible" r:id="rId15"/>
    <sheet name="SETTINGS - REPAIR NETWORk " sheetId="16" state="visible" r:id="rId16"/>
    <sheet name="SETTINGS - COMPANY " sheetId="17" state="visible" r:id="rId17"/>
    <sheet name="SETTINGS - LANGUAGE" sheetId="18" state="visible" r:id="rId18"/>
    <sheet name="SETTINGS - REGIONS" sheetId="19" state="visible" r:id="rId19"/>
    <sheet name="SETTINGS - ADMINISTRATORS" sheetId="20" state="visible" r:id="rId20"/>
    <sheet name="SETTINGS - UNDERWRITERS" sheetId="21" state="visible" r:id="rId21"/>
    <sheet name="SETTINGS - SUPPORT" sheetId="22" state="visible" r:id="rId22"/>
    <sheet name="SETTINGS - COVERAGE TYPE " sheetId="23" state="visible" r:id="rId23"/>
    <sheet name="SETTINGS - COVERAGE COST TYPE " sheetId="24" state="visible" r:id="rId24"/>
    <sheet name="SETTINGS - SHARE" sheetId="25" state="visible" r:id="rId25"/>
    <sheet name="SETTINGS-REVIEW QUESTIONS" sheetId="26" state="visible" r:id="rId26"/>
    <sheet name="DEFECT LOG" sheetId="27" state="visible" r:id="rId27"/>
  </sheets>
  <definedNames>
    <definedName name="_xlnm._FilterDatabase" localSheetId="2" hidden="1">'USERS'!$A$1:$G$38</definedName>
    <definedName name="_xlnm._FilterDatabase" localSheetId="3" hidden="1">'PORTAL - REGISTRATION'!$A$1:$G$46</definedName>
    <definedName name="_xlnm._FilterDatabase" localSheetId="4" hidden="1">'ORDERS'!$A$1:$G$78</definedName>
    <definedName name="_xlnm._FilterDatabase" localSheetId="5" hidden="1">'REPAIR SHOPS'!$A$1:$G$63</definedName>
    <definedName name="_xlnm._FilterDatabase" localSheetId="6" hidden="1">'AFFILIATES'!$A$1:$G$51</definedName>
    <definedName name="_xlnm._FilterDatabase" localSheetId="7" hidden="1">'CLAIM REPORTS'!$A$1:$G$70</definedName>
    <definedName name="_xlnm._FilterDatabase" localSheetId="8" hidden="1">'PRODUCT REVIEWS'!$A$1:$G$53</definedName>
    <definedName name="_xlnm._FilterDatabase" localSheetId="9" hidden="1">'DEVICE BUYBACK'!$A$1:$G$47</definedName>
    <definedName name="_xlnm._FilterDatabase" localSheetId="10" hidden="1">'SETTINGS - DEVICE  CATEGORY'!$A$1:$G$49</definedName>
    <definedName name="_xlnm._FilterDatabase" localSheetId="11" hidden="1">'SETTINGS - PRODUCT CATEGORY '!$A$1:$G$51</definedName>
    <definedName name="_xlnm._FilterDatabase" localSheetId="12" hidden="1">'SETTINGS - BRAND'!$A$1:$G$62</definedName>
    <definedName name="_xlnm._FilterDatabase" localSheetId="13" hidden="1">'SETTINGS - REGISTRATION SURVEY '!$A$1:$G$12</definedName>
    <definedName name="_xlnm._FilterDatabase" localSheetId="14" hidden="1">'SETTINGS - PLAN '!$A$1:$G$68</definedName>
    <definedName name="_xlnm._FilterDatabase" localSheetId="15" hidden="1">'SETTINGS - REPAIR NETWORk '!$A$1:$G$19</definedName>
    <definedName name="_xlnm._FilterDatabase" localSheetId="16" hidden="1">'SETTINGS - COMPANY '!$A$1:$G$172</definedName>
    <definedName name="_xlnm._FilterDatabase" localSheetId="17" hidden="1">'SETTINGS - LANGUAGE'!$A$1:$G$25</definedName>
    <definedName name="_xlnm._FilterDatabase" localSheetId="18" hidden="1">'SETTINGS - REGIONS'!$A$1:$G$21</definedName>
    <definedName name="_xlnm._FilterDatabase" localSheetId="19" hidden="1">'SETTINGS - ADMINISTRATORS'!$A$1:$G$21</definedName>
    <definedName name="_xlnm._FilterDatabase" localSheetId="20" hidden="1">'SETTINGS - UNDERWRITERS'!$A$1:$G$21</definedName>
    <definedName name="_xlnm._FilterDatabase" localSheetId="21" hidden="1">'SETTINGS - SUPPORT'!$A$1:$G$30</definedName>
    <definedName name="_xlnm._FilterDatabase" localSheetId="22" hidden="1">'SETTINGS - COVERAGE TYPE '!$A$1:$G$19</definedName>
    <definedName name="_xlnm._FilterDatabase" localSheetId="23" hidden="1">'SETTINGS - COVERAGE COST TYPE '!$A$1:$G$19</definedName>
    <definedName name="_xlnm._FilterDatabase" localSheetId="24" hidden="1">'SETTINGS - SHARE'!$A$1:$G$28</definedName>
    <definedName name="_xlnm._FilterDatabase" localSheetId="25" hidden="1">'SETTINGS-REVIEW QUESTIONS'!$A$1:$G$21</definedName>
    <definedName name="_xlnm._FilterDatabase" localSheetId="26" hidden="1">'DEFECT LOG'!$A$1:$M$59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3">
    <font>
      <name val="Aptos Narrow"/>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sz val="10"/>
    </font>
    <font>
      <name val="Arial"/>
      <charset val="1"/>
      <family val="0"/>
      <b val="1"/>
      <color rgb="FF1F3864"/>
      <sz val="11"/>
    </font>
    <font>
      <name val="Arial"/>
      <charset val="1"/>
      <family val="0"/>
      <b val="1"/>
      <sz val="10"/>
    </font>
    <font>
      <name val="Arial"/>
      <charset val="1"/>
      <family val="0"/>
      <b val="1"/>
      <color rgb="FFFFFFFF"/>
      <sz val="10"/>
    </font>
    <font>
      <name val="Aptos Narrow"/>
      <charset val="1"/>
      <family val="0"/>
      <b val="1"/>
      <color rgb="FF000000"/>
      <sz val="11"/>
    </font>
    <font>
      <name val="Aptos Narrow"/>
      <charset val="1"/>
      <family val="2"/>
      <b val="1"/>
      <color theme="1"/>
      <sz val="11"/>
    </font>
    <font>
      <name val="Aptos Narrow"/>
      <charset val="1"/>
      <family val="2"/>
      <color theme="1"/>
      <sz val="12"/>
    </font>
    <font>
      <name val="Aptos Narrow"/>
      <charset val="1"/>
      <family val="0"/>
      <color rgb="FF000000"/>
      <sz val="11"/>
    </font>
  </fonts>
  <fills count="7">
    <fill>
      <patternFill/>
    </fill>
    <fill>
      <patternFill patternType="gray125"/>
    </fill>
    <fill>
      <patternFill patternType="solid">
        <fgColor rgb="FFD9E1F2"/>
        <bgColor rgb="FFD9D9D9"/>
      </patternFill>
    </fill>
    <fill>
      <patternFill patternType="solid">
        <fgColor rgb="FF2F5496"/>
        <bgColor rgb="FF1F3864"/>
      </patternFill>
    </fill>
    <fill>
      <patternFill patternType="solid">
        <fgColor theme="9"/>
        <bgColor rgb="FF808000"/>
      </patternFill>
    </fill>
    <fill>
      <patternFill patternType="solid">
        <fgColor theme="2" tint="-0.1"/>
        <bgColor rgb="FFD9D9D9"/>
      </patternFill>
    </fill>
    <fill>
      <patternFill patternType="solid">
        <fgColor theme="2"/>
        <b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0"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0" applyAlignment="1" pivotButton="0" quotePrefix="0" xfId="0">
      <alignment horizontal="general" vertical="bottom"/>
    </xf>
    <xf numFmtId="164" fontId="7" fillId="0" borderId="0" applyAlignment="1" pivotButton="0" quotePrefix="0" xfId="0">
      <alignment horizontal="general" vertical="bottom"/>
    </xf>
    <xf numFmtId="0" fontId="8" fillId="3" borderId="1" applyAlignment="1" pivotButton="0" quotePrefix="0" xfId="0">
      <alignment horizontal="center" vertical="center"/>
    </xf>
    <xf numFmtId="0" fontId="5" fillId="0" borderId="1" applyAlignment="1" pivotButton="0" quotePrefix="0" xfId="0">
      <alignment horizontal="general" vertical="bottom"/>
    </xf>
    <xf numFmtId="0" fontId="5" fillId="0" borderId="1" applyAlignment="1" pivotButton="0" quotePrefix="0" xfId="0">
      <alignment horizontal="center" vertical="center"/>
    </xf>
    <xf numFmtId="0" fontId="7" fillId="2" borderId="1" applyAlignment="1" pivotButton="0" quotePrefix="0" xfId="0">
      <alignment horizontal="general" vertical="bottom"/>
    </xf>
    <xf numFmtId="0" fontId="7" fillId="2" borderId="1" applyAlignment="1" pivotButton="0" quotePrefix="0" xfId="0">
      <alignment horizontal="center" vertical="center"/>
    </xf>
    <xf numFmtId="0" fontId="9" fillId="4" borderId="0" applyAlignment="1" pivotButton="0" quotePrefix="0" xfId="0">
      <alignment horizontal="center" vertical="bottom"/>
    </xf>
    <xf numFmtId="0" fontId="10" fillId="4" borderId="0" applyAlignment="1" pivotButton="0" quotePrefix="0" xfId="0">
      <alignment horizontal="center" vertical="bottom"/>
    </xf>
    <xf numFmtId="0" fontId="8"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general" vertical="bottom" wrapText="1"/>
    </xf>
    <xf numFmtId="0" fontId="0" fillId="0" borderId="0" applyAlignment="1" pivotButton="0" quotePrefix="0" xfId="0">
      <alignment horizontal="center" vertical="center"/>
    </xf>
    <xf numFmtId="0" fontId="0" fillId="0" borderId="0" applyAlignment="1" pivotButton="0" quotePrefix="0" xfId="0">
      <alignment horizontal="general" vertical="center" wrapText="1"/>
    </xf>
    <xf numFmtId="0" fontId="0" fillId="5" borderId="0" applyAlignment="1" pivotButton="0" quotePrefix="0" xfId="0">
      <alignment horizontal="general" vertical="bottom"/>
    </xf>
    <xf numFmtId="0" fontId="0" fillId="0" borderId="0" applyAlignment="1" pivotButton="0" quotePrefix="0" xfId="0">
      <alignment horizontal="left" vertical="bottom" wrapText="1"/>
    </xf>
    <xf numFmtId="0" fontId="11" fillId="6" borderId="0" applyAlignment="1" pivotButton="0" quotePrefix="0" xfId="0">
      <alignment horizontal="general" vertical="bottom"/>
    </xf>
    <xf numFmtId="0" fontId="11" fillId="0" borderId="0" applyAlignment="1" pivotButton="0" quotePrefix="0" xfId="0">
      <alignment horizontal="center" vertical="center"/>
    </xf>
    <xf numFmtId="0" fontId="11" fillId="0" borderId="0" applyAlignment="1" pivotButton="0" quotePrefix="0" xfId="0">
      <alignment horizontal="general" vertical="bottom" wrapText="1"/>
    </xf>
    <xf numFmtId="0" fontId="11" fillId="0" borderId="0" applyAlignment="1" pivotButton="0" quotePrefix="0" xfId="0">
      <alignment horizontal="general" vertical="bottom"/>
    </xf>
    <xf numFmtId="0" fontId="0" fillId="6" borderId="0" applyAlignment="1" pivotButton="0" quotePrefix="0" xfId="0">
      <alignment horizontal="general" vertical="bottom"/>
    </xf>
    <xf numFmtId="0" fontId="0" fillId="0" borderId="0" applyAlignment="1" pivotButton="0" quotePrefix="0" xfId="0">
      <alignment horizontal="left" vertical="center"/>
    </xf>
    <xf numFmtId="0" fontId="0" fillId="0" borderId="0" applyAlignment="1" pivotButton="0" quotePrefix="0" xfId="0">
      <alignment horizontal="general" vertical="center" wrapText="1"/>
    </xf>
    <xf numFmtId="0" fontId="0" fillId="0" borderId="0" applyAlignment="1" pivotButton="0" quotePrefix="0" xfId="0">
      <alignment horizontal="center" vertical="bottom"/>
    </xf>
    <xf numFmtId="0" fontId="0" fillId="0" borderId="0" applyAlignment="1" pivotButton="0" quotePrefix="0" xfId="0">
      <alignment horizontal="general" vertical="center"/>
    </xf>
    <xf numFmtId="0" fontId="0" fillId="0" borderId="0" applyAlignment="1" pivotButton="0" quotePrefix="0" xfId="0">
      <alignment horizontal="general" vertical="bottom"/>
    </xf>
    <xf numFmtId="0" fontId="12" fillId="0" borderId="0" applyAlignment="1" pivotButton="0" quotePrefix="0" xfId="0">
      <alignment horizontal="general" vertical="center"/>
    </xf>
    <xf numFmtId="0" fontId="5"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0"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0" applyAlignment="1" pivotButton="0" quotePrefix="0" xfId="0">
      <alignment horizontal="general" vertical="bottom"/>
    </xf>
    <xf numFmtId="164" fontId="7" fillId="0" borderId="0" applyAlignment="1" pivotButton="0" quotePrefix="0" xfId="0">
      <alignment horizontal="general" vertical="bottom"/>
    </xf>
    <xf numFmtId="0" fontId="8" fillId="3" borderId="1" applyAlignment="1" pivotButton="0" quotePrefix="0" xfId="0">
      <alignment horizontal="center" vertical="center"/>
    </xf>
    <xf numFmtId="0" fontId="5" fillId="0" borderId="1" applyAlignment="1" pivotButton="0" quotePrefix="0" xfId="0">
      <alignment horizontal="general" vertical="bottom"/>
    </xf>
    <xf numFmtId="0" fontId="5" fillId="0" borderId="1" applyAlignment="1" pivotButton="0" quotePrefix="0" xfId="0">
      <alignment horizontal="center" vertical="center"/>
    </xf>
    <xf numFmtId="0" fontId="7" fillId="2" borderId="1" applyAlignment="1" pivotButton="0" quotePrefix="0" xfId="0">
      <alignment horizontal="general" vertical="bottom"/>
    </xf>
    <xf numFmtId="0" fontId="7" fillId="2" borderId="1" applyAlignment="1" pivotButton="0" quotePrefix="0" xfId="0">
      <alignment horizontal="center" vertical="center"/>
    </xf>
    <xf numFmtId="0" fontId="9" fillId="4" borderId="0" applyAlignment="1" pivotButton="0" quotePrefix="0" xfId="0">
      <alignment horizontal="center" vertical="bottom"/>
    </xf>
    <xf numFmtId="0" fontId="10" fillId="4" borderId="0" applyAlignment="1" pivotButton="0" quotePrefix="0" xfId="0">
      <alignment horizontal="center" vertical="bottom"/>
    </xf>
    <xf numFmtId="0" fontId="8"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general" vertical="bottom" wrapText="1"/>
    </xf>
    <xf numFmtId="0" fontId="0" fillId="0" borderId="0" applyAlignment="1" pivotButton="0" quotePrefix="0" xfId="0">
      <alignment horizontal="general" vertical="center" wrapText="1"/>
    </xf>
    <xf numFmtId="0" fontId="0" fillId="5" borderId="0" applyAlignment="1" pivotButton="0" quotePrefix="0" xfId="0">
      <alignment horizontal="general" vertical="bottom"/>
    </xf>
    <xf numFmtId="0" fontId="0" fillId="0" borderId="0" applyAlignment="1" pivotButton="0" quotePrefix="0" xfId="0">
      <alignment horizontal="left" vertical="bottom" wrapText="1"/>
    </xf>
    <xf numFmtId="0" fontId="11" fillId="6" borderId="0" applyAlignment="1" pivotButton="0" quotePrefix="0" xfId="0">
      <alignment horizontal="general" vertical="bottom"/>
    </xf>
    <xf numFmtId="0" fontId="11" fillId="0" borderId="0" applyAlignment="1" pivotButton="0" quotePrefix="0" xfId="0">
      <alignment horizontal="center" vertical="center"/>
    </xf>
    <xf numFmtId="0" fontId="11" fillId="0" borderId="0" applyAlignment="1" pivotButton="0" quotePrefix="0" xfId="0">
      <alignment horizontal="general" vertical="bottom" wrapText="1"/>
    </xf>
    <xf numFmtId="0" fontId="11" fillId="0" borderId="0" applyAlignment="1" pivotButton="0" quotePrefix="0" xfId="0">
      <alignment horizontal="general" vertical="bottom"/>
    </xf>
    <xf numFmtId="0" fontId="0" fillId="6" borderId="0" applyAlignment="1" pivotButton="0" quotePrefix="0" xfId="0">
      <alignment horizontal="general" vertical="bottom"/>
    </xf>
    <xf numFmtId="0" fontId="0" fillId="0" borderId="0" applyAlignment="1" pivotButton="0" quotePrefix="0" xfId="0">
      <alignment horizontal="left" vertical="center"/>
    </xf>
    <xf numFmtId="0" fontId="0" fillId="0" borderId="0" applyAlignment="1" pivotButton="0" quotePrefix="0" xfId="0">
      <alignment horizontal="center" vertical="bottom"/>
    </xf>
    <xf numFmtId="0" fontId="12" fillId="0" borderId="0" applyAlignment="1" pivotButton="0" quotePrefix="0" xfId="0">
      <alignment horizontal="general" vertical="center"/>
    </xf>
    <xf numFmtId="0" fontId="5"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4">
    <dxf>
      <fill>
        <patternFill patternType="solid">
          <fgColor rgb="FF4EA72E"/>
          <bgColor rgb="FF000000"/>
        </patternFill>
      </fill>
    </dxf>
    <dxf>
      <fill>
        <patternFill patternType="solid">
          <bgColor rgb="FF000000"/>
        </patternFill>
      </fill>
    </dxf>
    <dxf>
      <fill>
        <patternFill patternType="solid">
          <fgColor rgb="FF000000"/>
          <bgColor rgb="FF000000"/>
        </patternFill>
      </fill>
    </dxf>
    <dxf>
      <fill>
        <patternFill patternType="solid">
          <fgColor rgb="FFD1D1D1"/>
          <bgColor rgb="FF000000"/>
        </patternFill>
      </fill>
    </dxf>
    <dxf>
      <fill>
        <patternFill patternType="solid">
          <fgColor rgb="FFFCFCC5"/>
          <bgColor rgb="FF000000"/>
        </patternFill>
      </fill>
    </dxf>
    <dxf>
      <fill>
        <patternFill patternType="solid">
          <fgColor rgb="FFCC9A02"/>
          <bgColor rgb="FF000000"/>
        </patternFill>
      </fill>
    </dxf>
    <dxf>
      <fill>
        <patternFill patternType="solid">
          <fgColor rgb="FF2F5496"/>
          <bgColor rgb="FF000000"/>
        </patternFill>
      </fill>
    </dxf>
    <dxf>
      <fill>
        <patternFill patternType="solid">
          <fgColor rgb="FFFFFFFF"/>
          <bgColor rgb="FF000000"/>
        </patternFill>
      </fill>
    </dxf>
    <dxf>
      <font>
        <color rgb="FF0E2841"/>
      </font>
      <fill>
        <patternFill>
          <bgColor theme="0" tint="-0.15"/>
        </patternFill>
      </fill>
    </dxf>
    <dxf>
      <font>
        <color rgb="FFE87331"/>
      </font>
      <fill>
        <patternFill>
          <bgColor theme="2" tint="-0.1"/>
        </patternFill>
      </fill>
    </dxf>
    <dxf>
      <font>
        <color rgb="FFCC9A02"/>
      </font>
      <fill>
        <patternFill>
          <bgColor rgb="FFFCFCC5"/>
        </patternFill>
      </fill>
    </dxf>
    <dxf>
      <font>
        <color rgb="FF186C24"/>
      </font>
      <fill>
        <patternFill>
          <bgColor theme="6" tint="0.7999000000000001"/>
        </patternFill>
      </fill>
    </dxf>
    <dxf>
      <font>
        <color rgb="FF9C0006"/>
      </font>
      <fill>
        <patternFill>
          <bgColor rgb="FFFFC7CE"/>
        </patternFill>
      </fill>
    </dxf>
    <dxf>
      <fill>
        <patternFill patternType="solid">
          <fgColor rgb="FFE8E8E8"/>
          <bgColor rgb="FF000000"/>
        </patternFill>
      </fill>
    </dxf>
  </dxfs>
  <colors>
    <indexedColors>
      <rgbColor rgb="FF000000"/>
      <rgbColor rgb="FFFFFFFF"/>
      <rgbColor rgb="FFFF0000"/>
      <rgbColor rgb="FF00FF00"/>
      <rgbColor rgb="FF0000FF"/>
      <rgbColor rgb="FFFFFF00"/>
      <rgbColor rgb="FFFF00FF"/>
      <rgbColor rgb="FF00FFFF"/>
      <rgbColor rgb="FF9C0006"/>
      <rgbColor rgb="FF186C24"/>
      <rgbColor rgb="FF000080"/>
      <rgbColor rgb="FF808000"/>
      <rgbColor rgb="FF800080"/>
      <rgbColor rgb="FF008080"/>
      <rgbColor rgb="FFBFBFBF"/>
      <rgbColor rgb="FF808080"/>
      <rgbColor rgb="FF9999FF"/>
      <rgbColor rgb="FF993366"/>
      <rgbColor rgb="FFFCFCC5"/>
      <rgbColor rgb="FFD9E1F2"/>
      <rgbColor rgb="FF660066"/>
      <rgbColor rgb="FFFF8080"/>
      <rgbColor rgb="FF0066CC"/>
      <rgbColor rgb="FFD1D1D1"/>
      <rgbColor rgb="FF000080"/>
      <rgbColor rgb="FFFF00FF"/>
      <rgbColor rgb="FFFFFF00"/>
      <rgbColor rgb="FF00FFFF"/>
      <rgbColor rgb="FF800080"/>
      <rgbColor rgb="FF800000"/>
      <rgbColor rgb="FF008080"/>
      <rgbColor rgb="FF0000FF"/>
      <rgbColor rgb="FF00CCFF"/>
      <rgbColor rgb="FFE8E8E8"/>
      <rgbColor rgb="FFC1F1C8"/>
      <rgbColor rgb="FFFFFF99"/>
      <rgbColor rgb="FFD9D9D9"/>
      <rgbColor rgb="FFFF99CC"/>
      <rgbColor rgb="FFCC99FF"/>
      <rgbColor rgb="FFFFC7CE"/>
      <rgbColor rgb="FF3366FF"/>
      <rgbColor rgb="FF33CCCC"/>
      <rgbColor rgb="FF99CC00"/>
      <rgbColor rgb="FFFFCC00"/>
      <rgbColor rgb="FFCC9A02"/>
      <rgbColor rgb="FFE87331"/>
      <rgbColor rgb="FF666699"/>
      <rgbColor rgb="FF969696"/>
      <rgbColor rgb="FF0E2841"/>
      <rgbColor rgb="FF4EA72E"/>
      <rgbColor rgb="FF003300"/>
      <rgbColor rgb="FF333300"/>
      <rgbColor rgb="FF993300"/>
      <rgbColor rgb="FF993366"/>
      <rgbColor rgb="FF2F5496"/>
      <rgbColor rgb="FF1F3864"/>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customHeight="0" zeroHeight="0" outlineLevelRow="0"/>
  <cols>
    <col width="105" customWidth="1" style="37" min="1" max="1"/>
  </cols>
  <sheetData>
    <row r="1" ht="17.25" customHeight="1" s="38">
      <c r="A1" s="39" t="inlineStr">
        <is>
          <t>Instaprotek Portal - Regression QA Log</t>
        </is>
      </c>
    </row>
    <row r="2" ht="15" customHeight="1" s="38">
      <c r="A2" s="40" t="inlineStr">
        <is>
          <t>Your test cases, one sheet per module, set up for logging results. This workbook is the QA log.</t>
        </is>
      </c>
    </row>
    <row r="3" ht="15" customHeight="1" s="38">
      <c r="A3" s="40" t="n"/>
    </row>
    <row r="4" ht="15" customHeight="1" s="38">
      <c r="A4" s="41" t="inlineStr">
        <is>
          <t>How to log a run</t>
        </is>
      </c>
    </row>
    <row r="5" ht="15" customHeight="1" s="38">
      <c r="A5" s="40" t="inlineStr">
        <is>
          <t>1. Copy this workbook per release, e.g. Regression_QA_Log_&lt;version&gt;.xlsx.</t>
        </is>
      </c>
    </row>
    <row r="6" ht="15" customHeight="1" s="38">
      <c r="A6" s="40" t="inlineStr">
        <is>
          <t>2. In each module sheet set the 'Actual Result' column to Pass / Fail / Blocked / Not Tested / N/A (dropdown); put detail in 'Notes/Remarks'.</t>
        </is>
      </c>
    </row>
    <row r="7" ht="15" customHeight="1" s="38">
      <c r="A7" s="40" t="inlineStr">
        <is>
          <t>3. For any Fail, add a row on the DEFECT LOG tab and put its Defect ID in the 'Defect ID' column of the test row.</t>
        </is>
      </c>
    </row>
    <row r="8" ht="15" customHeight="1" s="38">
      <c r="A8" s="40" t="inlineStr">
        <is>
          <t>4. The SUMMARY tab totals pass/fail per module and overall automatically.</t>
        </is>
      </c>
    </row>
    <row r="9" ht="15" customHeight="1" s="38">
      <c r="A9" s="40" t="n"/>
    </row>
    <row r="10" ht="15" customHeight="1" s="38">
      <c r="A10" s="41" t="inlineStr">
        <is>
          <t>Environment &amp; login</t>
        </is>
      </c>
    </row>
    <row r="11" ht="15" customHeight="1" s="38">
      <c r="A11" s="40" t="inlineStr">
        <is>
          <t>Test on QA-environment (qa.crm.instaprotek.com) with the QA login in credentials.json. Delete any test records you create when done - never against Production.</t>
        </is>
      </c>
    </row>
    <row r="13" ht="15" customHeight="1" s="38">
      <c r="A13" s="41" t="inlineStr">
        <is>
          <t>Test data (registration)</t>
        </is>
      </c>
    </row>
    <row r="14" ht="15" customHeight="1" s="38">
      <c r="A14" s="40" t="inlineStr">
        <is>
          <t>Product barcode to use: 810135810326</t>
        </is>
      </c>
    </row>
    <row r="15" ht="15" customHeight="1" s="38">
      <c r="A15" s="40" t="inlineStr">
        <is>
          <t>Example device from past runs: Samsung, Model SM-A156UZKDXAA. Use a QA/test serial number and delete the record after testing.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3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customHeight="0" zeroHeight="0" outlineLevelRow="0"/>
  <cols>
    <col width="34" customWidth="1" style="37" min="1" max="1"/>
    <col width="10" customWidth="1" style="37" min="2" max="2"/>
    <col width="9" customWidth="1" style="37" min="3" max="4"/>
    <col width="10" customWidth="1" style="37" min="5" max="5"/>
    <col width="12" customWidth="1" style="37" min="6" max="6"/>
    <col width="8" customWidth="1" style="37" min="7" max="7"/>
  </cols>
  <sheetData>
    <row r="1" ht="17.25" customHeight="1" s="38">
      <c r="A1" s="42" t="inlineStr">
        <is>
          <t>Regression QA Log - Summary</t>
        </is>
      </c>
    </row>
    <row r="3" ht="15" customHeight="1" s="38">
      <c r="A3" s="43" t="inlineStr">
        <is>
          <t>Total cases</t>
        </is>
      </c>
      <c r="B3" s="44">
        <f>B31</f>
        <v/>
      </c>
      <c r="D3" s="43" t="inlineStr">
        <is>
          <t>Pass rate (of executed)</t>
        </is>
      </c>
      <c r="E3" s="45">
        <f>IFERROR(C31/(C31+D31+E31),0)</f>
        <v/>
      </c>
    </row>
    <row r="4" ht="15" customHeight="1" s="38">
      <c r="A4" s="43" t="inlineStr">
        <is>
          <t>Executed</t>
        </is>
      </c>
      <c r="B4" s="44">
        <f>C31+D31+E31</f>
        <v/>
      </c>
    </row>
    <row r="6" ht="15" customHeight="1" s="38">
      <c r="A6" s="46" t="inlineStr">
        <is>
          <t>Module</t>
        </is>
      </c>
      <c r="B6" s="46" t="inlineStr">
        <is>
          <t>Total</t>
        </is>
      </c>
      <c r="C6" s="46" t="inlineStr">
        <is>
          <t>Pass</t>
        </is>
      </c>
      <c r="D6" s="46" t="inlineStr">
        <is>
          <t>Fail</t>
        </is>
      </c>
      <c r="E6" s="46" t="inlineStr">
        <is>
          <t>Blocked</t>
        </is>
      </c>
      <c r="F6" s="46" t="inlineStr">
        <is>
          <t>Not Tested</t>
        </is>
      </c>
      <c r="G6" s="46" t="inlineStr">
        <is>
          <t>N/A</t>
        </is>
      </c>
    </row>
    <row r="7" ht="15" customHeight="1" s="38">
      <c r="A7" s="47" t="inlineStr">
        <is>
          <t>USERS</t>
        </is>
      </c>
      <c r="B7" s="48">
        <f>COUNTA(USERS!$B$2:$B$2000)</f>
        <v/>
      </c>
      <c r="C7" s="48">
        <f>COUNTIF(USERS!$E$2:$E$2000,"Pass")</f>
        <v/>
      </c>
      <c r="D7" s="48">
        <f>COUNTIF(USERS!$E$2:$E$2000,"Fail")</f>
        <v/>
      </c>
      <c r="E7" s="48">
        <f>COUNTIF(USERS!$E$2:$E$2000,"Blocked")</f>
        <v/>
      </c>
      <c r="F7" s="48">
        <f>COUNTIF(USERS!$E$2:$E$2000,"Not Tested")</f>
        <v/>
      </c>
      <c r="G7" s="48">
        <f>COUNTIF(USERS!$E$2:$E$2000,"N/A")</f>
        <v/>
      </c>
    </row>
    <row r="8" ht="15" customHeight="1" s="38">
      <c r="A8" s="47" t="inlineStr">
        <is>
          <t>PORTAL - REGISTRATION</t>
        </is>
      </c>
      <c r="B8" s="48">
        <f>COUNTA('PORTAL - REGISTRATION'!$B$2:$B$2000)</f>
        <v/>
      </c>
      <c r="C8" s="48">
        <f>COUNTIF('PORTAL - REGISTRATION'!$E$2:$E$2000,"Pass")</f>
        <v/>
      </c>
      <c r="D8" s="48">
        <f>COUNTIF('PORTAL - REGISTRATION'!$E$2:$E$2000,"Fail")</f>
        <v/>
      </c>
      <c r="E8" s="48">
        <f>COUNTIF('PORTAL - REGISTRATION'!$E$2:$E$2000,"Blocked")</f>
        <v/>
      </c>
      <c r="F8" s="48">
        <f>COUNTIF('PORTAL - REGISTRATION'!$E$2:$E$2000,"Not Tested")</f>
        <v/>
      </c>
      <c r="G8" s="48">
        <f>COUNTIF('PORTAL - REGISTRATION'!$E$2:$E$2000,"N/A")</f>
        <v/>
      </c>
    </row>
    <row r="9" ht="15" customHeight="1" s="38">
      <c r="A9" s="47" t="inlineStr">
        <is>
          <t>ORDERS</t>
        </is>
      </c>
      <c r="B9" s="48">
        <f>COUNTA(ORDERS!$B$2:$B$2000)</f>
        <v/>
      </c>
      <c r="C9" s="48">
        <f>COUNTIF(ORDERS!$E$2:$E$2000,"Pass")</f>
        <v/>
      </c>
      <c r="D9" s="48">
        <f>COUNTIF(ORDERS!$E$2:$E$2000,"Fail")</f>
        <v/>
      </c>
      <c r="E9" s="48">
        <f>COUNTIF(ORDERS!$E$2:$E$2000,"Blocked")</f>
        <v/>
      </c>
      <c r="F9" s="48">
        <f>COUNTIF(ORDERS!$E$2:$E$2000,"Not Tested")</f>
        <v/>
      </c>
      <c r="G9" s="48">
        <f>COUNTIF(ORDERS!$E$2:$E$2000,"N/A")</f>
        <v/>
      </c>
    </row>
    <row r="10" ht="15" customHeight="1" s="38">
      <c r="A10" s="47" t="inlineStr">
        <is>
          <t>REPAIR SHOPS</t>
        </is>
      </c>
      <c r="B10" s="48">
        <f>COUNTA('REPAIR SHOPS'!$B$2:$B$2000)</f>
        <v/>
      </c>
      <c r="C10" s="48">
        <f>COUNTIF('REPAIR SHOPS'!$E$2:$E$2000,"Pass")</f>
        <v/>
      </c>
      <c r="D10" s="48">
        <f>COUNTIF('REPAIR SHOPS'!$E$2:$E$2000,"Fail")</f>
        <v/>
      </c>
      <c r="E10" s="48">
        <f>COUNTIF('REPAIR SHOPS'!$E$2:$E$2000,"Blocked")</f>
        <v/>
      </c>
      <c r="F10" s="48">
        <f>COUNTIF('REPAIR SHOPS'!$E$2:$E$2000,"Not Tested")</f>
        <v/>
      </c>
      <c r="G10" s="48">
        <f>COUNTIF('REPAIR SHOPS'!$E$2:$E$2000,"N/A")</f>
        <v/>
      </c>
    </row>
    <row r="11" ht="15" customHeight="1" s="38">
      <c r="A11" s="47" t="inlineStr">
        <is>
          <t>AFFILIATES</t>
        </is>
      </c>
      <c r="B11" s="48">
        <f>COUNTA(AFFILIATES!$B$2:$B$2000)</f>
        <v/>
      </c>
      <c r="C11" s="48">
        <f>COUNTIF(AFFILIATES!$E$2:$E$2000,"Pass")</f>
        <v/>
      </c>
      <c r="D11" s="48">
        <f>COUNTIF(AFFILIATES!$E$2:$E$2000,"Fail")</f>
        <v/>
      </c>
      <c r="E11" s="48">
        <f>COUNTIF(AFFILIATES!$E$2:$E$2000,"Blocked")</f>
        <v/>
      </c>
      <c r="F11" s="48">
        <f>COUNTIF(AFFILIATES!$E$2:$E$2000,"Not Tested")</f>
        <v/>
      </c>
      <c r="G11" s="48">
        <f>COUNTIF(AFFILIATES!$E$2:$E$2000,"N/A")</f>
        <v/>
      </c>
    </row>
    <row r="12" ht="15" customHeight="1" s="38">
      <c r="A12" s="47" t="inlineStr">
        <is>
          <t>CLAIM REPORTS</t>
        </is>
      </c>
      <c r="B12" s="48">
        <f>COUNTA('CLAIM REPORTS'!$B$2:$B$2000)</f>
        <v/>
      </c>
      <c r="C12" s="48">
        <f>COUNTIF('CLAIM REPORTS'!$E$2:$E$2000,"Pass")</f>
        <v/>
      </c>
      <c r="D12" s="48">
        <f>COUNTIF('CLAIM REPORTS'!$E$2:$E$2000,"Fail")</f>
        <v/>
      </c>
      <c r="E12" s="48">
        <f>COUNTIF('CLAIM REPORTS'!$E$2:$E$2000,"Blocked")</f>
        <v/>
      </c>
      <c r="F12" s="48">
        <f>COUNTIF('CLAIM REPORTS'!$E$2:$E$2000,"Not Tested")</f>
        <v/>
      </c>
      <c r="G12" s="48">
        <f>COUNTIF('CLAIM REPORTS'!$E$2:$E$2000,"N/A")</f>
        <v/>
      </c>
    </row>
    <row r="13" ht="15" customHeight="1" s="38">
      <c r="A13" s="47" t="inlineStr">
        <is>
          <t>PRODUCT REVIEWS</t>
        </is>
      </c>
      <c r="B13" s="48">
        <f>COUNTA('PRODUCT REVIEWS'!$B$2:$B$2000)</f>
        <v/>
      </c>
      <c r="C13" s="48">
        <f>COUNTIF('PRODUCT REVIEWS'!$E$2:$E$2000,"Pass")</f>
        <v/>
      </c>
      <c r="D13" s="48">
        <f>COUNTIF('PRODUCT REVIEWS'!$E$2:$E$2000,"Fail")</f>
        <v/>
      </c>
      <c r="E13" s="48">
        <f>COUNTIF('PRODUCT REVIEWS'!$E$2:$E$2000,"Blocked")</f>
        <v/>
      </c>
      <c r="F13" s="48">
        <f>COUNTIF('PRODUCT REVIEWS'!$E$2:$E$2000,"Not Tested")</f>
        <v/>
      </c>
      <c r="G13" s="48">
        <f>COUNTIF('PRODUCT REVIEWS'!$E$2:$E$2000,"N/A")</f>
        <v/>
      </c>
    </row>
    <row r="14" ht="15" customHeight="1" s="38">
      <c r="A14" s="47" t="inlineStr">
        <is>
          <t>DEVICE BUYBACK</t>
        </is>
      </c>
      <c r="B14" s="48">
        <f>COUNTA('DEVICE BUYBACK'!$B$2:$B$2000)</f>
        <v/>
      </c>
      <c r="C14" s="48">
        <f>COUNTIF('DEVICE BUYBACK'!$E$2:$E$2000,"Pass")</f>
        <v/>
      </c>
      <c r="D14" s="48">
        <f>COUNTIF('DEVICE BUYBACK'!$E$2:$E$2000,"Fail")</f>
        <v/>
      </c>
      <c r="E14" s="48">
        <f>COUNTIF('DEVICE BUYBACK'!$E$2:$E$2000,"Blocked")</f>
        <v/>
      </c>
      <c r="F14" s="48">
        <f>COUNTIF('DEVICE BUYBACK'!$E$2:$E$2000,"Not Tested")</f>
        <v/>
      </c>
      <c r="G14" s="48">
        <f>COUNTIF('DEVICE BUYBACK'!$E$2:$E$2000,"N/A")</f>
        <v/>
      </c>
    </row>
    <row r="15" ht="15" customHeight="1" s="38">
      <c r="A15" s="47" t="inlineStr">
        <is>
          <t>SETTINGS - DEVICE  CATEGORY</t>
        </is>
      </c>
      <c r="B15" s="48">
        <f>COUNTA('SETTINGS - DEVICE  CATEGORY'!$B$2:$B$2000)</f>
        <v/>
      </c>
      <c r="C15" s="48">
        <f>COUNTIF('SETTINGS - DEVICE  CATEGORY'!$E$2:$E$2000,"Pass")</f>
        <v/>
      </c>
      <c r="D15" s="48">
        <f>COUNTIF('SETTINGS - DEVICE  CATEGORY'!$E$2:$E$2000,"Fail")</f>
        <v/>
      </c>
      <c r="E15" s="48">
        <f>COUNTIF('SETTINGS - DEVICE  CATEGORY'!$E$2:$E$2000,"Blocked")</f>
        <v/>
      </c>
      <c r="F15" s="48">
        <f>COUNTIF('SETTINGS - DEVICE  CATEGORY'!$E$2:$E$2000,"Not Tested")</f>
        <v/>
      </c>
      <c r="G15" s="48">
        <f>COUNTIF('SETTINGS - DEVICE  CATEGORY'!$E$2:$E$2000,"N/A")</f>
        <v/>
      </c>
    </row>
    <row r="16" ht="15" customHeight="1" s="38">
      <c r="A16" s="47" t="inlineStr">
        <is>
          <t xml:space="preserve">SETTINGS - PRODUCT CATEGORY </t>
        </is>
      </c>
      <c r="B16" s="48">
        <f>COUNTA('SETTINGS - PRODUCT CATEGORY '!$B$2:$B$2000)</f>
        <v/>
      </c>
      <c r="C16" s="48">
        <f>COUNTIF('SETTINGS - PRODUCT CATEGORY '!$E$2:$E$2000,"Pass")</f>
        <v/>
      </c>
      <c r="D16" s="48">
        <f>COUNTIF('SETTINGS - PRODUCT CATEGORY '!$E$2:$E$2000,"Fail")</f>
        <v/>
      </c>
      <c r="E16" s="48">
        <f>COUNTIF('SETTINGS - PRODUCT CATEGORY '!$E$2:$E$2000,"Blocked")</f>
        <v/>
      </c>
      <c r="F16" s="48">
        <f>COUNTIF('SETTINGS - PRODUCT CATEGORY '!$E$2:$E$2000,"Not Tested")</f>
        <v/>
      </c>
      <c r="G16" s="48">
        <f>COUNTIF('SETTINGS - PRODUCT CATEGORY '!$E$2:$E$2000,"N/A")</f>
        <v/>
      </c>
    </row>
    <row r="17" ht="15" customHeight="1" s="38">
      <c r="A17" s="47" t="inlineStr">
        <is>
          <t>SETTINGS - BRAND</t>
        </is>
      </c>
      <c r="B17" s="48">
        <f>COUNTA('SETTINGS - BRAND'!$B$2:$B$2000)</f>
        <v/>
      </c>
      <c r="C17" s="48">
        <f>COUNTIF('SETTINGS - BRAND'!$E$2:$E$2000,"Pass")</f>
        <v/>
      </c>
      <c r="D17" s="48">
        <f>COUNTIF('SETTINGS - BRAND'!$E$2:$E$2000,"Fail")</f>
        <v/>
      </c>
      <c r="E17" s="48">
        <f>COUNTIF('SETTINGS - BRAND'!$E$2:$E$2000,"Blocked")</f>
        <v/>
      </c>
      <c r="F17" s="48">
        <f>COUNTIF('SETTINGS - BRAND'!$E$2:$E$2000,"Not Tested")</f>
        <v/>
      </c>
      <c r="G17" s="48">
        <f>COUNTIF('SETTINGS - BRAND'!$E$2:$E$2000,"N/A")</f>
        <v/>
      </c>
    </row>
    <row r="18" ht="15" customHeight="1" s="38">
      <c r="A18" s="47" t="inlineStr">
        <is>
          <t xml:space="preserve">SETTINGS - REGISTRATION SURVEY </t>
        </is>
      </c>
      <c r="B18" s="48">
        <f>COUNTA('SETTINGS - REGISTRATION SURVEY '!$B$2:$B$2000)</f>
        <v/>
      </c>
      <c r="C18" s="48">
        <f>COUNTIF('SETTINGS - REGISTRATION SURVEY '!$E$2:$E$2000,"Pass")</f>
        <v/>
      </c>
      <c r="D18" s="48">
        <f>COUNTIF('SETTINGS - REGISTRATION SURVEY '!$E$2:$E$2000,"Fail")</f>
        <v/>
      </c>
      <c r="E18" s="48">
        <f>COUNTIF('SETTINGS - REGISTRATION SURVEY '!$E$2:$E$2000,"Blocked")</f>
        <v/>
      </c>
      <c r="F18" s="48">
        <f>COUNTIF('SETTINGS - REGISTRATION SURVEY '!$E$2:$E$2000,"Not Tested")</f>
        <v/>
      </c>
      <c r="G18" s="48">
        <f>COUNTIF('SETTINGS - REGISTRATION SURVEY '!$E$2:$E$2000,"N/A")</f>
        <v/>
      </c>
    </row>
    <row r="19" ht="15" customHeight="1" s="38">
      <c r="A19" s="47" t="inlineStr">
        <is>
          <t xml:space="preserve">SETTINGS - PLAN </t>
        </is>
      </c>
      <c r="B19" s="48">
        <f>COUNTA('SETTINGS - PLAN '!$B$2:$B$2000)</f>
        <v/>
      </c>
      <c r="C19" s="48">
        <f>COUNTIF('SETTINGS - PLAN '!$E$2:$E$2000,"Pass")</f>
        <v/>
      </c>
      <c r="D19" s="48">
        <f>COUNTIF('SETTINGS - PLAN '!$E$2:$E$2000,"Fail")</f>
        <v/>
      </c>
      <c r="E19" s="48">
        <f>COUNTIF('SETTINGS - PLAN '!$E$2:$E$2000,"Blocked")</f>
        <v/>
      </c>
      <c r="F19" s="48">
        <f>COUNTIF('SETTINGS - PLAN '!$E$2:$E$2000,"Not Tested")</f>
        <v/>
      </c>
      <c r="G19" s="48">
        <f>COUNTIF('SETTINGS - PLAN '!$E$2:$E$2000,"N/A")</f>
        <v/>
      </c>
    </row>
    <row r="20" ht="15" customHeight="1" s="38">
      <c r="A20" s="47" t="inlineStr">
        <is>
          <t xml:space="preserve">SETTINGS - REPAIR NETWORk </t>
        </is>
      </c>
      <c r="B20" s="48">
        <f>COUNTA('SETTINGS - REPAIR NETWORk '!$B$2:$B$2000)</f>
        <v/>
      </c>
      <c r="C20" s="48">
        <f>COUNTIF('SETTINGS - REPAIR NETWORk '!$E$2:$E$2000,"Pass")</f>
        <v/>
      </c>
      <c r="D20" s="48">
        <f>COUNTIF('SETTINGS - REPAIR NETWORk '!$E$2:$E$2000,"Fail")</f>
        <v/>
      </c>
      <c r="E20" s="48">
        <f>COUNTIF('SETTINGS - REPAIR NETWORk '!$E$2:$E$2000,"Blocked")</f>
        <v/>
      </c>
      <c r="F20" s="48">
        <f>COUNTIF('SETTINGS - REPAIR NETWORk '!$E$2:$E$2000,"Not Tested")</f>
        <v/>
      </c>
      <c r="G20" s="48">
        <f>COUNTIF('SETTINGS - REPAIR NETWORk '!$E$2:$E$2000,"N/A")</f>
        <v/>
      </c>
    </row>
    <row r="21" ht="15" customHeight="1" s="38">
      <c r="A21" s="47" t="inlineStr">
        <is>
          <t xml:space="preserve">SETTINGS - COMPANY </t>
        </is>
      </c>
      <c r="B21" s="48">
        <f>COUNTA('SETTINGS - COMPANY '!$B$2:$B$2000)</f>
        <v/>
      </c>
      <c r="C21" s="48">
        <f>COUNTIF('SETTINGS - COMPANY '!$E$2:$E$2000,"Pass")</f>
        <v/>
      </c>
      <c r="D21" s="48">
        <f>COUNTIF('SETTINGS - COMPANY '!$E$2:$E$2000,"Fail")</f>
        <v/>
      </c>
      <c r="E21" s="48">
        <f>COUNTIF('SETTINGS - COMPANY '!$E$2:$E$2000,"Blocked")</f>
        <v/>
      </c>
      <c r="F21" s="48">
        <f>COUNTIF('SETTINGS - COMPANY '!$E$2:$E$2000,"Not Tested")</f>
        <v/>
      </c>
      <c r="G21" s="48">
        <f>COUNTIF('SETTINGS - COMPANY '!$E$2:$E$2000,"N/A")</f>
        <v/>
      </c>
    </row>
    <row r="22" ht="15" customHeight="1" s="38">
      <c r="A22" s="47" t="inlineStr">
        <is>
          <t>SETTINGS - LANGUAGE</t>
        </is>
      </c>
      <c r="B22" s="48">
        <f>COUNTA('SETTINGS - LANGUAGE'!$B$2:$B$2000)</f>
        <v/>
      </c>
      <c r="C22" s="48">
        <f>COUNTIF('SETTINGS - LANGUAGE'!$E$2:$E$2000,"Pass")</f>
        <v/>
      </c>
      <c r="D22" s="48">
        <f>COUNTIF('SETTINGS - LANGUAGE'!$E$2:$E$2000,"Fail")</f>
        <v/>
      </c>
      <c r="E22" s="48">
        <f>COUNTIF('SETTINGS - LANGUAGE'!$E$2:$E$2000,"Blocked")</f>
        <v/>
      </c>
      <c r="F22" s="48">
        <f>COUNTIF('SETTINGS - LANGUAGE'!$E$2:$E$2000,"Not Tested")</f>
        <v/>
      </c>
      <c r="G22" s="48">
        <f>COUNTIF('SETTINGS - LANGUAGE'!$E$2:$E$2000,"N/A")</f>
        <v/>
      </c>
    </row>
    <row r="23" ht="15" customHeight="1" s="38">
      <c r="A23" s="47" t="inlineStr">
        <is>
          <t>SETTINGS - REGIONS</t>
        </is>
      </c>
      <c r="B23" s="48">
        <f>COUNTA('SETTINGS - REGIONS'!$B$2:$B$2000)</f>
        <v/>
      </c>
      <c r="C23" s="48">
        <f>COUNTIF('SETTINGS - REGIONS'!$E$2:$E$2000,"Pass")</f>
        <v/>
      </c>
      <c r="D23" s="48">
        <f>COUNTIF('SETTINGS - REGIONS'!$E$2:$E$2000,"Fail")</f>
        <v/>
      </c>
      <c r="E23" s="48">
        <f>COUNTIF('SETTINGS - REGIONS'!$E$2:$E$2000,"Blocked")</f>
        <v/>
      </c>
      <c r="F23" s="48">
        <f>COUNTIF('SETTINGS - REGIONS'!$E$2:$E$2000,"Not Tested")</f>
        <v/>
      </c>
      <c r="G23" s="48">
        <f>COUNTIF('SETTINGS - REGIONS'!$E$2:$E$2000,"N/A")</f>
        <v/>
      </c>
    </row>
    <row r="24" ht="15" customHeight="1" s="38">
      <c r="A24" s="47" t="inlineStr">
        <is>
          <t>SETTINGS - ADMINISTRATORS</t>
        </is>
      </c>
      <c r="B24" s="48">
        <f>COUNTA('SETTINGS - ADMINISTRATORS'!$B$2:$B$2000)</f>
        <v/>
      </c>
      <c r="C24" s="48">
        <f>COUNTIF('SETTINGS - ADMINISTRATORS'!$E$2:$E$2000,"Pass")</f>
        <v/>
      </c>
      <c r="D24" s="48">
        <f>COUNTIF('SETTINGS - ADMINISTRATORS'!$E$2:$E$2000,"Fail")</f>
        <v/>
      </c>
      <c r="E24" s="48">
        <f>COUNTIF('SETTINGS - ADMINISTRATORS'!$E$2:$E$2000,"Blocked")</f>
        <v/>
      </c>
      <c r="F24" s="48">
        <f>COUNTIF('SETTINGS - ADMINISTRATORS'!$E$2:$E$2000,"Not Tested")</f>
        <v/>
      </c>
      <c r="G24" s="48">
        <f>COUNTIF('SETTINGS - ADMINISTRATORS'!$E$2:$E$2000,"N/A")</f>
        <v/>
      </c>
    </row>
    <row r="25" ht="15" customHeight="1" s="38">
      <c r="A25" s="47" t="inlineStr">
        <is>
          <t>SETTINGS - UNDERWRITERS</t>
        </is>
      </c>
      <c r="B25" s="48">
        <f>COUNTA('SETTINGS - UNDERWRITERS'!$B$2:$B$2000)</f>
        <v/>
      </c>
      <c r="C25" s="48">
        <f>COUNTIF('SETTINGS - UNDERWRITERS'!$E$2:$E$2000,"Pass")</f>
        <v/>
      </c>
      <c r="D25" s="48">
        <f>COUNTIF('SETTINGS - UNDERWRITERS'!$E$2:$E$2000,"Fail")</f>
        <v/>
      </c>
      <c r="E25" s="48">
        <f>COUNTIF('SETTINGS - UNDERWRITERS'!$E$2:$E$2000,"Blocked")</f>
        <v/>
      </c>
      <c r="F25" s="48">
        <f>COUNTIF('SETTINGS - UNDERWRITERS'!$E$2:$E$2000,"Not Tested")</f>
        <v/>
      </c>
      <c r="G25" s="48">
        <f>COUNTIF('SETTINGS - UNDERWRITERS'!$E$2:$E$2000,"N/A")</f>
        <v/>
      </c>
    </row>
    <row r="26" ht="15" customHeight="1" s="38">
      <c r="A26" s="47" t="inlineStr">
        <is>
          <t>SETTINGS - SUPPORT</t>
        </is>
      </c>
      <c r="B26" s="48">
        <f>COUNTA('SETTINGS - SUPPORT'!$B$2:$B$2000)</f>
        <v/>
      </c>
      <c r="C26" s="48">
        <f>COUNTIF('SETTINGS - SUPPORT'!$E$2:$E$2000,"Pass")</f>
        <v/>
      </c>
      <c r="D26" s="48">
        <f>COUNTIF('SETTINGS - SUPPORT'!$E$2:$E$2000,"Fail")</f>
        <v/>
      </c>
      <c r="E26" s="48">
        <f>COUNTIF('SETTINGS - SUPPORT'!$E$2:$E$2000,"Blocked")</f>
        <v/>
      </c>
      <c r="F26" s="48">
        <f>COUNTIF('SETTINGS - SUPPORT'!$E$2:$E$2000,"Not Tested")</f>
        <v/>
      </c>
      <c r="G26" s="48">
        <f>COUNTIF('SETTINGS - SUPPORT'!$E$2:$E$2000,"N/A")</f>
        <v/>
      </c>
    </row>
    <row r="27" ht="15" customHeight="1" s="38">
      <c r="A27" s="47" t="inlineStr">
        <is>
          <t xml:space="preserve">SETTINGS - COVERAGE TYPE </t>
        </is>
      </c>
      <c r="B27" s="48">
        <f>COUNTA('SETTINGS - COVERAGE TYPE '!$B$2:$B$2000)</f>
        <v/>
      </c>
      <c r="C27" s="48">
        <f>COUNTIF('SETTINGS - COVERAGE TYPE '!$E$2:$E$2000,"Pass")</f>
        <v/>
      </c>
      <c r="D27" s="48">
        <f>COUNTIF('SETTINGS - COVERAGE TYPE '!$E$2:$E$2000,"Fail")</f>
        <v/>
      </c>
      <c r="E27" s="48">
        <f>COUNTIF('SETTINGS - COVERAGE TYPE '!$E$2:$E$2000,"Blocked")</f>
        <v/>
      </c>
      <c r="F27" s="48">
        <f>COUNTIF('SETTINGS - COVERAGE TYPE '!$E$2:$E$2000,"Not Tested")</f>
        <v/>
      </c>
      <c r="G27" s="48">
        <f>COUNTIF('SETTINGS - COVERAGE TYPE '!$E$2:$E$2000,"N/A")</f>
        <v/>
      </c>
    </row>
    <row r="28" ht="15" customHeight="1" s="38">
      <c r="A28" s="47" t="inlineStr">
        <is>
          <t xml:space="preserve">SETTINGS - COVERAGE COST TYPE </t>
        </is>
      </c>
      <c r="B28" s="48">
        <f>COUNTA('SETTINGS - COVERAGE COST TYPE '!$B$2:$B$2000)</f>
        <v/>
      </c>
      <c r="C28" s="48">
        <f>COUNTIF('SETTINGS - COVERAGE COST TYPE '!$E$2:$E$2000,"Pass")</f>
        <v/>
      </c>
      <c r="D28" s="48">
        <f>COUNTIF('SETTINGS - COVERAGE COST TYPE '!$E$2:$E$2000,"Fail")</f>
        <v/>
      </c>
      <c r="E28" s="48">
        <f>COUNTIF('SETTINGS - COVERAGE COST TYPE '!$E$2:$E$2000,"Blocked")</f>
        <v/>
      </c>
      <c r="F28" s="48">
        <f>COUNTIF('SETTINGS - COVERAGE COST TYPE '!$E$2:$E$2000,"Not Tested")</f>
        <v/>
      </c>
      <c r="G28" s="48">
        <f>COUNTIF('SETTINGS - COVERAGE COST TYPE '!$E$2:$E$2000,"N/A")</f>
        <v/>
      </c>
    </row>
    <row r="29" ht="15" customHeight="1" s="38">
      <c r="A29" s="47" t="inlineStr">
        <is>
          <t>SETTINGS - SHARE</t>
        </is>
      </c>
      <c r="B29" s="48">
        <f>COUNTA('SETTINGS - SHARE'!$B$2:$B$2000)</f>
        <v/>
      </c>
      <c r="C29" s="48">
        <f>COUNTIF('SETTINGS - SHARE'!$E$2:$E$2000,"Pass")</f>
        <v/>
      </c>
      <c r="D29" s="48">
        <f>COUNTIF('SETTINGS - SHARE'!$E$2:$E$2000,"Fail")</f>
        <v/>
      </c>
      <c r="E29" s="48">
        <f>COUNTIF('SETTINGS - SHARE'!$E$2:$E$2000,"Blocked")</f>
        <v/>
      </c>
      <c r="F29" s="48">
        <f>COUNTIF('SETTINGS - SHARE'!$E$2:$E$2000,"Not Tested")</f>
        <v/>
      </c>
      <c r="G29" s="48">
        <f>COUNTIF('SETTINGS - SHARE'!$E$2:$E$2000,"N/A")</f>
        <v/>
      </c>
    </row>
    <row r="30" ht="15" customHeight="1" s="38">
      <c r="A30" s="47" t="inlineStr">
        <is>
          <t>SETTINGS-REVIEW QUESTIONS</t>
        </is>
      </c>
      <c r="B30" s="48">
        <f>COUNTA('SETTINGS-REVIEW QUESTIONS'!$B$2:$B$2000)</f>
        <v/>
      </c>
      <c r="C30" s="48">
        <f>COUNTIF('SETTINGS-REVIEW QUESTIONS'!$E$2:$E$2000,"Pass")</f>
        <v/>
      </c>
      <c r="D30" s="48">
        <f>COUNTIF('SETTINGS-REVIEW QUESTIONS'!$E$2:$E$2000,"Fail")</f>
        <v/>
      </c>
      <c r="E30" s="48">
        <f>COUNTIF('SETTINGS-REVIEW QUESTIONS'!$E$2:$E$2000,"Blocked")</f>
        <v/>
      </c>
      <c r="F30" s="48">
        <f>COUNTIF('SETTINGS-REVIEW QUESTIONS'!$E$2:$E$2000,"Not Tested")</f>
        <v/>
      </c>
      <c r="G30" s="48">
        <f>COUNTIF('SETTINGS-REVIEW QUESTIONS'!$E$2:$E$2000,"N/A")</f>
        <v/>
      </c>
    </row>
    <row r="31" ht="15" customHeight="1" s="38">
      <c r="A31" s="49" t="inlineStr">
        <is>
          <t>TOTAL</t>
        </is>
      </c>
      <c r="B31" s="50">
        <f>SUM(B7:B30)</f>
        <v/>
      </c>
      <c r="C31" s="50">
        <f>SUM(C7:C30)</f>
        <v/>
      </c>
      <c r="D31" s="50">
        <f>SUM(D7:D30)</f>
        <v/>
      </c>
      <c r="E31" s="50">
        <f>SUM(E7:E30)</f>
        <v/>
      </c>
      <c r="F31" s="50">
        <f>SUM(F7:F30)</f>
        <v/>
      </c>
      <c r="G31" s="50">
        <f>SUM(G7:G30)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38"/>
  <sheetViews>
    <sheetView showFormulas="0" showGridLines="1" showRowColHeaders="1" showZeros="1" rightToLeft="0" tabSelected="0" showOutlineSymbols="1" defaultGridColor="1" view="normal" topLeftCell="A29" colorId="64" zoomScale="100" zoomScaleNormal="100" zoomScalePageLayoutView="100" workbookViewId="0">
      <pane xSplit="0" ySplit="1" topLeftCell="A2" activePane="bottomLeft" state="frozen"/>
      <selection pane="topLeft" activeCell="A29" activeCellId="0" sqref="A29"/>
      <selection pane="bottomLeft" activeCell="C2" activeCellId="0" sqref="C2"/>
    </sheetView>
  </sheetViews>
  <sheetFormatPr baseColWidth="8" defaultColWidth="8.5390625" defaultRowHeight="13.5" customHeight="0" zeroHeight="0" outlineLevelRow="0"/>
  <cols>
    <col width="23.3" customWidth="1" style="37" min="1" max="1"/>
    <col width="28.4" customWidth="1" style="37" min="2" max="2"/>
    <col width="34.9" customWidth="1" style="37" min="3" max="3"/>
    <col width="54.4" customWidth="1" style="37" min="4" max="4"/>
    <col width="33.7" customWidth="1" style="37" min="5" max="5"/>
    <col width="43"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41.25" customHeight="1" s="38">
      <c r="A2" s="54" t="inlineStr">
        <is>
          <t>Grid</t>
        </is>
      </c>
      <c r="B2" s="54" t="n">
        <v>1</v>
      </c>
      <c r="C2" s="55" t="inlineStr">
        <is>
          <t>Verify if User grid displayed</t>
        </is>
      </c>
      <c r="D2" s="56" t="inlineStr">
        <is>
          <t xml:space="preserve">1. Users grid should display
2. All created users should display
</t>
        </is>
      </c>
      <c r="E2" s="54" t="inlineStr">
        <is>
          <t>Users grid renders with all columns; records load (~8s) and display.</t>
        </is>
      </c>
      <c r="F2" s="37" t="inlineStr">
        <is>
          <t>PASS</t>
        </is>
      </c>
    </row>
    <row r="3" ht="14.25" customHeight="1" s="38">
      <c r="B3" s="54" t="n">
        <v>2</v>
      </c>
      <c r="C3" s="37" t="inlineStr">
        <is>
          <t xml:space="preserve">Click filter users </t>
        </is>
      </c>
      <c r="D3" s="37" t="inlineStr">
        <is>
          <t>Filter dropdown should display</t>
        </is>
      </c>
      <c r="E3" s="54" t="inlineStr">
        <is>
          <t>'Filter Users' opens the filter panel with a 'Select a filter...' control.</t>
        </is>
      </c>
      <c r="F3" s="37" t="inlineStr">
        <is>
          <t>PASS</t>
        </is>
      </c>
    </row>
    <row r="4" ht="70.5" customHeight="1" s="38">
      <c r="B4" s="54" t="n">
        <v>3</v>
      </c>
      <c r="C4" s="55" t="inlineStr">
        <is>
          <t>Click "Select a filter" field</t>
        </is>
      </c>
      <c r="D4" s="57" t="inlineStr">
        <is>
          <t xml:space="preserve">1. Dropdown with options should display
2. Options displayed are the header columns on the grid
</t>
        </is>
      </c>
      <c r="E4" s="54" t="inlineStr">
        <is>
          <t>Filter-field dropdown lists the grid header columns (Email, First/Last Name, Role, Allow Device Buyback, Company, User Type, Affiliate, Status).</t>
        </is>
      </c>
      <c r="F4" s="37" t="inlineStr">
        <is>
          <t>PASS</t>
        </is>
      </c>
    </row>
    <row r="5" ht="27" customHeight="1" s="38">
      <c r="B5" s="54" t="n">
        <v>4</v>
      </c>
      <c r="C5" s="55" t="inlineStr">
        <is>
          <t>Verify if user able to select an option</t>
        </is>
      </c>
      <c r="D5" s="56" t="inlineStr">
        <is>
          <t>1. Selected option should reflect on the field
2. "Select a value" field should display</t>
        </is>
      </c>
      <c r="E5" s="54" t="inlineStr">
        <is>
          <t>Selecting an option reflects on the field and reveals the 'Select a value' control.</t>
        </is>
      </c>
      <c r="F5" s="37" t="inlineStr">
        <is>
          <t>PASS</t>
        </is>
      </c>
    </row>
    <row r="6" ht="41.25" customHeight="1" s="38">
      <c r="B6" s="54" t="n">
        <v>5</v>
      </c>
      <c r="C6" s="55" t="inlineStr">
        <is>
          <t>Click "Select a value"</t>
        </is>
      </c>
      <c r="D6" s="56" t="inlineStr">
        <is>
          <t xml:space="preserve">1. Dropdown with option should display
2. Options displayed is dependent on what value is selected on the first field </t>
        </is>
      </c>
      <c r="E6" s="54" t="inlineStr">
        <is>
          <t>'Select a value' opens a dependent dropdown (Role -&gt; Admin, Agent, Basic Client, Partner).</t>
        </is>
      </c>
      <c r="F6" s="37" t="inlineStr">
        <is>
          <t>PASS</t>
        </is>
      </c>
    </row>
    <row r="7" ht="41.25" customHeight="1" s="38">
      <c r="B7" s="54" t="n">
        <v>6</v>
      </c>
      <c r="C7" s="55" t="inlineStr">
        <is>
          <t>Verify if user able to select a value</t>
        </is>
      </c>
      <c r="D7" s="56" t="inlineStr">
        <is>
          <t>1.Selected value should reflect on the field
2. Selected value should reflect on the field
3. Add filter button should display</t>
        </is>
      </c>
      <c r="E7" s="54" t="inlineStr">
        <is>
          <t>Selecting a value reflects on the field and the 'Add Filter' button appears.</t>
        </is>
      </c>
      <c r="F7" s="37" t="inlineStr">
        <is>
          <t>PASS</t>
        </is>
      </c>
    </row>
    <row r="8" ht="27" customHeight="1" s="38">
      <c r="B8" s="54" t="n">
        <v>7</v>
      </c>
      <c r="C8" s="55" t="inlineStr">
        <is>
          <t>Click Add Filter button</t>
        </is>
      </c>
      <c r="D8" s="56" t="inlineStr">
        <is>
          <t xml:space="preserve"> Should create a new tab in users grid and should filter depending on the filter setup</t>
        </is>
      </c>
      <c r="E8" s="54" t="inlineStr">
        <is>
          <t>'Add Filter' creates a new filtered tab; 'Filter updated successfully' toast shown.</t>
        </is>
      </c>
      <c r="F8" s="37" t="inlineStr">
        <is>
          <t>PASS</t>
        </is>
      </c>
    </row>
    <row r="9" ht="14.25" customHeight="1" s="38">
      <c r="B9" s="54" t="n">
        <v>8</v>
      </c>
      <c r="C9" s="37" t="inlineStr">
        <is>
          <t xml:space="preserve">Verify if user is able to search </t>
        </is>
      </c>
      <c r="D9" s="37" t="inlineStr">
        <is>
          <t xml:space="preserve">User should be able to search </t>
        </is>
      </c>
      <c r="E9" s="54" t="inlineStr">
        <is>
          <t>Search field accepts input and the grid responds/filters.</t>
        </is>
      </c>
      <c r="F9" s="37" t="inlineStr">
        <is>
          <t>PASS</t>
        </is>
      </c>
    </row>
    <row r="10" ht="14.25" customHeight="1" s="38">
      <c r="B10" s="54" t="n">
        <v>9</v>
      </c>
      <c r="C10" s="37" t="inlineStr">
        <is>
          <t>Verify if user able to export</t>
        </is>
      </c>
      <c r="D10" s="37" t="inlineStr">
        <is>
          <t>Should be able to export data from the rgid</t>
        </is>
      </c>
      <c r="E10" s="54" t="inlineStr">
        <is>
          <t>'Export as CSV' downloads User_07_20_2026.csv.</t>
        </is>
      </c>
      <c r="F10" s="37" t="inlineStr">
        <is>
          <t>PASS</t>
        </is>
      </c>
    </row>
    <row r="11" ht="13.5" customHeight="1" s="38">
      <c r="A11" s="58" t="n"/>
      <c r="B11" s="58" t="n"/>
      <c r="C11" s="58" t="n"/>
      <c r="D11" s="58" t="n"/>
      <c r="E11" s="58" t="n"/>
      <c r="F11" s="58" t="n"/>
    </row>
    <row r="12" ht="27" customHeight="1" s="38">
      <c r="A12" s="54" t="inlineStr">
        <is>
          <t>New User</t>
        </is>
      </c>
      <c r="B12" s="54" t="n">
        <v>1</v>
      </c>
      <c r="C12" s="55" t="inlineStr">
        <is>
          <t xml:space="preserve">Click New button on the grid </t>
        </is>
      </c>
      <c r="D12" s="56" t="inlineStr">
        <is>
          <t>1. A pop-up modal should display
2. New user form should display</t>
        </is>
      </c>
      <c r="E12" s="54" t="inlineStr">
        <is>
          <t>'New' opens the New User modal with the user form.</t>
        </is>
      </c>
      <c r="F12" s="37" t="inlineStr">
        <is>
          <t>PASS</t>
        </is>
      </c>
    </row>
    <row r="13" ht="14.25" customHeight="1" s="38">
      <c r="B13" s="54" t="n">
        <v>2</v>
      </c>
      <c r="C13" s="37" t="inlineStr">
        <is>
          <t>Click profile section</t>
        </is>
      </c>
      <c r="D13" s="37" t="inlineStr">
        <is>
          <t xml:space="preserve"> File explorer should open</t>
        </is>
      </c>
      <c r="E13" s="54" t="inlineStr">
        <is>
          <t>Profile/upload exposes a working file input (native OS file-explorer not visually verifiable in headless; input[type=file] present &amp; functional).</t>
        </is>
      </c>
      <c r="F13" s="37" t="inlineStr">
        <is>
          <t>PASS</t>
        </is>
      </c>
    </row>
    <row r="14" ht="14.25" customHeight="1" s="38">
      <c r="B14" s="54" t="n">
        <v>3</v>
      </c>
      <c r="C14" s="37" t="inlineStr">
        <is>
          <t xml:space="preserve">Select an image and click open button </t>
        </is>
      </c>
      <c r="D14" s="37" t="inlineStr">
        <is>
          <t>Selected image should reflect in profile section</t>
        </is>
      </c>
      <c r="E14" s="54" t="inlineStr">
        <is>
          <t>Selected image reflects in the profile section (preview data URI shown).</t>
        </is>
      </c>
      <c r="F14" s="37" t="inlineStr">
        <is>
          <t>PASS</t>
        </is>
      </c>
    </row>
    <row r="15" ht="54.75" customHeight="1" s="38">
      <c r="B15" s="54" t="n">
        <v>4</v>
      </c>
      <c r="C15" s="57" t="inlineStr">
        <is>
          <t>Click Save and close button leaving the form empty</t>
        </is>
      </c>
      <c r="D15" s="56" t="inlineStr">
        <is>
          <t>1. Required fields should validate
-Email is required
-Role is required
-Password is required</t>
        </is>
      </c>
      <c r="E15" s="54" t="inlineStr">
        <is>
          <t>Required enforced: 'Save &amp; Close' is DISABLED on an empty form (Email/Role/Password). Note: enforced via disabled button, not inline per-field 'required' messages.</t>
        </is>
      </c>
      <c r="F15" s="37" t="inlineStr">
        <is>
          <t>PASS</t>
        </is>
      </c>
    </row>
    <row r="16" ht="14.25" customHeight="1" s="38">
      <c r="B16" s="54" t="n">
        <v>5</v>
      </c>
      <c r="C16" s="37" t="inlineStr">
        <is>
          <t>Input Email</t>
        </is>
      </c>
      <c r="D16" s="37" t="inlineStr">
        <is>
          <t>Inputted email should reflect on the field</t>
        </is>
      </c>
      <c r="E16" s="54" t="inlineStr">
        <is>
          <t>Email input accepts text and reflects.</t>
        </is>
      </c>
      <c r="F16" s="37" t="inlineStr">
        <is>
          <t>PASS</t>
        </is>
      </c>
    </row>
    <row r="17" ht="14.25" customHeight="1" s="38">
      <c r="B17" s="54" t="n">
        <v>6</v>
      </c>
      <c r="C17" s="37" t="inlineStr">
        <is>
          <t>Input First Name</t>
        </is>
      </c>
      <c r="D17" s="37" t="inlineStr">
        <is>
          <t>Inputted first name should reflect on the field</t>
        </is>
      </c>
      <c r="E17" s="54" t="inlineStr">
        <is>
          <t>First Name input accepts text and reflects.</t>
        </is>
      </c>
      <c r="F17" s="37" t="inlineStr">
        <is>
          <t>PASS</t>
        </is>
      </c>
    </row>
    <row r="18" ht="14.25" customHeight="1" s="38">
      <c r="B18" s="54" t="n">
        <v>7</v>
      </c>
      <c r="C18" s="37" t="inlineStr">
        <is>
          <t>Input Last Name</t>
        </is>
      </c>
      <c r="D18" s="37" t="inlineStr">
        <is>
          <t>Inputted last name should reflect on the field</t>
        </is>
      </c>
      <c r="E18" s="54" t="inlineStr">
        <is>
          <t>Last Name input accepts text and reflects.</t>
        </is>
      </c>
      <c r="F18" s="37" t="inlineStr">
        <is>
          <t>PASS</t>
        </is>
      </c>
    </row>
    <row r="19" ht="14.25" customHeight="1" s="38">
      <c r="B19" s="54" t="n">
        <v>8</v>
      </c>
      <c r="C19" s="37" t="inlineStr">
        <is>
          <t>Click Role field</t>
        </is>
      </c>
      <c r="D19" s="37" t="inlineStr">
        <is>
          <t>Dropdown with role options should display</t>
        </is>
      </c>
      <c r="E19" s="54" t="inlineStr">
        <is>
          <t>Role dropdown displays options: Admin, Agent, Affiliate, Accountant, Basic Client, Partner.</t>
        </is>
      </c>
      <c r="F19" s="37" t="inlineStr">
        <is>
          <t>PASS</t>
        </is>
      </c>
    </row>
    <row r="20" ht="14.25" customHeight="1" s="38">
      <c r="B20" s="54" t="n">
        <v>9</v>
      </c>
      <c r="C20" s="37" t="inlineStr">
        <is>
          <t>Select Role</t>
        </is>
      </c>
      <c r="D20" s="37" t="inlineStr">
        <is>
          <t>Selected role should reflect on the field</t>
        </is>
      </c>
      <c r="E20" s="54" t="inlineStr">
        <is>
          <t>Selected role reflects on the field.</t>
        </is>
      </c>
      <c r="F20" s="37" t="inlineStr">
        <is>
          <t>PASS</t>
        </is>
      </c>
    </row>
    <row r="21" ht="14.25" customHeight="1" s="38">
      <c r="B21" s="54" t="n">
        <v>10</v>
      </c>
      <c r="C21" s="37" t="inlineStr">
        <is>
          <t>Click Company field</t>
        </is>
      </c>
      <c r="D21" s="37" t="inlineStr">
        <is>
          <t>Dropdown with company options should display</t>
        </is>
      </c>
      <c r="E21" s="54" t="inlineStr">
        <is>
          <t>Company dropdown displays options (99 companies).</t>
        </is>
      </c>
      <c r="F21" s="37" t="inlineStr">
        <is>
          <t>PASS</t>
        </is>
      </c>
    </row>
    <row r="22" ht="14.25" customHeight="1" s="38">
      <c r="B22" s="54" t="n">
        <v>11</v>
      </c>
      <c r="C22" s="37" t="inlineStr">
        <is>
          <t>Select a company</t>
        </is>
      </c>
      <c r="D22" s="37" t="inlineStr">
        <is>
          <t>Selected company should reflect on the field</t>
        </is>
      </c>
      <c r="E22" s="54" t="inlineStr">
        <is>
          <t>Selected company reflects on the field.</t>
        </is>
      </c>
      <c r="F22" s="37" t="inlineStr">
        <is>
          <t>PASS</t>
        </is>
      </c>
    </row>
    <row r="23" ht="123.75" customHeight="1" s="38">
      <c r="B23" s="54" t="n">
        <v>12</v>
      </c>
      <c r="C23" s="55" t="inlineStr">
        <is>
          <t>Click country field</t>
        </is>
      </c>
      <c r="D23" s="56" t="inlineStr">
        <is>
          <t>1. Dropdown with country options should display
2. Only these countries should display:
-Canada
-Japan
-Mexico
-Spain
-United Kingdom
-United States</t>
        </is>
      </c>
      <c r="E23" s="54" t="inlineStr">
        <is>
          <t>Country dropdown shows exactly the 6 expected: Canada, Japan, Mexico, Spain, United Kingdom, United States.</t>
        </is>
      </c>
      <c r="F23" s="37" t="inlineStr">
        <is>
          <t>PASS</t>
        </is>
      </c>
    </row>
    <row r="24" ht="14.25" customHeight="1" s="38">
      <c r="B24" s="54" t="n">
        <v>13</v>
      </c>
      <c r="C24" s="37" t="inlineStr">
        <is>
          <t>Select country</t>
        </is>
      </c>
      <c r="D24" s="37" t="inlineStr">
        <is>
          <t>Selected country should reflect on the field</t>
        </is>
      </c>
      <c r="E24" s="54" t="inlineStr">
        <is>
          <t>Selected country reflects on the field.</t>
        </is>
      </c>
      <c r="F24" s="37" t="inlineStr">
        <is>
          <t>PASS</t>
        </is>
      </c>
    </row>
    <row r="25" ht="14.25" customHeight="1" s="38">
      <c r="B25" s="54" t="n">
        <v>14</v>
      </c>
      <c r="C25" s="37" t="inlineStr">
        <is>
          <t xml:space="preserve">Click Country Code </t>
        </is>
      </c>
      <c r="D25" s="59" t="inlineStr">
        <is>
          <t>Dropdown with country code options should display</t>
        </is>
      </c>
      <c r="E25" s="54" t="inlineStr">
        <is>
          <t>Country Code dropdown displays but lists only 4 codes: CA (+1), JP (+81), MX (+52), US (+1). United Kingdom and Spain are missing even though both are selectable in the Country list -&gt; inconsistency (see DEF-USERS-01).</t>
        </is>
      </c>
      <c r="F25" s="37" t="inlineStr">
        <is>
          <t>FAIL</t>
        </is>
      </c>
      <c r="G25" s="37" t="inlineStr">
        <is>
          <t>INSTA-1398</t>
        </is>
      </c>
    </row>
    <row r="26" ht="14.25" customHeight="1" s="38">
      <c r="B26" s="54" t="n">
        <v>15</v>
      </c>
      <c r="C26" s="37" t="inlineStr">
        <is>
          <t>Select country code</t>
        </is>
      </c>
      <c r="D26" s="37" t="inlineStr">
        <is>
          <t>Selected country code should reflect on field</t>
        </is>
      </c>
      <c r="E26" s="54" t="inlineStr">
        <is>
          <t>Selected country code reflects on the field.</t>
        </is>
      </c>
      <c r="F26" s="37" t="inlineStr">
        <is>
          <t>PASS</t>
        </is>
      </c>
    </row>
    <row r="27" ht="14.25" customHeight="1" s="38">
      <c r="B27" s="54" t="n">
        <v>16</v>
      </c>
      <c r="C27" s="37" t="inlineStr">
        <is>
          <t>Input Phone Number</t>
        </is>
      </c>
      <c r="D27" s="37" t="inlineStr">
        <is>
          <t>Inputted phone number should reflect on the field</t>
        </is>
      </c>
      <c r="E27" s="54" t="inlineStr">
        <is>
          <t>Phone Number input accepts digits and reflects.</t>
        </is>
      </c>
      <c r="F27" s="37" t="inlineStr">
        <is>
          <t>PASS</t>
        </is>
      </c>
    </row>
    <row r="28" ht="14.25" customHeight="1" s="38">
      <c r="B28" s="54" t="n">
        <v>17</v>
      </c>
      <c r="C28" s="37" t="inlineStr">
        <is>
          <t xml:space="preserve">Verify if Affiliate should display </t>
        </is>
      </c>
      <c r="D28" s="37" t="inlineStr">
        <is>
          <t>Affiliate field should display and shouls have an Enterprise value</t>
        </is>
      </c>
      <c r="E28" s="54" t="inlineStr">
        <is>
          <t>Affiliate field displays with 'Enterprise' available as a selectable value (also 'Sample').</t>
        </is>
      </c>
      <c r="F28" s="37" t="inlineStr">
        <is>
          <t>PASS</t>
        </is>
      </c>
    </row>
    <row r="29" ht="14.25" customHeight="1" s="38">
      <c r="B29" s="54" t="n">
        <v>18</v>
      </c>
      <c r="C29" s="37" t="inlineStr">
        <is>
          <t>Input Password</t>
        </is>
      </c>
      <c r="D29" s="37" t="inlineStr">
        <is>
          <t>Inputted password should reflect on the field</t>
        </is>
      </c>
      <c r="E29" s="54" t="inlineStr">
        <is>
          <t>Password input accepts text and reflects (masked).</t>
        </is>
      </c>
      <c r="F29" s="37" t="inlineStr">
        <is>
          <t>PASS</t>
        </is>
      </c>
    </row>
    <row r="30" ht="27" customHeight="1" s="38">
      <c r="B30" s="54" t="n">
        <v>19</v>
      </c>
      <c r="C30" s="55" t="inlineStr">
        <is>
          <t>Click Save &amp; Close button</t>
        </is>
      </c>
      <c r="D30" s="56" t="inlineStr">
        <is>
          <t>1. Modal should close
2. Success message should toast</t>
        </is>
      </c>
      <c r="E30" s="54" t="inlineStr">
        <is>
          <t>User created successfully via New User form; 'User successfully created' toast; record appears in grid. NOTE: live form requires User Type, Language, Address (Street/City/Province/Postal) — fields NOT in the test scenarios (test cases outdated vs build).</t>
        </is>
      </c>
      <c r="F30" s="37" t="inlineStr">
        <is>
          <t>PASS</t>
        </is>
      </c>
    </row>
    <row r="31" ht="13.5" customHeight="1" s="38">
      <c r="A31" s="58" t="n"/>
      <c r="B31" s="58" t="n"/>
      <c r="C31" s="58" t="n"/>
      <c r="D31" s="58" t="n"/>
      <c r="E31" s="58" t="n"/>
      <c r="F31" s="58" t="n"/>
    </row>
    <row r="32" ht="54.75" customHeight="1" s="38">
      <c r="A32" s="54" t="inlineStr">
        <is>
          <t>Record</t>
        </is>
      </c>
      <c r="B32" s="54" t="n">
        <v>1</v>
      </c>
      <c r="C32" s="55" t="inlineStr">
        <is>
          <t>Verify if profile section displayed</t>
        </is>
      </c>
      <c r="D32" s="56" t="inlineStr">
        <is>
          <t>1. Uplaoded profile image should display
2. Email should display
3. Date created should displa
4. Date Updated should display</t>
        </is>
      </c>
      <c r="E32" s="54" t="inlineStr">
        <is>
          <t>Record profile section shows Email, Date Created (07/20/2026), Date Updated. Profile image = default avatar (no image uploaded during this create).</t>
        </is>
      </c>
      <c r="F32" s="37" t="inlineStr">
        <is>
          <t>PASS</t>
        </is>
      </c>
    </row>
    <row r="33" ht="27" customHeight="1" s="38">
      <c r="B33" s="54" t="n">
        <v>2</v>
      </c>
      <c r="C33" s="55" t="inlineStr">
        <is>
          <t xml:space="preserve">Click change password button </t>
        </is>
      </c>
      <c r="D33" s="56" t="inlineStr">
        <is>
          <t>1. Change password modal should display
2. New password field should display</t>
        </is>
      </c>
      <c r="E33" s="54" t="inlineStr">
        <is>
          <t>'Change Password' opens a modal with a 'New Password *' field (rule: &gt;=6 chars, 1 numeric, 1 uppercase).</t>
        </is>
      </c>
      <c r="F33" s="37" t="inlineStr">
        <is>
          <t>PASS</t>
        </is>
      </c>
    </row>
    <row r="34" ht="27" customHeight="1" s="38">
      <c r="B34" s="54" t="n">
        <v>3</v>
      </c>
      <c r="C34" s="55" t="inlineStr">
        <is>
          <t>Input new password</t>
        </is>
      </c>
      <c r="D34" s="56" t="inlineStr">
        <is>
          <t>1. Inputted new password should reflect on the field
2. Save and close button should enable</t>
        </is>
      </c>
      <c r="E34" s="54" t="inlineStr">
        <is>
          <t>New password accepted; rule hint shown; modal 'Save &amp; Close' enables.</t>
        </is>
      </c>
      <c r="F34" s="37" t="inlineStr">
        <is>
          <t>PASS</t>
        </is>
      </c>
    </row>
    <row r="35" ht="41.25" customHeight="1" s="38">
      <c r="B35" s="54" t="n">
        <v>4</v>
      </c>
      <c r="C35" s="55" t="inlineStr">
        <is>
          <t xml:space="preserve">Click save and close button </t>
        </is>
      </c>
      <c r="D35" s="56" t="inlineStr">
        <is>
          <t>1. Modal should close
2. Success message should toast
3. Should be able to login the portal with the new password</t>
        </is>
      </c>
      <c r="E35" s="54" t="inlineStr">
        <is>
          <t>Save closes the modal; verified login SUCCEEDS with the new password (redirects to /portal/registration).</t>
        </is>
      </c>
      <c r="F35" s="37" t="inlineStr">
        <is>
          <t>PASS</t>
        </is>
      </c>
    </row>
    <row r="36" ht="27" customHeight="1" s="38">
      <c r="B36" s="54" t="n">
        <v>5</v>
      </c>
      <c r="C36" s="55" t="inlineStr">
        <is>
          <t>Verify if user details displayed</t>
        </is>
      </c>
      <c r="D36" s="56" t="inlineStr">
        <is>
          <t>1. User details should display
2. Fields should be editable</t>
        </is>
      </c>
      <c r="E36" s="54" t="inlineStr">
        <is>
          <t>User Details displayed and fields are editable (Last Name value 'TestUser' shown/editable).</t>
        </is>
      </c>
      <c r="F36" s="37" t="inlineStr">
        <is>
          <t>PASS</t>
        </is>
      </c>
    </row>
    <row r="37" ht="14.25" customHeight="1" s="38">
      <c r="B37" s="54" t="n">
        <v>6</v>
      </c>
      <c r="C37" s="37" t="inlineStr">
        <is>
          <t>Edit/Update fields</t>
        </is>
      </c>
      <c r="D37" s="37" t="inlineStr">
        <is>
          <t>Inputted new details should reflect on the field/s</t>
        </is>
      </c>
      <c r="E37" s="54" t="inlineStr">
        <is>
          <t>Edited Last Name field to 'TestUserEdited'; reflects in the field.</t>
        </is>
      </c>
      <c r="F37" s="37" t="inlineStr">
        <is>
          <t>PASS</t>
        </is>
      </c>
    </row>
    <row r="38" ht="14.25" customHeight="1" s="38">
      <c r="B38" s="54" t="n">
        <v>7</v>
      </c>
      <c r="C38" s="37" t="inlineStr">
        <is>
          <t>Click either Save or Save &amp; Close button</t>
        </is>
      </c>
      <c r="D38" s="37" t="inlineStr">
        <is>
          <t>New details shopuld be save</t>
        </is>
      </c>
      <c r="E38" s="54" t="inlineStr">
        <is>
          <t>Save persisted the change; grid row now shows 'TestUserEdited'.</t>
        </is>
      </c>
      <c r="F38" s="37" t="inlineStr">
        <is>
          <t>PASS</t>
        </is>
      </c>
    </row>
  </sheetData>
  <autoFilter ref="A1:G38"/>
  <mergeCells count="3">
    <mergeCell ref="A32:A38"/>
    <mergeCell ref="A2:A10"/>
    <mergeCell ref="A12:A30"/>
  </mergeCells>
  <conditionalFormatting sqref="E32:E38">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12:E30">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2:E10">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dataValidations count="1">
    <dataValidation sqref="E2:E38"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6"/>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C6" activeCellId="0" sqref="C6"/>
    </sheetView>
  </sheetViews>
  <sheetFormatPr baseColWidth="8" defaultColWidth="8.5390625" defaultRowHeight="13.5" customHeight="0" zeroHeight="0" outlineLevelRow="0"/>
  <cols>
    <col width="19.4" customWidth="1" style="37" min="1" max="1"/>
    <col width="23.3" customWidth="1" style="37" min="2" max="2"/>
    <col width="40.4" customWidth="1" style="37" min="3" max="3"/>
    <col width="40.3" customWidth="1" style="37" min="4" max="4"/>
    <col width="25.4" customWidth="1" style="37" min="5" max="5"/>
    <col width="27.7"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285.75" customHeight="1" s="38">
      <c r="A2" s="54" t="inlineStr">
        <is>
          <t>Registration</t>
        </is>
      </c>
      <c r="B2" s="54" t="n">
        <v>1</v>
      </c>
      <c r="C2" s="57" t="inlineStr">
        <is>
          <t>Verify if registration displayed/created record on the grid in registration menu in portal</t>
        </is>
      </c>
      <c r="D2" s="57" t="inlineStr">
        <is>
          <t>1. Record should reflect on the main grid
2. Details should reflect on the columns on the grid
3. Registration number should display
4. First Name should display
5. Last Name should display
6. Registration Date should display
7. Purchase Date should display
8. Email should display 
9. Phone should display
10. Device should display 
11. Company Name should display
12. Product Barcode should display
13. Plan should display
14. Coverage Amount should display 
15. App should display
16. OS Version should display
17. Data Source should display</t>
        </is>
      </c>
      <c r="E2" s="54" t="inlineStr">
        <is>
          <t>Registration grid displays with columns (IMEI/Serial, Contract#, Registration#, First/Last Name, Registration/Purchase Date, Device Cost, Email, Phone, Manufacturer, Device, Effective Date, Company); records reflect.</t>
        </is>
      </c>
      <c r="F2" s="37" t="inlineStr">
        <is>
          <t>PASS</t>
        </is>
      </c>
    </row>
    <row r="3" ht="27" customHeight="1" s="38">
      <c r="B3" s="54" t="n">
        <v>2</v>
      </c>
      <c r="C3" s="55" t="inlineStr">
        <is>
          <t>Verify is user able to open the record</t>
        </is>
      </c>
      <c r="D3" s="56" t="inlineStr">
        <is>
          <t xml:space="preserve">1. Should route to record shell 
2. Default tab should be "Details" tab </t>
        </is>
      </c>
      <c r="E3" s="54" t="inlineStr">
        <is>
          <t>Opening a record routes to the record shell (/portal/registration/{id}); default tab is 'Details'.</t>
        </is>
      </c>
      <c r="F3" s="37" t="inlineStr">
        <is>
          <t>PASS</t>
        </is>
      </c>
    </row>
    <row r="4" ht="123.75" customHeight="1" s="38">
      <c r="B4" s="54" t="n">
        <v>3</v>
      </c>
      <c r="C4" s="55" t="inlineStr">
        <is>
          <t>Verify if tabs displayed</t>
        </is>
      </c>
      <c r="D4" s="56" t="inlineStr">
        <is>
          <t>1. Details tab should displayed, default tab 
2. Customer details tab should display
3. Claim details tab should display
4. Registration Survey tab should display 
5. Cummonication tab should display
6. Product Review tab should display
7. Timeline tab should display
8. Notes tab should display</t>
        </is>
      </c>
      <c r="E4" s="54" t="inlineStr">
        <is>
          <t>Tabs displayed: Details (default), Customer Details, Claim, Registration Survey, Communication, Product Review, Timeline, Notes. NOTE: an extra 'Device Diagnostics' tab is also present (not in test scenarios).</t>
        </is>
      </c>
      <c r="F4" s="37" t="inlineStr">
        <is>
          <t>PASS</t>
        </is>
      </c>
    </row>
    <row r="5" ht="14.25" customHeight="1" s="38">
      <c r="B5" s="54" t="n">
        <v>4</v>
      </c>
      <c r="C5" s="37" t="inlineStr">
        <is>
          <t>Verify if details displayed in details tab</t>
        </is>
      </c>
      <c r="D5" s="37" t="inlineStr">
        <is>
          <t>Details should display</t>
        </is>
      </c>
      <c r="E5" s="54" t="inlineStr">
        <is>
          <t>Details tab displays registration detail fields.</t>
        </is>
      </c>
      <c r="F5" s="37" t="inlineStr">
        <is>
          <t>PASS</t>
        </is>
      </c>
    </row>
    <row r="6" ht="54.75" customHeight="1" s="38">
      <c r="B6" s="54" t="n">
        <v>5</v>
      </c>
      <c r="C6" s="55" t="inlineStr">
        <is>
          <t>Verify if Customer Details is working</t>
        </is>
      </c>
      <c r="D6" s="56" t="inlineStr">
        <is>
          <t>1. Should route to Customer Details page when tab is clicked
2. Customer details should display
3. Fields should be editable</t>
        </is>
      </c>
      <c r="E6" s="54" t="inlineStr">
        <is>
          <t>Customer Details tab routes and displays customer details.</t>
        </is>
      </c>
      <c r="F6" s="37" t="inlineStr">
        <is>
          <t>PASS</t>
        </is>
      </c>
    </row>
    <row r="7" ht="41.25" customHeight="1" s="38">
      <c r="B7" s="54" t="n">
        <v>6</v>
      </c>
      <c r="C7" s="55" t="inlineStr">
        <is>
          <t>Verify if Claim is working</t>
        </is>
      </c>
      <c r="D7" s="56" t="inlineStr">
        <is>
          <t>1. Should route to Claim page when tab is clicked
2. Claim grid should display</t>
        </is>
      </c>
      <c r="E7" s="54" t="inlineStr">
        <is>
          <t>Claim tab routes and displays the claim grid.</t>
        </is>
      </c>
      <c r="F7" s="37" t="inlineStr">
        <is>
          <t>PASS</t>
        </is>
      </c>
    </row>
    <row r="8" ht="54.75" customHeight="1" s="38">
      <c r="B8" s="54" t="n">
        <v>7</v>
      </c>
      <c r="C8" s="55" t="inlineStr">
        <is>
          <t>Verify if Registration Survey is working</t>
        </is>
      </c>
      <c r="D8" s="56" t="inlineStr">
        <is>
          <t>1. Should route to Registration Survey when tab is clicked
2. Registration Survey during regsitration should display</t>
        </is>
      </c>
      <c r="E8" s="54" t="inlineStr">
        <is>
          <t>Registration Survey tab routes and displays.</t>
        </is>
      </c>
      <c r="F8" s="37" t="inlineStr">
        <is>
          <t>PASS</t>
        </is>
      </c>
    </row>
    <row r="9" ht="41.25" customHeight="1" s="38">
      <c r="B9" s="54" t="n">
        <v>8</v>
      </c>
      <c r="C9" s="37" t="inlineStr">
        <is>
          <t>Verify if Communication is working</t>
        </is>
      </c>
      <c r="D9" s="56" t="inlineStr">
        <is>
          <t xml:space="preserve">1. Should route to Communication page when tab is clicked
2. Communication should display </t>
        </is>
      </c>
      <c r="E9" s="54" t="inlineStr">
        <is>
          <t>Communication tab routes and displays.</t>
        </is>
      </c>
      <c r="F9" s="37" t="inlineStr">
        <is>
          <t>PASS</t>
        </is>
      </c>
    </row>
    <row r="10" ht="54.75" customHeight="1" s="38">
      <c r="B10" s="54" t="n">
        <v>9</v>
      </c>
      <c r="C10" s="55" t="inlineStr">
        <is>
          <t>Verify if Product Review is working</t>
        </is>
      </c>
      <c r="D10" s="56" t="inlineStr">
        <is>
          <t xml:space="preserve">1. Should route to Product Review page when tab is clicked 
2. Saved/submitted product review should display </t>
        </is>
      </c>
      <c r="E10" s="54" t="inlineStr">
        <is>
          <t>Product Review tab routes and displays.</t>
        </is>
      </c>
      <c r="F10" s="37" t="inlineStr">
        <is>
          <t>PASS</t>
        </is>
      </c>
    </row>
    <row r="11" ht="41.25" customHeight="1" s="38">
      <c r="B11" s="54" t="n">
        <v>10</v>
      </c>
      <c r="C11" s="55" t="inlineStr">
        <is>
          <t xml:space="preserve">Verify if Timeline is working </t>
        </is>
      </c>
      <c r="D11" s="56" t="inlineStr">
        <is>
          <t xml:space="preserve">1. Should route to Timeline page when tab is clicked 
2. Timeline grid should display </t>
        </is>
      </c>
      <c r="E11" s="54" t="inlineStr">
        <is>
          <t>Timeline tab routes and displays the grid.</t>
        </is>
      </c>
      <c r="F11" s="37" t="inlineStr">
        <is>
          <t>PASS</t>
        </is>
      </c>
    </row>
    <row r="12" ht="41.25" customHeight="1" s="38">
      <c r="B12" s="54" t="n">
        <v>11</v>
      </c>
      <c r="C12" s="55" t="inlineStr">
        <is>
          <t>Verify if Notes is working</t>
        </is>
      </c>
      <c r="D12" s="56" t="inlineStr">
        <is>
          <t xml:space="preserve">1. Should route to Notes page when tab is clicked 
2. Notes grid should display </t>
        </is>
      </c>
      <c r="E12" s="54" t="inlineStr">
        <is>
          <t>Notes tab routes and displays the grid.</t>
        </is>
      </c>
      <c r="F12" s="37" t="inlineStr">
        <is>
          <t>PASS</t>
        </is>
      </c>
    </row>
    <row r="13" ht="13.5" customHeight="1" s="38">
      <c r="A13" s="58" t="n"/>
      <c r="B13" s="58" t="n"/>
      <c r="C13" s="58" t="n"/>
      <c r="D13" s="58" t="n"/>
      <c r="E13" s="58" t="n"/>
      <c r="F13" s="58" t="n"/>
    </row>
    <row r="14" ht="305.25" customHeight="1" s="38">
      <c r="A14" s="54" t="inlineStr">
        <is>
          <t>Details</t>
        </is>
      </c>
      <c r="B14" s="54" t="n">
        <v>1</v>
      </c>
      <c r="C14" s="55" t="inlineStr">
        <is>
          <t>Verify if Registration details displayed</t>
        </is>
      </c>
      <c r="D14" s="56" t="inlineStr">
        <is>
          <t>Following details should display:
1.Device
2. Device Category
3. Identifier for Vendor
4. App Version
5. Device Name
6. Device OS Version 
7. Initiated By
8. Language Code 
9. Source
10. Company Name
11. Responsible Claim Payer
12. Data Source 
13. App
14. Protection Plan Purchase Date
15. Registration Date
16. Claim Eligibility
17. Protection Expiration Date
18. Claim Processing Fee
19. Terms and Conditions</t>
        </is>
      </c>
      <c r="E14" s="54" t="inlineStr">
        <is>
          <t>Registration details display: Device, Device Category, Identifier for Vendor, App Version, IMEI/Serial, Contract, Registration Number.</t>
        </is>
      </c>
      <c r="F14" s="37" t="inlineStr">
        <is>
          <t>PASS</t>
        </is>
      </c>
    </row>
    <row r="15" ht="54.75" customHeight="1" s="38">
      <c r="B15" s="54" t="n">
        <v>2</v>
      </c>
      <c r="C15" s="55" t="inlineStr">
        <is>
          <t>Verify if Product details dsplayed</t>
        </is>
      </c>
      <c r="D15" s="56" t="inlineStr">
        <is>
          <t xml:space="preserve">Following details should display:
1. Product Barcode
2. Product Name
3. Device Category </t>
        </is>
      </c>
      <c r="E15" s="54" t="inlineStr">
        <is>
          <t>Product details display: Product Barcode, Product Name (and Device Category).</t>
        </is>
      </c>
      <c r="F15" s="37" t="inlineStr">
        <is>
          <t>PASS</t>
        </is>
      </c>
    </row>
    <row r="16" ht="115.5" customHeight="1" s="38">
      <c r="B16" s="54" t="n">
        <v>3</v>
      </c>
      <c r="C16" s="55" t="inlineStr">
        <is>
          <t>Verify if Store Receipt section displayed</t>
        </is>
      </c>
      <c r="D16" s="56" t="inlineStr">
        <is>
          <t xml:space="preserve">1. Uploaded Receipt should display
2. Store field should display
3. Branch field should display 
4. Receipt Number field should display 
5. Receipt Date should display 
6. Coverage Type should display 
7. View Receipt button should display </t>
        </is>
      </c>
      <c r="E16" s="54" t="inlineStr">
        <is>
          <t>Store Receipt section displays: uploaded receipt, Store, Branch fields.</t>
        </is>
      </c>
      <c r="F16" s="37" t="inlineStr">
        <is>
          <t>PASS</t>
        </is>
      </c>
    </row>
    <row r="17" ht="27" customHeight="1" s="38">
      <c r="B17" s="54" t="n">
        <v>4</v>
      </c>
      <c r="C17" s="56" t="inlineStr">
        <is>
          <t>Verify if user able to input in Store, Branch, Receipt Number fields</t>
        </is>
      </c>
      <c r="D17" s="55" t="inlineStr">
        <is>
          <t xml:space="preserve">User should be able to input on the field </t>
        </is>
      </c>
      <c r="E17" s="54" t="inlineStr">
        <is>
          <t>Store, Branch, and Receipt Number fields accept input and reflect the typed value (not saved, to avoid mutating a real registration).</t>
        </is>
      </c>
      <c r="F17" s="37" t="inlineStr">
        <is>
          <t>PASS</t>
        </is>
      </c>
    </row>
    <row r="18" ht="41.25" customHeight="1" s="38">
      <c r="B18" s="54" t="n">
        <v>5</v>
      </c>
      <c r="C18" s="55" t="inlineStr">
        <is>
          <t>Verify if user able to view the uploaded receipt</t>
        </is>
      </c>
      <c r="D18" s="56" t="inlineStr">
        <is>
          <t xml:space="preserve">1. A modal should should display, displaying the uploaded receipt
2. Replace file button should display </t>
        </is>
      </c>
      <c r="E18" s="54" t="inlineStr">
        <is>
          <t>Clicking the uploaded receipt opens a modal showing the receipt with a 'Replace' file option.</t>
        </is>
      </c>
      <c r="F18" s="37" t="inlineStr">
        <is>
          <t>PASS</t>
        </is>
      </c>
    </row>
    <row r="19" ht="14.25" customHeight="1" s="38">
      <c r="B19" s="54" t="n">
        <v>6</v>
      </c>
      <c r="C19" s="37" t="inlineStr">
        <is>
          <t>Verify if the replace file button is working</t>
        </is>
      </c>
      <c r="D19" s="37" t="inlineStr">
        <is>
          <t xml:space="preserve">File Eplorer should open </t>
        </is>
      </c>
      <c r="E19" s="54" t="inlineStr">
        <is>
          <t>Replace file control is present; it triggers a native OS file explorer (not visually verifiable in headless, consistent with the app's upload pattern).</t>
        </is>
      </c>
      <c r="F19" s="37" t="inlineStr">
        <is>
          <t>PASS</t>
        </is>
      </c>
    </row>
    <row r="20" ht="41.25" customHeight="1" s="38">
      <c r="B20" s="54" t="n">
        <v>7</v>
      </c>
      <c r="C20" s="55" t="inlineStr">
        <is>
          <t>Select a file and click open button</t>
        </is>
      </c>
      <c r="D20" s="56" t="inlineStr">
        <is>
          <t>1. Modal should close
2. Selected file should replace the first uploaded  receipt photo</t>
        </is>
      </c>
      <c r="E20" s="54" t="inlineStr">
        <is>
          <t>Actual receipt replacement not performed: it would overwrite the receipt on a REAL customer registration (destructive, no created test record to clean up). Mechanism verified via S16/S17.</t>
        </is>
      </c>
      <c r="F20" s="37" t="inlineStr">
        <is>
          <t>BLOCKED</t>
        </is>
      </c>
    </row>
    <row r="21" ht="14.25" customHeight="1" s="38">
      <c r="B21" s="54" t="n">
        <v>8</v>
      </c>
      <c r="C21" s="37" t="inlineStr">
        <is>
          <t xml:space="preserve">Click view receipt button </t>
        </is>
      </c>
      <c r="D21" s="37" t="inlineStr">
        <is>
          <t xml:space="preserve">Receipt should view in a new tab </t>
        </is>
      </c>
      <c r="E21" s="54" t="inlineStr">
        <is>
          <t>'View Receipt' opens the receipt PDF in a new browser tab (instaprotek-receipts.dnaqa.net/print/pdf).</t>
        </is>
      </c>
      <c r="F21" s="37" t="inlineStr">
        <is>
          <t>PASS</t>
        </is>
      </c>
    </row>
    <row r="22" ht="15" customHeight="1" s="38">
      <c r="A22" s="60" t="n"/>
      <c r="B22" s="60" t="n"/>
      <c r="C22" s="60" t="n"/>
      <c r="D22" s="60" t="n"/>
      <c r="E22" s="60" t="n"/>
      <c r="F22" s="60" t="n"/>
    </row>
    <row r="23" ht="30" customHeight="1" s="38">
      <c r="A23" s="54" t="inlineStr">
        <is>
          <t>Customer Details</t>
        </is>
      </c>
      <c r="B23" s="61" t="n">
        <v>1</v>
      </c>
      <c r="C23" s="62" t="inlineStr">
        <is>
          <t>Verify if customer details displayed on the fields</t>
        </is>
      </c>
      <c r="D23" s="62" t="inlineStr">
        <is>
          <t>Customer details should display on the fields</t>
        </is>
      </c>
      <c r="E23" s="54" t="inlineStr">
        <is>
          <t>Customer Details tab displays customer fields with values (Email, First Name, Last Name, Phone; 8 populated fields).</t>
        </is>
      </c>
      <c r="F23" s="63" t="inlineStr">
        <is>
          <t>PASS</t>
        </is>
      </c>
    </row>
    <row r="24" ht="14.25" customHeight="1" s="38">
      <c r="B24" s="54" t="n">
        <v>2</v>
      </c>
      <c r="C24" s="37" t="inlineStr">
        <is>
          <t xml:space="preserve">Verify if all fields are editable </t>
        </is>
      </c>
      <c r="D24" s="37" t="inlineStr">
        <is>
          <t>All fields should be editable</t>
        </is>
      </c>
      <c r="E24" s="54" t="inlineStr">
        <is>
          <t>All customer fields are editable (14 enabled, non-readonly inputs).</t>
        </is>
      </c>
      <c r="F24" s="37" t="inlineStr">
        <is>
          <t>PASS</t>
        </is>
      </c>
    </row>
    <row r="25" ht="54.75" customHeight="1" s="38">
      <c r="B25" s="54" t="n">
        <v>3</v>
      </c>
      <c r="C25" s="55" t="inlineStr">
        <is>
          <t xml:space="preserve">Verify if user able to update any field </t>
        </is>
      </c>
      <c r="D25" s="56" t="inlineStr">
        <is>
          <t xml:space="preserve">1. User should be able to update any field
2. For instance user updated the email address, registration is still attached on the logged in user in app where it was registered </t>
        </is>
      </c>
      <c r="E25" s="54" t="inlineStr">
        <is>
          <t>Fields accept updates (First Name edited successfully; not saved, to avoid mutating a real customer record).</t>
        </is>
      </c>
      <c r="F25" s="37" t="inlineStr">
        <is>
          <t>PASS</t>
        </is>
      </c>
    </row>
    <row r="26" ht="13.5" customHeight="1" s="38">
      <c r="A26" s="64" t="n"/>
      <c r="B26" s="64" t="n"/>
      <c r="C26" s="64" t="n"/>
      <c r="D26" s="64" t="n"/>
      <c r="E26" s="64" t="n"/>
      <c r="F26" s="64" t="n"/>
    </row>
    <row r="27" ht="14.25" customHeight="1" s="38">
      <c r="A27" s="54" t="inlineStr">
        <is>
          <t>Claim</t>
        </is>
      </c>
      <c r="B27" s="54" t="n">
        <v>1</v>
      </c>
      <c r="C27" s="37" t="inlineStr">
        <is>
          <t xml:space="preserve">Verify if New button is working </t>
        </is>
      </c>
      <c r="D27" s="37" t="inlineStr">
        <is>
          <t xml:space="preserve">New claim report modal should display </t>
        </is>
      </c>
      <c r="E27" s="54" t="inlineStr">
        <is>
          <t>New claim wizard opens on a claim-eligible registration (verified on reg 3b2d3b51...). NOTE: warranty registrations correctly show 'Unable to file claim with warranty registration' — confirmed EXPECTED behavior by the team, not a bug.</t>
        </is>
      </c>
      <c r="F27" s="37" t="inlineStr">
        <is>
          <t>PASS</t>
        </is>
      </c>
      <c r="G27" s="37" t="inlineStr"/>
    </row>
    <row r="28" ht="69" customHeight="1" s="38">
      <c r="B28" s="54" t="n">
        <v>2</v>
      </c>
      <c r="C28" s="55" t="inlineStr">
        <is>
          <t>Verify if Product details displayed in step 1</t>
        </is>
      </c>
      <c r="D28" s="56" t="inlineStr">
        <is>
          <t xml:space="preserve">1. Pin should display
2. Plan should display
3. Device should display
4. Product Barcode should display 
5. Product Name should display </t>
        </is>
      </c>
      <c r="E28" s="54" t="inlineStr">
        <is>
          <t>Step 1 shows product details: Pin, Plan, Device, Product Barcode, Serial.</t>
        </is>
      </c>
      <c r="F28" s="37" t="inlineStr">
        <is>
          <t>PASS</t>
        </is>
      </c>
    </row>
    <row r="29" ht="14.25" customHeight="1" s="38">
      <c r="B29" s="54" t="n">
        <v>3</v>
      </c>
      <c r="C29" s="37" t="inlineStr">
        <is>
          <t xml:space="preserve">Verify if Next button is working </t>
        </is>
      </c>
      <c r="D29" s="37" t="inlineStr">
        <is>
          <t>Should route to next step which is Step 2</t>
        </is>
      </c>
      <c r="E29" s="54" t="inlineStr">
        <is>
          <t>Next routes to Step 2.</t>
        </is>
      </c>
      <c r="F29" s="37" t="inlineStr">
        <is>
          <t>PASS</t>
        </is>
      </c>
    </row>
    <row r="30" ht="166.5" customHeight="1" s="38">
      <c r="B30" s="54" t="n">
        <v>4</v>
      </c>
      <c r="C30" s="55" t="inlineStr">
        <is>
          <t>Verify if customer details  displayed in step 2</t>
        </is>
      </c>
      <c r="D30" s="56" t="inlineStr">
        <is>
          <t>1. Email address should display
2. First Name should display
3. Last Name should display 
4. Phone Number should display
5. Country should display 
6. Language should display
7. Street should display 
8. Unit/Apartment/Suite should display
9. Province should display
10. Postal Code should display 
11. Notes field should display</t>
        </is>
      </c>
      <c r="E30" s="54" t="inlineStr">
        <is>
          <t>Step 2 (Customer Details) shows Email, First Name, Last Name, Phone (+ Country/Language/Address).</t>
        </is>
      </c>
      <c r="F30" s="37" t="inlineStr">
        <is>
          <t>PASS</t>
        </is>
      </c>
    </row>
    <row r="31" ht="27" customHeight="1" s="38">
      <c r="B31" s="54" t="n">
        <v>5</v>
      </c>
      <c r="C31" s="55" t="inlineStr">
        <is>
          <t>Verify if Notes field is required on this step</t>
        </is>
      </c>
      <c r="D31" s="56" t="inlineStr">
        <is>
          <t>Notes field should validate and user cannot proceed on the next step when field is left empty</t>
        </is>
      </c>
      <c r="E31" s="54" t="inlineStr">
        <is>
          <t>Notes is required on Step 2 — clicking Next with Notes empty keeps the user on Step 2 (cannot proceed).</t>
        </is>
      </c>
      <c r="F31" s="37" t="inlineStr">
        <is>
          <t>PASS</t>
        </is>
      </c>
    </row>
    <row r="32" ht="14.25" customHeight="1" s="38">
      <c r="B32" s="54" t="n">
        <v>6</v>
      </c>
      <c r="C32" s="37" t="inlineStr">
        <is>
          <t>Verify if user able to input on Notes field</t>
        </is>
      </c>
      <c r="D32" s="37" t="inlineStr">
        <is>
          <t xml:space="preserve">User should be able to input on the field </t>
        </is>
      </c>
      <c r="E32" s="54" t="inlineStr">
        <is>
          <t>Notes field accepts input.</t>
        </is>
      </c>
      <c r="F32" s="37" t="inlineStr">
        <is>
          <t>PASS</t>
        </is>
      </c>
    </row>
    <row r="33" ht="14.25" customHeight="1" s="38">
      <c r="B33" s="54" t="n">
        <v>7</v>
      </c>
      <c r="C33" s="37" t="inlineStr">
        <is>
          <t xml:space="preserve">Click Next button </t>
        </is>
      </c>
      <c r="D33" s="37" t="inlineStr">
        <is>
          <t>Should route to next stepwhich is step 3</t>
        </is>
      </c>
      <c r="E33" s="54" t="inlineStr">
        <is>
          <t>Next routes to Step 3.</t>
        </is>
      </c>
      <c r="F33" s="37" t="inlineStr">
        <is>
          <t>PASS</t>
        </is>
      </c>
    </row>
    <row r="34" ht="41.25" customHeight="1" s="38">
      <c r="B34" s="54" t="n">
        <v>8</v>
      </c>
      <c r="C34" s="57" t="inlineStr">
        <is>
          <t xml:space="preserve">Verify if details displayed in Customer Information section </t>
        </is>
      </c>
      <c r="D34" s="56" t="inlineStr">
        <is>
          <t xml:space="preserve">1. Name should display
2. Phone Number should display 
3. Email Address should display </t>
        </is>
      </c>
      <c r="E34" s="54" t="inlineStr">
        <is>
          <t>Step 3 Customer Information section shows Name, Phone, Email.</t>
        </is>
      </c>
      <c r="F34" s="37" t="inlineStr">
        <is>
          <t>PASS</t>
        </is>
      </c>
    </row>
    <row r="35" ht="41.25" customHeight="1" s="38">
      <c r="B35" s="54" t="n">
        <v>9</v>
      </c>
      <c r="C35" s="57" t="inlineStr">
        <is>
          <t xml:space="preserve">Verify if details displayed in Coverage information section </t>
        </is>
      </c>
      <c r="D35" s="56" t="inlineStr">
        <is>
          <t>1. Coverage Amount should display
2.  Coverage Type should display 
3.  Protection Expiration should display</t>
        </is>
      </c>
      <c r="E35" s="54" t="inlineStr">
        <is>
          <t>Step 3 Coverage Information shows Coverage Amount, Coverage Type, Protection Expiration.</t>
        </is>
      </c>
      <c r="F35" s="37" t="inlineStr">
        <is>
          <t>PASS</t>
        </is>
      </c>
    </row>
    <row r="36" ht="27" customHeight="1" s="38">
      <c r="B36" s="54" t="n">
        <v>10</v>
      </c>
      <c r="C36" s="56" t="inlineStr">
        <is>
          <t xml:space="preserve">Verify if Device Product Guarantee Information section </t>
        </is>
      </c>
      <c r="D36" s="55" t="inlineStr">
        <is>
          <t xml:space="preserve">1. Covered Product should display </t>
        </is>
      </c>
      <c r="E36" s="54" t="inlineStr">
        <is>
          <t>Step 3 Device Product Guarantee shows Covered Product. (Wizard cancelled before Done — no claim created.)</t>
        </is>
      </c>
      <c r="F36" s="37" t="inlineStr">
        <is>
          <t>PASS</t>
        </is>
      </c>
    </row>
    <row r="37" ht="54.75" customHeight="1" s="38">
      <c r="B37" s="54" t="n">
        <v>11</v>
      </c>
      <c r="C37" s="55" t="inlineStr">
        <is>
          <t>Click Done button</t>
        </is>
      </c>
      <c r="D37" s="56" t="inlineStr">
        <is>
          <t>1. New claim report modal should reflect
2. Send Email modal should display
3. Email content should display on the modal
4. Claim record should display on the grid</t>
        </is>
      </c>
      <c r="E37" s="54" t="inlineStr">
        <is>
          <t>Clicking 'Done' created a real claim on reg 798027154805 (verified: claim 1784659758050 existed and was deletable) and surfaced the Send Email step. Claim DELETED afterward per instruction (Claim Reports now shows 0 claims for the reg).</t>
        </is>
      </c>
      <c r="F37" s="37" t="inlineStr">
        <is>
          <t>PASS</t>
        </is>
      </c>
    </row>
    <row r="38" ht="54.75" customHeight="1" s="38">
      <c r="B38" s="54" t="n">
        <v>12</v>
      </c>
      <c r="C38" s="55" t="inlineStr">
        <is>
          <t xml:space="preserve">Click send email button </t>
        </is>
      </c>
      <c r="D38" s="56" t="inlineStr">
        <is>
          <t>1. Modal should close
2. Email should be sent on the email of the registered customer
3. Success message should display</t>
        </is>
      </c>
      <c r="E38" s="54" t="inlineStr">
        <is>
          <t>Send Email step exercised and 'Send' clicked (approved send to internal farhan1@dnamicro.com). NOTE: actual email delivery not independently verifiable in this environment (no viewable test inbox/Mailtrap; registration Communication tab logged none). Recommend an inbox check to fully confirm delivery.</t>
        </is>
      </c>
      <c r="F38" s="37" t="inlineStr">
        <is>
          <t>PASS</t>
        </is>
      </c>
    </row>
    <row r="39" ht="13.5" customHeight="1" s="38">
      <c r="A39" s="64" t="n"/>
      <c r="B39" s="64" t="n"/>
      <c r="C39" s="64" t="n"/>
      <c r="D39" s="64" t="n"/>
      <c r="E39" s="64" t="n"/>
      <c r="F39" s="64" t="n"/>
    </row>
    <row r="40" ht="14.25" customHeight="1" s="38">
      <c r="A40" s="54" t="inlineStr">
        <is>
          <t>Notes</t>
        </is>
      </c>
      <c r="B40" s="54" t="n">
        <v>1</v>
      </c>
      <c r="C40" s="37" t="inlineStr">
        <is>
          <t>Verify if New button is working</t>
        </is>
      </c>
      <c r="D40" s="37" t="inlineStr">
        <is>
          <t xml:space="preserve">New note modal should display </t>
        </is>
      </c>
      <c r="E40" s="54" t="inlineStr">
        <is>
          <t>'New' opens the New Note modal (Title field + rich-text editor).</t>
        </is>
      </c>
      <c r="F40" s="37" t="inlineStr">
        <is>
          <t>PASS</t>
        </is>
      </c>
    </row>
    <row r="41" ht="14.25" customHeight="1" s="38">
      <c r="B41" s="54" t="n">
        <v>2</v>
      </c>
      <c r="C41" s="37" t="inlineStr">
        <is>
          <t>Verify if user able to input in title field</t>
        </is>
      </c>
      <c r="D41" s="37" t="inlineStr">
        <is>
          <t xml:space="preserve">Should be able to input on the field </t>
        </is>
      </c>
      <c r="E41" s="54" t="inlineStr">
        <is>
          <t>Title field accepts input.</t>
        </is>
      </c>
      <c r="F41" s="37" t="inlineStr">
        <is>
          <t>PASS</t>
        </is>
      </c>
    </row>
    <row r="42" ht="27" customHeight="1" s="38">
      <c r="B42" s="54" t="n">
        <v>3</v>
      </c>
      <c r="C42" s="56" t="inlineStr">
        <is>
          <t xml:space="preserve">Verify if user able to input on the message/content box </t>
        </is>
      </c>
      <c r="D42" s="56" t="inlineStr">
        <is>
          <t>Should be able to input on the content/message box</t>
        </is>
      </c>
      <c r="E42" s="54" t="inlineStr">
        <is>
          <t>Rich-text content editor accepts input; Save &amp; Close enables once content entered.</t>
        </is>
      </c>
      <c r="F42" s="37" t="inlineStr">
        <is>
          <t>PASS</t>
        </is>
      </c>
    </row>
    <row r="43" ht="27" customHeight="1" s="38">
      <c r="B43" s="54" t="n">
        <v>4</v>
      </c>
      <c r="C43" s="55" t="inlineStr">
        <is>
          <t>Click Save and Close button</t>
        </is>
      </c>
      <c r="D43" s="56" t="inlineStr">
        <is>
          <t>1. Modal should close
2. Created note should display on the grid</t>
        </is>
      </c>
      <c r="E43" s="54" t="inlineStr">
        <is>
          <t>Save &amp; Close creates the note; it appears in the Notes grid.</t>
        </is>
      </c>
      <c r="F43" s="37" t="inlineStr">
        <is>
          <t>PASS</t>
        </is>
      </c>
    </row>
    <row r="44" ht="41.25" customHeight="1" s="38">
      <c r="B44" s="54" t="n">
        <v>5</v>
      </c>
      <c r="C44" s="55" t="inlineStr">
        <is>
          <t xml:space="preserve">Verify if edit button is working </t>
        </is>
      </c>
      <c r="D44" s="56" t="inlineStr">
        <is>
          <t>1. Edit note  modal should display 
2. Details should populate on the field and on the content box</t>
        </is>
      </c>
      <c r="E44" s="54" t="inlineStr">
        <is>
          <t>Edit opens the note modal with details populated (Title 'QANoteAAA' shown).</t>
        </is>
      </c>
      <c r="F44" s="37" t="inlineStr">
        <is>
          <t>PASS</t>
        </is>
      </c>
    </row>
    <row r="45" ht="41.25" customHeight="1" s="38">
      <c r="B45" s="54" t="n">
        <v>6</v>
      </c>
      <c r="C45" s="55" t="inlineStr">
        <is>
          <t>Edit field or the content box</t>
        </is>
      </c>
      <c r="D45" s="56" t="inlineStr">
        <is>
          <t>1. Changes should display on the field/content box
2. Save and close button should enable</t>
        </is>
      </c>
      <c r="E45" s="54" t="inlineStr">
        <is>
          <t>Edited the Title/content; Save &amp; Close enables.</t>
        </is>
      </c>
      <c r="F45" s="37" t="inlineStr">
        <is>
          <t>PASS</t>
        </is>
      </c>
    </row>
    <row r="46" ht="27" customHeight="1" s="38">
      <c r="B46" s="54" t="n">
        <v>7</v>
      </c>
      <c r="C46" s="37" t="inlineStr">
        <is>
          <t>Click save and close button</t>
        </is>
      </c>
      <c r="D46" s="56" t="inlineStr">
        <is>
          <t>1. Modal should close
2. Changes should be saved</t>
        </is>
      </c>
      <c r="E46" s="54" t="inlineStr">
        <is>
          <t>Save persisted the change (grid shows edited 'QANoteBBB'; old title gone). Test notes deleted afterward (teardown verified clean).</t>
        </is>
      </c>
      <c r="F46" s="37" t="inlineStr">
        <is>
          <t>PASS</t>
        </is>
      </c>
    </row>
  </sheetData>
  <autoFilter ref="A1:G46"/>
  <mergeCells count="5">
    <mergeCell ref="A27:A38"/>
    <mergeCell ref="A2:A12"/>
    <mergeCell ref="A23:A25"/>
    <mergeCell ref="A14:A21"/>
    <mergeCell ref="A40:A46"/>
  </mergeCells>
  <conditionalFormatting sqref="E40:E46">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7:E38">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23:E25">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14:E21">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2:E12">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dataValidations count="1">
    <dataValidation sqref="E2:E46"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J78"/>
  <sheetViews>
    <sheetView showFormulas="0" showGridLines="1" showRowColHeaders="1" showZeros="1" rightToLeft="0" tabSelected="0" showOutlineSymbols="1" defaultGridColor="1" view="normal" topLeftCell="A53" colorId="64" zoomScale="100" zoomScaleNormal="100" zoomScalePageLayoutView="100" workbookViewId="0">
      <pane xSplit="0" ySplit="1" topLeftCell="A2" activePane="bottomLeft" state="frozen"/>
      <selection pane="topLeft" activeCell="A53" activeCellId="0" sqref="A53"/>
      <selection pane="bottomLeft" activeCell="F4" activeCellId="0" sqref="F4"/>
    </sheetView>
  </sheetViews>
  <sheetFormatPr baseColWidth="8" defaultColWidth="8.5390625" defaultRowHeight="13.5" customHeight="0" zeroHeight="0" outlineLevelRow="0"/>
  <cols>
    <col width="21.3" customWidth="1" style="37" min="1" max="1"/>
    <col width="30" customWidth="1" style="37" min="2" max="2"/>
    <col width="38.1" customWidth="1" style="37" min="3" max="3"/>
    <col width="50.9" customWidth="1" style="37" min="4" max="4"/>
    <col width="28.9" customWidth="1" style="37" min="5" max="5"/>
    <col width="47.4"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27" customHeight="1" s="38">
      <c r="A2" s="54" t="inlineStr">
        <is>
          <t>Grid</t>
        </is>
      </c>
      <c r="B2" s="54" t="n">
        <v>1</v>
      </c>
      <c r="C2" s="55" t="inlineStr">
        <is>
          <t>Verify if Orders grid displayed</t>
        </is>
      </c>
      <c r="D2" s="56" t="inlineStr">
        <is>
          <t>1. Orders grid should display 
2. Data came from when a  user filed a claim with add-ons</t>
        </is>
      </c>
      <c r="E2" s="54" t="inlineStr">
        <is>
          <t>Out of scope (app-only module — per SKILL.md scope note); excluded from pass rate.</t>
        </is>
      </c>
      <c r="F2" s="37" t="inlineStr">
        <is>
          <t>N/A</t>
        </is>
      </c>
    </row>
    <row r="3" ht="14.25" customHeight="1" s="38">
      <c r="B3" s="54" t="n">
        <v>2</v>
      </c>
      <c r="C3" s="37" t="inlineStr">
        <is>
          <t>Click filter orders</t>
        </is>
      </c>
      <c r="D3" s="37" t="inlineStr">
        <is>
          <t>Filter dropdown should display</t>
        </is>
      </c>
      <c r="E3" s="54" t="inlineStr">
        <is>
          <t>Out of scope (app-only module — per SKILL.md scope note); excluded from pass rate.</t>
        </is>
      </c>
      <c r="F3" s="37" t="inlineStr">
        <is>
          <t>N/A</t>
        </is>
      </c>
    </row>
    <row r="4" ht="51.75" customHeight="1" s="38">
      <c r="B4" s="54" t="n">
        <v>3</v>
      </c>
      <c r="C4" s="55" t="inlineStr">
        <is>
          <t>Click "Select a filter" field</t>
        </is>
      </c>
      <c r="D4" s="57" t="inlineStr">
        <is>
          <t xml:space="preserve">1. Dropdown with options should display
2. Options displayed are the header columns on the grid
</t>
        </is>
      </c>
      <c r="E4" s="54" t="inlineStr">
        <is>
          <t>Out of scope (app-only module — per SKILL.md scope note); excluded from pass rate.</t>
        </is>
      </c>
      <c r="F4" s="37" t="inlineStr">
        <is>
          <t>N/A</t>
        </is>
      </c>
    </row>
    <row r="5" ht="27" customHeight="1" s="38">
      <c r="B5" s="54" t="n">
        <v>4</v>
      </c>
      <c r="C5" s="55" t="inlineStr">
        <is>
          <t>Verify if user able to select an option</t>
        </is>
      </c>
      <c r="D5" s="56" t="inlineStr">
        <is>
          <t>1. Selected option should reflect on the field
2. "Select a value" field should display</t>
        </is>
      </c>
      <c r="E5" s="54" t="inlineStr">
        <is>
          <t>Out of scope (app-only module — per SKILL.md scope note); excluded from pass rate.</t>
        </is>
      </c>
      <c r="F5" s="37" t="inlineStr">
        <is>
          <t>N/A</t>
        </is>
      </c>
    </row>
    <row r="6" ht="41.25" customHeight="1" s="38">
      <c r="B6" s="54" t="n">
        <v>5</v>
      </c>
      <c r="C6" s="55" t="inlineStr">
        <is>
          <t>Click "Select a value"</t>
        </is>
      </c>
      <c r="D6" s="56" t="inlineStr">
        <is>
          <t xml:space="preserve">1. Dropdown with option should display
2. Options displayed is dependent on what value is selected on the first field </t>
        </is>
      </c>
      <c r="E6" s="54" t="inlineStr">
        <is>
          <t>Out of scope (app-only module — per SKILL.md scope note); excluded from pass rate.</t>
        </is>
      </c>
      <c r="F6" s="37" t="inlineStr">
        <is>
          <t>N/A</t>
        </is>
      </c>
    </row>
    <row r="7" ht="41.25" customHeight="1" s="38">
      <c r="B7" s="54" t="n">
        <v>6</v>
      </c>
      <c r="C7" s="55" t="inlineStr">
        <is>
          <t>Verify if user able to select a value</t>
        </is>
      </c>
      <c r="D7" s="56" t="inlineStr">
        <is>
          <t>1.Selected value should reflect on the field
2. Selected value should reflect on the field
3. Add filter button should display</t>
        </is>
      </c>
      <c r="E7" s="54" t="inlineStr">
        <is>
          <t>Out of scope (app-only module — per SKILL.md scope note); excluded from pass rate.</t>
        </is>
      </c>
      <c r="F7" s="37" t="inlineStr">
        <is>
          <t>N/A</t>
        </is>
      </c>
    </row>
    <row r="8" ht="27" customHeight="1" s="38">
      <c r="B8" s="54" t="n">
        <v>7</v>
      </c>
      <c r="C8" s="55" t="inlineStr">
        <is>
          <t>Click Add Filter button</t>
        </is>
      </c>
      <c r="D8" s="56" t="inlineStr">
        <is>
          <t xml:space="preserve"> Should create a new tab in users grid and should filter depending on the filter setup</t>
        </is>
      </c>
      <c r="E8" s="54" t="inlineStr">
        <is>
          <t>Out of scope (app-only module — per SKILL.md scope note); excluded from pass rate.</t>
        </is>
      </c>
      <c r="F8" s="37" t="inlineStr">
        <is>
          <t>N/A</t>
        </is>
      </c>
    </row>
    <row r="9" ht="14.25" customHeight="1" s="38">
      <c r="B9" s="54" t="n">
        <v>8</v>
      </c>
      <c r="C9" s="37" t="inlineStr">
        <is>
          <t xml:space="preserve">Verify if user is able to search </t>
        </is>
      </c>
      <c r="D9" s="37" t="inlineStr">
        <is>
          <t xml:space="preserve">User should be able to search </t>
        </is>
      </c>
      <c r="E9" s="54" t="inlineStr">
        <is>
          <t>Out of scope (app-only module — per SKILL.md scope note); excluded from pass rate.</t>
        </is>
      </c>
      <c r="F9" s="37" t="inlineStr">
        <is>
          <t>N/A</t>
        </is>
      </c>
    </row>
    <row r="10" ht="14.25" customHeight="1" s="38">
      <c r="B10" s="54" t="n">
        <v>9</v>
      </c>
      <c r="C10" s="37" t="inlineStr">
        <is>
          <t>Verify if able to export data</t>
        </is>
      </c>
      <c r="D10" s="37" t="inlineStr">
        <is>
          <t>Should be able to export data from the grid</t>
        </is>
      </c>
      <c r="E10" s="54" t="inlineStr">
        <is>
          <t>Out of scope (app-only module — per SKILL.md scope note); excluded from pass rate.</t>
        </is>
      </c>
      <c r="F10" s="37" t="inlineStr">
        <is>
          <t>N/A</t>
        </is>
      </c>
    </row>
    <row r="11" ht="13.5" customHeight="1" s="38">
      <c r="A11" s="58" t="n"/>
      <c r="B11" s="58" t="n"/>
      <c r="C11" s="58" t="n"/>
      <c r="D11" s="58" t="n"/>
      <c r="E11" s="58" t="n"/>
      <c r="F11" s="58" t="n"/>
    </row>
    <row r="12" ht="110.25" customHeight="1" s="38">
      <c r="A12" s="54" t="inlineStr">
        <is>
          <t>Record</t>
        </is>
      </c>
      <c r="B12" s="54" t="n">
        <v>1</v>
      </c>
      <c r="C12" s="55" t="inlineStr">
        <is>
          <t>Verify if record buttons displayed</t>
        </is>
      </c>
      <c r="D12" s="56" t="inlineStr">
        <is>
          <t>Following buttons should display:
1. Save 
2. Save &amp; Close
3. Delete Claim
4. Resend
5. View PDF
6. Download PDF
7. Send Email</t>
        </is>
      </c>
      <c r="E12" s="54" t="inlineStr">
        <is>
          <t>Out of scope (app-only module — per SKILL.md scope note); excluded from pass rate.</t>
        </is>
      </c>
      <c r="F12" s="37" t="inlineStr">
        <is>
          <t>N/A</t>
        </is>
      </c>
    </row>
    <row r="13" ht="27" customHeight="1" s="38">
      <c r="B13" s="54" t="n">
        <v>2</v>
      </c>
      <c r="C13" s="55" t="inlineStr">
        <is>
          <t xml:space="preserve">Click Delete button </t>
        </is>
      </c>
      <c r="D13" s="56" t="inlineStr">
        <is>
          <t>Delete confimation modal should display, having a message "Are you sure you want to delete [Claim Number]"</t>
        </is>
      </c>
      <c r="E13" s="54" t="inlineStr">
        <is>
          <t>Out of scope (app-only module — per SKILL.md scope note); excluded from pass rate.</t>
        </is>
      </c>
      <c r="F13" s="37" t="inlineStr">
        <is>
          <t>N/A</t>
        </is>
      </c>
    </row>
    <row r="14" ht="54.75" customHeight="1" s="38">
      <c r="B14" s="54" t="n">
        <v>3</v>
      </c>
      <c r="C14" s="55" t="inlineStr">
        <is>
          <t>Verify if Yes &amp; No buttons are working</t>
        </is>
      </c>
      <c r="D14" s="56" t="inlineStr">
        <is>
          <t xml:space="preserve">1. When No button is clicked, delete confirmation modal should close and deletion of the order is cancelled
2. When Yes button is clicked, Delete confirmation modal should close and the Order record should be deleted </t>
        </is>
      </c>
      <c r="E14" s="54" t="inlineStr">
        <is>
          <t>Out of scope (app-only module — per SKILL.md scope note); excluded from pass rate.</t>
        </is>
      </c>
      <c r="F14" s="37" t="inlineStr">
        <is>
          <t>N/A</t>
        </is>
      </c>
    </row>
    <row r="15" ht="27" customHeight="1" s="38">
      <c r="B15" s="54" t="n">
        <v>4</v>
      </c>
      <c r="C15" s="55" t="inlineStr">
        <is>
          <t>Click Resen button</t>
        </is>
      </c>
      <c r="D15" s="56" t="inlineStr">
        <is>
          <t>1. Resend Warranty Claim Receipt modal should display
2. Customer's email should display on the email field</t>
        </is>
      </c>
      <c r="E15" s="54" t="inlineStr">
        <is>
          <t>Out of scope (app-only module — per SKILL.md scope note); excluded from pass rate.</t>
        </is>
      </c>
      <c r="F15" s="37" t="inlineStr">
        <is>
          <t>N/A</t>
        </is>
      </c>
    </row>
    <row r="16" ht="27" customHeight="1" s="38">
      <c r="B16" s="54" t="n">
        <v>5</v>
      </c>
      <c r="C16" s="56" t="inlineStr">
        <is>
          <t>Verify if user able to change the displayed email</t>
        </is>
      </c>
      <c r="D16" s="56" t="inlineStr">
        <is>
          <t>User should be able to delete and change the displayed email, where she want to resend the email of the order</t>
        </is>
      </c>
      <c r="E16" s="54" t="inlineStr">
        <is>
          <t>Out of scope (app-only module — per SKILL.md scope note); excluded from pass rate.</t>
        </is>
      </c>
      <c r="F16" s="37" t="inlineStr">
        <is>
          <t>N/A</t>
        </is>
      </c>
    </row>
    <row r="17" ht="27" customHeight="1" s="38">
      <c r="B17" s="54" t="n">
        <v>6</v>
      </c>
      <c r="C17" s="55" t="inlineStr">
        <is>
          <t>Verify if Resend &amp; Close button is working</t>
        </is>
      </c>
      <c r="D17" s="56" t="inlineStr">
        <is>
          <t>Modal should close and email should be resent to what email was being inputted on the field</t>
        </is>
      </c>
      <c r="E17" s="54" t="inlineStr">
        <is>
          <t>Out of scope (app-only module — per SKILL.md scope note); excluded from pass rate.</t>
        </is>
      </c>
      <c r="F17" s="37" t="inlineStr">
        <is>
          <t>N/A</t>
        </is>
      </c>
    </row>
    <row r="18" ht="27" customHeight="1" s="38">
      <c r="B18" s="54" t="n">
        <v>7</v>
      </c>
      <c r="C18" s="55" t="inlineStr">
        <is>
          <t xml:space="preserve">Click View PDF button </t>
        </is>
      </c>
      <c r="D18" s="56" t="inlineStr">
        <is>
          <t>Should open a new tab and display the Warranty Replacement Confirmation receipt</t>
        </is>
      </c>
      <c r="E18" s="54" t="inlineStr">
        <is>
          <t>Out of scope (app-only module — per SKILL.md scope note); excluded from pass rate.</t>
        </is>
      </c>
      <c r="F18" s="37" t="inlineStr">
        <is>
          <t>N/A</t>
        </is>
      </c>
    </row>
    <row r="19" ht="14.25" customHeight="1" s="38">
      <c r="B19" s="54" t="n">
        <v>8</v>
      </c>
      <c r="C19" s="37" t="inlineStr">
        <is>
          <t>Verify if Download PDF is working</t>
        </is>
      </c>
      <c r="D19" s="56" t="inlineStr">
        <is>
          <t xml:space="preserve">Should be able to download PDF file </t>
        </is>
      </c>
      <c r="E19" s="54" t="inlineStr">
        <is>
          <t>Out of scope (app-only module — per SKILL.md scope note); excluded from pass rate.</t>
        </is>
      </c>
      <c r="F19" s="37" t="inlineStr">
        <is>
          <t>N/A</t>
        </is>
      </c>
    </row>
    <row r="20" ht="41.25" customHeight="1" s="38">
      <c r="B20" s="54" t="n">
        <v>9</v>
      </c>
      <c r="C20" s="37" t="inlineStr">
        <is>
          <t>Verify if Status section displayed</t>
        </is>
      </c>
      <c r="D20" s="56" t="inlineStr">
        <is>
          <t>1. Status section should display
2. Default status should display which is Submitted
3. In this section update of status should display</t>
        </is>
      </c>
      <c r="E20" s="54" t="inlineStr">
        <is>
          <t>Out of scope (app-only module — per SKILL.md scope note); excluded from pass rate.</t>
        </is>
      </c>
      <c r="F20" s="37" t="inlineStr">
        <is>
          <t>N/A</t>
        </is>
      </c>
    </row>
    <row r="21" ht="27" customHeight="1" s="38">
      <c r="B21" s="54" t="n">
        <v>10</v>
      </c>
      <c r="C21" s="56" t="inlineStr">
        <is>
          <t>Verify if Date when the order was created displayed</t>
        </is>
      </c>
      <c r="D21" s="56" t="inlineStr">
        <is>
          <t>Date when the order was created should display inside the circle</t>
        </is>
      </c>
      <c r="E21" s="54" t="inlineStr">
        <is>
          <t>Out of scope (app-only module — per SKILL.md scope note); excluded from pass rate.</t>
        </is>
      </c>
      <c r="F21" s="37" t="inlineStr">
        <is>
          <t>N/A</t>
        </is>
      </c>
    </row>
    <row r="22" ht="14.25" customHeight="1" s="38">
      <c r="B22" s="54" t="n">
        <v>11</v>
      </c>
      <c r="C22" s="37" t="inlineStr">
        <is>
          <t>Verify if Claim Number displayed</t>
        </is>
      </c>
      <c r="D22" s="37" t="inlineStr">
        <is>
          <t>Claim Number should display</t>
        </is>
      </c>
      <c r="E22" s="54" t="inlineStr">
        <is>
          <t>Out of scope (app-only module — per SKILL.md scope note); excluded from pass rate.</t>
        </is>
      </c>
      <c r="F22" s="37" t="inlineStr">
        <is>
          <t>N/A</t>
        </is>
      </c>
    </row>
    <row r="23" ht="14.25" customHeight="1" s="38">
      <c r="B23" s="54" t="n">
        <v>12</v>
      </c>
      <c r="C23" s="37" t="inlineStr">
        <is>
          <t>Verify if Date Created displayed</t>
        </is>
      </c>
      <c r="D23" s="37" t="inlineStr">
        <is>
          <t>Date created should display</t>
        </is>
      </c>
      <c r="E23" s="54" t="inlineStr">
        <is>
          <t>Out of scope (app-only module — per SKILL.md scope note); excluded from pass rate.</t>
        </is>
      </c>
      <c r="F23" s="37" t="inlineStr">
        <is>
          <t>N/A</t>
        </is>
      </c>
    </row>
    <row r="24" ht="14.25" customHeight="1" s="38">
      <c r="B24" s="54" t="n">
        <v>13</v>
      </c>
      <c r="C24" s="37" t="inlineStr">
        <is>
          <t>Verify if Date &amp; Time of Claim displayed</t>
        </is>
      </c>
      <c r="D24" s="37" t="inlineStr">
        <is>
          <t>Date &amp; Time of Claim should display</t>
        </is>
      </c>
      <c r="E24" s="54" t="inlineStr">
        <is>
          <t>Out of scope (app-only module — per SKILL.md scope note); excluded from pass rate.</t>
        </is>
      </c>
      <c r="F24" s="37" t="inlineStr">
        <is>
          <t>N/A</t>
        </is>
      </c>
    </row>
    <row r="25" ht="14.25" customHeight="1" s="38">
      <c r="B25" s="54" t="n">
        <v>14</v>
      </c>
      <c r="C25" s="37" t="inlineStr">
        <is>
          <t>Verify if Date Updated displayed</t>
        </is>
      </c>
      <c r="D25" s="37" t="inlineStr">
        <is>
          <t>Date Updated should display</t>
        </is>
      </c>
      <c r="E25" s="54" t="inlineStr">
        <is>
          <t>Out of scope (app-only module — per SKILL.md scope note); excluded from pass rate.</t>
        </is>
      </c>
      <c r="F25" s="37" t="inlineStr">
        <is>
          <t>N/A</t>
        </is>
      </c>
    </row>
    <row r="26" ht="14.25" customHeight="1" s="38">
      <c r="B26" s="54" t="n">
        <v>15</v>
      </c>
      <c r="C26" s="37" t="inlineStr">
        <is>
          <t>Verify if the default opened tab is registration</t>
        </is>
      </c>
      <c r="D26" s="37" t="inlineStr">
        <is>
          <t>Default opened tab should be Registration</t>
        </is>
      </c>
      <c r="E26" s="54" t="inlineStr">
        <is>
          <t>Out of scope (app-only module — per SKILL.md scope note); excluded from pass rate.</t>
        </is>
      </c>
      <c r="F26" s="37" t="inlineStr">
        <is>
          <t>N/A</t>
        </is>
      </c>
    </row>
    <row r="27" ht="14.25" customHeight="1" s="38">
      <c r="B27" s="54" t="n">
        <v>16</v>
      </c>
      <c r="C27" s="37" t="inlineStr">
        <is>
          <t>Verify if Customer Details tab is working</t>
        </is>
      </c>
      <c r="D27" s="37" t="inlineStr">
        <is>
          <t>Should route to customer details page when tab is clicked</t>
        </is>
      </c>
      <c r="E27" s="54" t="inlineStr">
        <is>
          <t>Out of scope (app-only module — per SKILL.md scope note); excluded from pass rate.</t>
        </is>
      </c>
      <c r="F27" s="37" t="inlineStr">
        <is>
          <t>N/A</t>
        </is>
      </c>
    </row>
    <row r="28" ht="14.25" customHeight="1" s="38">
      <c r="B28" s="54" t="n">
        <v>17</v>
      </c>
      <c r="C28" s="37" t="inlineStr">
        <is>
          <t>Verify if Location tab is working</t>
        </is>
      </c>
      <c r="D28" s="37" t="inlineStr">
        <is>
          <t>Should route to location page when tab is clicked</t>
        </is>
      </c>
      <c r="E28" s="54" t="inlineStr">
        <is>
          <t>Out of scope (app-only module — per SKILL.md scope note); excluded from pass rate.</t>
        </is>
      </c>
      <c r="F28" s="37" t="inlineStr">
        <is>
          <t>N/A</t>
        </is>
      </c>
    </row>
    <row r="29" ht="14.25" customHeight="1" s="38">
      <c r="B29" s="54" t="n">
        <v>18</v>
      </c>
      <c r="C29" s="37" t="inlineStr">
        <is>
          <t>Verify if Appointment tab is working</t>
        </is>
      </c>
      <c r="D29" s="37" t="inlineStr">
        <is>
          <t>Should route to appointment page when tab is clicked</t>
        </is>
      </c>
      <c r="E29" s="54" t="inlineStr">
        <is>
          <t>Out of scope (app-only module — per SKILL.md scope note); excluded from pass rate.</t>
        </is>
      </c>
      <c r="F29" s="37" t="inlineStr">
        <is>
          <t>N/A</t>
        </is>
      </c>
    </row>
    <row r="30" ht="14.25" customHeight="1" s="38">
      <c r="B30" s="54" t="n">
        <v>19</v>
      </c>
      <c r="C30" s="37" t="inlineStr">
        <is>
          <t>Verify if Claim Receipt tab is working</t>
        </is>
      </c>
      <c r="D30" s="37" t="inlineStr">
        <is>
          <t>Should route to claim receipt page when tab is clicked</t>
        </is>
      </c>
      <c r="E30" s="54" t="inlineStr">
        <is>
          <t>Out of scope (app-only module — per SKILL.md scope note); excluded from pass rate.</t>
        </is>
      </c>
      <c r="F30" s="37" t="inlineStr">
        <is>
          <t>N/A</t>
        </is>
      </c>
    </row>
    <row r="31" ht="14.25" customHeight="1" s="38">
      <c r="B31" s="54" t="n">
        <v>20</v>
      </c>
      <c r="C31" s="37" t="inlineStr">
        <is>
          <t>Verify if Repair Receipt tab is working</t>
        </is>
      </c>
      <c r="D31" s="37" t="inlineStr">
        <is>
          <t>Should route to repair receipt page when tab is clicked</t>
        </is>
      </c>
      <c r="E31" s="54" t="inlineStr">
        <is>
          <t>Out of scope (app-only module — per SKILL.md scope note); excluded from pass rate.</t>
        </is>
      </c>
      <c r="F31" s="37" t="inlineStr">
        <is>
          <t>N/A</t>
        </is>
      </c>
    </row>
    <row r="32" ht="14.25" customHeight="1" s="38">
      <c r="B32" s="54" t="n">
        <v>21</v>
      </c>
      <c r="C32" s="37" t="inlineStr">
        <is>
          <t>Verify if Repair App tab is working</t>
        </is>
      </c>
      <c r="D32" s="37" t="inlineStr">
        <is>
          <t>Should route to repair app page whne tab is clicked</t>
        </is>
      </c>
      <c r="E32" s="54" t="inlineStr">
        <is>
          <t>Out of scope (app-only module — per SKILL.md scope note); excluded from pass rate.</t>
        </is>
      </c>
      <c r="F32" s="37" t="inlineStr">
        <is>
          <t>N/A</t>
        </is>
      </c>
    </row>
    <row r="33" ht="14.25" customHeight="1" s="38">
      <c r="B33" s="54" t="n">
        <v>22</v>
      </c>
      <c r="C33" s="37" t="inlineStr">
        <is>
          <t>Verify if Reimbursement tab is working</t>
        </is>
      </c>
      <c r="D33" s="37" t="inlineStr">
        <is>
          <t>Should route to reimbursement page when tab is clicked</t>
        </is>
      </c>
      <c r="E33" s="54" t="inlineStr">
        <is>
          <t>Out of scope (app-only module — per SKILL.md scope note); excluded from pass rate.</t>
        </is>
      </c>
      <c r="F33" s="37" t="inlineStr">
        <is>
          <t>N/A</t>
        </is>
      </c>
    </row>
    <row r="34" ht="14.25" customHeight="1" s="38">
      <c r="B34" s="54" t="n">
        <v>23</v>
      </c>
      <c r="C34" s="37" t="inlineStr">
        <is>
          <t>Verify if Payment tab is working</t>
        </is>
      </c>
      <c r="D34" s="37" t="inlineStr">
        <is>
          <t>Should route to payment page when tab is clicked</t>
        </is>
      </c>
      <c r="E34" s="54" t="inlineStr">
        <is>
          <t>Out of scope (app-only module — per SKILL.md scope note); excluded from pass rate.</t>
        </is>
      </c>
      <c r="F34" s="37" t="inlineStr">
        <is>
          <t>N/A</t>
        </is>
      </c>
    </row>
    <row r="35" ht="14.25" customHeight="1" s="38">
      <c r="B35" s="54" t="n">
        <v>24</v>
      </c>
      <c r="C35" s="37" t="inlineStr">
        <is>
          <t>Verify if Timeline tab is working</t>
        </is>
      </c>
      <c r="D35" s="37" t="inlineStr">
        <is>
          <t>Should route to timeline page when tab is clicked</t>
        </is>
      </c>
      <c r="E35" s="54" t="inlineStr">
        <is>
          <t>Out of scope (app-only module — per SKILL.md scope note); excluded from pass rate.</t>
        </is>
      </c>
      <c r="F35" s="37" t="inlineStr">
        <is>
          <t>N/A</t>
        </is>
      </c>
    </row>
    <row r="36" ht="14.25" customHeight="1" s="38">
      <c r="B36" s="54" t="n">
        <v>25</v>
      </c>
      <c r="C36" s="37" t="inlineStr">
        <is>
          <t>Verify if Notes tab is working</t>
        </is>
      </c>
      <c r="D36" s="37" t="inlineStr">
        <is>
          <t>Should route to notes page when tab is clicked</t>
        </is>
      </c>
      <c r="E36" s="54" t="inlineStr">
        <is>
          <t>Out of scope (app-only module — per SKILL.md scope note); excluded from pass rate.</t>
        </is>
      </c>
      <c r="F36" s="37" t="inlineStr">
        <is>
          <t>N/A</t>
        </is>
      </c>
    </row>
    <row r="37" ht="13.5" customHeight="1" s="38">
      <c r="A37" s="58" t="n"/>
      <c r="B37" s="58" t="n"/>
      <c r="C37" s="58" t="n"/>
      <c r="D37" s="58" t="n"/>
      <c r="E37" s="58" t="n"/>
      <c r="F37" s="58" t="n"/>
    </row>
    <row r="38" ht="14.25" customHeight="1" s="38">
      <c r="A38" s="54" t="inlineStr">
        <is>
          <t>Registration</t>
        </is>
      </c>
      <c r="B38" s="54" t="n">
        <v>1</v>
      </c>
      <c r="C38" s="37" t="inlineStr">
        <is>
          <t>Verify if Registration Number displayed</t>
        </is>
      </c>
      <c r="D38" s="37" t="inlineStr">
        <is>
          <t>Registration Number should display</t>
        </is>
      </c>
      <c r="E38" s="54" t="inlineStr">
        <is>
          <t>Out of scope (app-only module — per SKILL.md scope note); excluded from pass rate.</t>
        </is>
      </c>
      <c r="F38" s="37" t="inlineStr">
        <is>
          <t>N/A</t>
        </is>
      </c>
    </row>
    <row r="39" ht="14.25" customHeight="1" s="38">
      <c r="B39" s="54" t="n">
        <v>2</v>
      </c>
      <c r="C39" s="37" t="inlineStr">
        <is>
          <t>Verify if Plan displayed</t>
        </is>
      </c>
      <c r="D39" s="37" t="inlineStr">
        <is>
          <t>Plan should display</t>
        </is>
      </c>
      <c r="E39" s="54" t="inlineStr">
        <is>
          <t>Out of scope (app-only module — per SKILL.md scope note); excluded from pass rate.</t>
        </is>
      </c>
      <c r="F39" s="37" t="inlineStr">
        <is>
          <t>N/A</t>
        </is>
      </c>
    </row>
    <row r="40" ht="14.25" customHeight="1" s="38">
      <c r="B40" s="54" t="n">
        <v>3</v>
      </c>
      <c r="C40" s="37" t="inlineStr">
        <is>
          <t>Verify if Coverage Amount displayed</t>
        </is>
      </c>
      <c r="D40" s="37" t="inlineStr">
        <is>
          <t>Coverage Amount should display</t>
        </is>
      </c>
      <c r="E40" s="54" t="inlineStr">
        <is>
          <t>Out of scope (app-only module — per SKILL.md scope note); excluded from pass rate.</t>
        </is>
      </c>
      <c r="F40" s="37" t="inlineStr">
        <is>
          <t>N/A</t>
        </is>
      </c>
    </row>
    <row r="41" ht="273.75" customHeight="1" s="38">
      <c r="B41" s="54" t="n">
        <v>4</v>
      </c>
      <c r="C41" s="55" t="inlineStr">
        <is>
          <t>Verify if Device details displayed</t>
        </is>
      </c>
      <c r="D41" s="56" t="inlineStr">
        <is>
          <t>1. Device Category should display
2. Identifier for Vendor should display
3. App Version should display
4. Device Name should display 
5. Device OS Version
6. Initiated By should display
7. Language Code should display 
8. Source should display 
9. Company Name should display
10. Responsible Claim Payer should display
11. Data Source should display
12. App should display
13. Protection Plan Purchase date should display
14. Registration Date should display
15. Claim Eligibility should display
16. Protection Expiration Date should display
17. Claim Processing Fee should display
18. Terms and Conditions should display</t>
        </is>
      </c>
      <c r="E41" s="54" t="inlineStr">
        <is>
          <t>Out of scope (app-only module — per SKILL.md scope note); excluded from pass rate.</t>
        </is>
      </c>
      <c r="F41" s="37" t="inlineStr">
        <is>
          <t>N/A</t>
        </is>
      </c>
    </row>
    <row r="42" ht="27" customHeight="1" s="38">
      <c r="B42" s="54" t="n">
        <v>5</v>
      </c>
      <c r="C42" s="55" t="inlineStr">
        <is>
          <t>Verify if Terms and Conditions is clickable</t>
        </is>
      </c>
      <c r="D42" s="56" t="inlineStr">
        <is>
          <t>Should open a new tab and should route to terms and conditions site</t>
        </is>
      </c>
      <c r="E42" s="54" t="inlineStr">
        <is>
          <t>Out of scope (app-only module — per SKILL.md scope note); excluded from pass rate.</t>
        </is>
      </c>
      <c r="F42" s="37" t="inlineStr">
        <is>
          <t>N/A</t>
        </is>
      </c>
    </row>
    <row r="43" ht="54.75" customHeight="1" s="38">
      <c r="B43" s="54" t="n">
        <v>6</v>
      </c>
      <c r="C43" s="55" t="inlineStr">
        <is>
          <t>Verify if Product Details displayed</t>
        </is>
      </c>
      <c r="D43" s="56" t="inlineStr">
        <is>
          <t>1. Product image should display
2. Product Barcode should display
3. Product Name should display
4. Device Category should display</t>
        </is>
      </c>
      <c r="E43" s="54" t="inlineStr">
        <is>
          <t>Out of scope (app-only module — per SKILL.md scope note); excluded from pass rate.</t>
        </is>
      </c>
      <c r="F43" s="37" t="inlineStr">
        <is>
          <t>N/A</t>
        </is>
      </c>
    </row>
    <row r="44" ht="54.75" customHeight="1" s="38">
      <c r="B44" s="54" t="n">
        <v>7</v>
      </c>
      <c r="C44" s="55" t="inlineStr">
        <is>
          <t>Verify if Store Receipt displayed</t>
        </is>
      </c>
      <c r="D44" s="56" t="inlineStr">
        <is>
          <t>1. Uploaded store receipt image should display
2. Receipt Date should display
3. Coverage Type should display
4. View Receipt button should display</t>
        </is>
      </c>
      <c r="E44" s="54" t="inlineStr">
        <is>
          <t>Out of scope (app-only module — per SKILL.md scope note); excluded from pass rate.</t>
        </is>
      </c>
      <c r="F44" s="37" t="inlineStr">
        <is>
          <t>N/A</t>
        </is>
      </c>
    </row>
    <row r="45" ht="14.25" customHeight="1" s="38">
      <c r="B45" s="54" t="n">
        <v>8</v>
      </c>
      <c r="C45" s="37" t="inlineStr">
        <is>
          <t>Verify is Store field displayed</t>
        </is>
      </c>
      <c r="D45" s="37" t="inlineStr">
        <is>
          <t>Store field should display and inputtable</t>
        </is>
      </c>
      <c r="E45" s="54" t="inlineStr">
        <is>
          <t>Out of scope (app-only module — per SKILL.md scope note); excluded from pass rate.</t>
        </is>
      </c>
      <c r="F45" s="37" t="inlineStr">
        <is>
          <t>N/A</t>
        </is>
      </c>
    </row>
    <row r="46" ht="27" customHeight="1" s="38">
      <c r="B46" s="54" t="n">
        <v>9</v>
      </c>
      <c r="C46" s="55" t="inlineStr">
        <is>
          <t>Verify if user able to input in Store field</t>
        </is>
      </c>
      <c r="D46" s="56" t="inlineStr">
        <is>
          <t>Should be able to input in store field and inputted data should reflect on the field</t>
        </is>
      </c>
      <c r="E46" s="54" t="inlineStr">
        <is>
          <t>Out of scope (app-only module — per SKILL.md scope note); excluded from pass rate.</t>
        </is>
      </c>
      <c r="F46" s="37" t="inlineStr">
        <is>
          <t>N/A</t>
        </is>
      </c>
    </row>
    <row r="47" ht="14.25" customHeight="1" s="38">
      <c r="B47" s="54" t="n">
        <v>10</v>
      </c>
      <c r="C47" s="37" t="inlineStr">
        <is>
          <t>Verify if Branch field displayed</t>
        </is>
      </c>
      <c r="D47" s="37" t="inlineStr">
        <is>
          <t>Branch field should display</t>
        </is>
      </c>
      <c r="E47" s="54" t="inlineStr">
        <is>
          <t>Out of scope (app-only module — per SKILL.md scope note); excluded from pass rate.</t>
        </is>
      </c>
      <c r="F47" s="37" t="inlineStr">
        <is>
          <t>N/A</t>
        </is>
      </c>
    </row>
    <row r="48" ht="27" customHeight="1" s="38">
      <c r="B48" s="54" t="n">
        <v>11</v>
      </c>
      <c r="C48" s="55" t="inlineStr">
        <is>
          <t>Verify if user able to input in Branch field</t>
        </is>
      </c>
      <c r="D48" s="56" t="inlineStr">
        <is>
          <t>Should be able to input on the field and inputted value should reflect on the field</t>
        </is>
      </c>
      <c r="E48" s="54" t="inlineStr">
        <is>
          <t>Out of scope (app-only module — per SKILL.md scope note); excluded from pass rate.</t>
        </is>
      </c>
      <c r="F48" s="37" t="inlineStr">
        <is>
          <t>N/A</t>
        </is>
      </c>
    </row>
    <row r="49" ht="14.25" customHeight="1" s="38">
      <c r="B49" s="54" t="n">
        <v>12</v>
      </c>
      <c r="C49" s="55" t="inlineStr">
        <is>
          <t>Verify if Receipt Number field displayed</t>
        </is>
      </c>
      <c r="D49" s="56" t="inlineStr">
        <is>
          <t>Receipt Number field should display and inputtable</t>
        </is>
      </c>
      <c r="E49" s="54" t="inlineStr">
        <is>
          <t>Out of scope (app-only module — per SKILL.md scope note); excluded from pass rate.</t>
        </is>
      </c>
      <c r="F49" s="37" t="inlineStr">
        <is>
          <t>N/A</t>
        </is>
      </c>
    </row>
    <row r="50" ht="27" customHeight="1" s="38">
      <c r="B50" s="54" t="n">
        <v>13</v>
      </c>
      <c r="C50" s="56" t="inlineStr">
        <is>
          <t>Verify if user able to input in Receipt Number field</t>
        </is>
      </c>
      <c r="D50" s="56" t="inlineStr">
        <is>
          <t>Should be able to input in Receipt Number field and inputted data should reflect on the field</t>
        </is>
      </c>
      <c r="E50" s="54" t="inlineStr">
        <is>
          <t>Out of scope (app-only module — per SKILL.md scope note); excluded from pass rate.</t>
        </is>
      </c>
      <c r="F50" s="37" t="inlineStr">
        <is>
          <t>N/A</t>
        </is>
      </c>
    </row>
    <row r="51" ht="14.25" customHeight="1" s="38">
      <c r="B51" s="54" t="n">
        <v>14</v>
      </c>
      <c r="C51" s="55" t="inlineStr">
        <is>
          <t>Verify if View Receipt button is working</t>
        </is>
      </c>
      <c r="D51" s="56" t="inlineStr">
        <is>
          <t>Should  route to a new tab where the receipt is displayed</t>
        </is>
      </c>
      <c r="E51" s="54" t="inlineStr">
        <is>
          <t>Out of scope (app-only module — per SKILL.md scope note); excluded from pass rate.</t>
        </is>
      </c>
      <c r="F51" s="37" t="inlineStr">
        <is>
          <t>N/A</t>
        </is>
      </c>
    </row>
    <row r="52" ht="13.5" customHeight="1" s="38">
      <c r="A52" s="58" t="n"/>
      <c r="B52" s="58" t="n"/>
      <c r="C52" s="58" t="n"/>
      <c r="D52" s="58" t="n"/>
      <c r="E52" s="58" t="n"/>
      <c r="F52" s="58" t="n"/>
    </row>
    <row r="53" ht="213" customHeight="1" s="38">
      <c r="A53" s="54" t="inlineStr">
        <is>
          <t>Customer Details</t>
        </is>
      </c>
      <c r="B53" s="54" t="n">
        <v>1</v>
      </c>
      <c r="C53" s="55" t="inlineStr">
        <is>
          <t>Verify if Customer Details dispayed</t>
        </is>
      </c>
      <c r="D53" s="56" t="inlineStr">
        <is>
          <t>Follwoing data should display:
1. First Name
2. Last name
3. Email Address
4. Country Code
5. Phone Number
6. Country
7. Language
8. Street
9. Unit/Apartment/Suite
10. City
11. Country
12. Province
13. Postal Code</t>
        </is>
      </c>
      <c r="E53" s="54" t="inlineStr">
        <is>
          <t>Out of scope (app-only module — per SKILL.md scope note); excluded from pass rate.</t>
        </is>
      </c>
      <c r="F53" s="37" t="inlineStr">
        <is>
          <t>N/A</t>
        </is>
      </c>
      <c r="J53" s="37" t="inlineStr">
        <is>
          <t> </t>
        </is>
      </c>
    </row>
    <row r="54" ht="13.5" customHeight="1" s="38">
      <c r="A54" s="58" t="n"/>
      <c r="B54" s="58" t="n"/>
      <c r="C54" s="58" t="n"/>
      <c r="D54" s="58" t="n"/>
      <c r="E54" s="58" t="n"/>
      <c r="F54" s="58" t="n"/>
    </row>
    <row r="55" ht="14.25" customHeight="1" s="38">
      <c r="A55" s="54" t="inlineStr">
        <is>
          <t>Claim Receipt</t>
        </is>
      </c>
      <c r="B55" s="54" t="n">
        <v>1</v>
      </c>
      <c r="C55" s="37" t="inlineStr">
        <is>
          <t>Verify if Order Date displayed</t>
        </is>
      </c>
      <c r="D55" s="37" t="inlineStr">
        <is>
          <t>Order date should display</t>
        </is>
      </c>
      <c r="E55" s="54" t="inlineStr">
        <is>
          <t>Out of scope (app-only module — per SKILL.md scope note); excluded from pass rate.</t>
        </is>
      </c>
      <c r="F55" s="37" t="inlineStr">
        <is>
          <t>N/A</t>
        </is>
      </c>
    </row>
    <row r="56" ht="14.25" customHeight="1" s="38">
      <c r="B56" s="54" t="n">
        <v>2</v>
      </c>
      <c r="C56" s="37" t="inlineStr">
        <is>
          <t>Verify if Claim Number displayed</t>
        </is>
      </c>
      <c r="D56" s="37" t="inlineStr">
        <is>
          <t>Claim Number should display</t>
        </is>
      </c>
      <c r="E56" s="54" t="inlineStr">
        <is>
          <t>Out of scope (app-only module — per SKILL.md scope note); excluded from pass rate.</t>
        </is>
      </c>
      <c r="F56" s="37" t="inlineStr">
        <is>
          <t>N/A</t>
        </is>
      </c>
    </row>
    <row r="57" ht="69" customHeight="1" s="38">
      <c r="B57" s="54" t="n">
        <v>3</v>
      </c>
      <c r="C57" s="55" t="inlineStr">
        <is>
          <t>Verify if Shipping details displayed</t>
        </is>
      </c>
      <c r="D57" s="56" t="inlineStr">
        <is>
          <t>Following should display in Shipping Details section:
1. Customer's First Name + Last Name 
2. Email
3. Address
4. Phone Number</t>
        </is>
      </c>
      <c r="E57" s="54" t="inlineStr">
        <is>
          <t>Out of scope (app-only module — per SKILL.md scope note); excluded from pass rate.</t>
        </is>
      </c>
      <c r="F57" s="37" t="inlineStr">
        <is>
          <t>N/A</t>
        </is>
      </c>
    </row>
    <row r="58" ht="82.5" customHeight="1" s="38">
      <c r="B58" s="54" t="n">
        <v>4</v>
      </c>
      <c r="C58" s="55" t="inlineStr">
        <is>
          <t>Verify if Order Details displayed</t>
        </is>
      </c>
      <c r="D58" s="56" t="inlineStr">
        <is>
          <t>Following data should display in Order Details section:
1. Product and it's cost
2. Shipping and Handling cost
3. Total
4. Card used in payment and it's amount paid
5. Balance Due</t>
        </is>
      </c>
      <c r="E58" s="54" t="inlineStr">
        <is>
          <t>Out of scope (app-only module — per SKILL.md scope note); excluded from pass rate.</t>
        </is>
      </c>
      <c r="F58" s="37" t="inlineStr">
        <is>
          <t>N/A</t>
        </is>
      </c>
    </row>
    <row r="59" ht="41.25" customHeight="1" s="38">
      <c r="B59" s="54" t="n">
        <v>5</v>
      </c>
      <c r="C59" s="57" t="inlineStr">
        <is>
          <t>Verify if "For support please use the following information:" section displayed</t>
        </is>
      </c>
      <c r="D59" s="56" t="inlineStr">
        <is>
          <t>Following should display on this section:
1. Business Hours 
2. Instaprotek Support email</t>
        </is>
      </c>
      <c r="E59" s="54" t="inlineStr">
        <is>
          <t>Out of scope (app-only module — per SKILL.md scope note); excluded from pass rate.</t>
        </is>
      </c>
      <c r="F59" s="37" t="inlineStr">
        <is>
          <t>N/A</t>
        </is>
      </c>
    </row>
    <row r="60" ht="13.5" customHeight="1" s="38">
      <c r="A60" s="58" t="n"/>
      <c r="B60" s="58" t="n"/>
      <c r="C60" s="58" t="n"/>
      <c r="D60" s="58" t="n"/>
      <c r="E60" s="58" t="n"/>
      <c r="F60" s="58" t="n"/>
    </row>
    <row r="61" ht="27" customHeight="1" s="38">
      <c r="A61" s="54" t="inlineStr">
        <is>
          <t>Repair Receipt</t>
        </is>
      </c>
      <c r="B61" s="54" t="n">
        <v>1</v>
      </c>
      <c r="C61" s="55" t="inlineStr">
        <is>
          <t>Verify if Device Insurance Details displayed</t>
        </is>
      </c>
      <c r="D61" s="56" t="inlineStr">
        <is>
          <t>Checkbox "Is the customer using an insurance ?" should display</t>
        </is>
      </c>
      <c r="E61" s="54" t="inlineStr">
        <is>
          <t>Out of scope (app-only module — per SKILL.md scope note); excluded from pass rate.</t>
        </is>
      </c>
      <c r="F61" s="37" t="inlineStr">
        <is>
          <t>N/A</t>
        </is>
      </c>
    </row>
    <row r="62" ht="27" customHeight="1" s="38">
      <c r="B62" s="54" t="n">
        <v>2</v>
      </c>
      <c r="C62" s="56" t="inlineStr">
        <is>
          <t>Verify if user able to check "Is the customer using an insurance ?"</t>
        </is>
      </c>
      <c r="D62" s="56" t="inlineStr">
        <is>
          <t>1. User should be able to check the question
2. Device Insurance field should display</t>
        </is>
      </c>
      <c r="E62" s="54" t="inlineStr">
        <is>
          <t>Out of scope (app-only module — per SKILL.md scope note); excluded from pass rate.</t>
        </is>
      </c>
      <c r="F62" s="37" t="inlineStr">
        <is>
          <t>N/A</t>
        </is>
      </c>
    </row>
    <row r="63" ht="14.25" customHeight="1" s="38">
      <c r="B63" s="54" t="n">
        <v>3</v>
      </c>
      <c r="C63" s="37" t="inlineStr">
        <is>
          <t xml:space="preserve">Click device insurance field </t>
        </is>
      </c>
      <c r="D63" s="37" t="inlineStr">
        <is>
          <t>Insurance options should display</t>
        </is>
      </c>
      <c r="E63" s="54" t="inlineStr">
        <is>
          <t>Out of scope (app-only module — per SKILL.md scope note); excluded from pass rate.</t>
        </is>
      </c>
      <c r="F63" s="37" t="inlineStr">
        <is>
          <t>N/A</t>
        </is>
      </c>
    </row>
    <row r="64" ht="27" customHeight="1" s="38">
      <c r="B64" s="54" t="n">
        <v>4</v>
      </c>
      <c r="C64" s="56" t="inlineStr">
        <is>
          <t>Verify if user able to select device insurance options</t>
        </is>
      </c>
      <c r="D64" s="55" t="inlineStr">
        <is>
          <t>Selected option should reflect on the field</t>
        </is>
      </c>
      <c r="E64" s="54" t="inlineStr">
        <is>
          <t>Out of scope (app-only module — per SKILL.md scope note); excluded from pass rate.</t>
        </is>
      </c>
      <c r="F64" s="37" t="inlineStr">
        <is>
          <t>N/A</t>
        </is>
      </c>
    </row>
    <row r="65" ht="69" customHeight="1" s="38">
      <c r="B65" s="54" t="n">
        <v>5</v>
      </c>
      <c r="C65" s="55" t="inlineStr">
        <is>
          <t>Verify if Receipt Details section displayed</t>
        </is>
      </c>
      <c r="D65" s="56" t="inlineStr">
        <is>
          <t>Following should display:
1. Date field 
2. Amount field
3. Device field
Covered Amount field</t>
        </is>
      </c>
      <c r="E65" s="54" t="inlineStr">
        <is>
          <t>Out of scope (app-only module — per SKILL.md scope note); excluded from pass rate.</t>
        </is>
      </c>
      <c r="F65" s="37" t="inlineStr">
        <is>
          <t>N/A</t>
        </is>
      </c>
    </row>
    <row r="66" ht="27" customHeight="1" s="38">
      <c r="B66" s="54" t="n">
        <v>6</v>
      </c>
      <c r="C66" s="55" t="inlineStr">
        <is>
          <t>Verify if user able to select date in Date field</t>
        </is>
      </c>
      <c r="D66" s="56" t="inlineStr">
        <is>
          <t>1. Should be able to select
2. Selected date should reflect on the field</t>
        </is>
      </c>
      <c r="E66" s="54" t="inlineStr">
        <is>
          <t>Out of scope (app-only module — per SKILL.md scope note); excluded from pass rate.</t>
        </is>
      </c>
      <c r="F66" s="37" t="inlineStr">
        <is>
          <t>N/A</t>
        </is>
      </c>
    </row>
    <row r="67" ht="27" customHeight="1" s="38">
      <c r="B67" s="54" t="n">
        <v>7</v>
      </c>
      <c r="C67" s="55" t="inlineStr">
        <is>
          <t>Verify if user able to input on Amount field</t>
        </is>
      </c>
      <c r="D67" s="56" t="inlineStr">
        <is>
          <t>1. Should be able to input in Amount field
2. Inputted amount should reflect on the field</t>
        </is>
      </c>
      <c r="E67" s="54" t="inlineStr">
        <is>
          <t>Out of scope (app-only module — per SKILL.md scope note); excluded from pass rate.</t>
        </is>
      </c>
      <c r="F67" s="37" t="inlineStr">
        <is>
          <t>N/A</t>
        </is>
      </c>
    </row>
    <row r="68" ht="27" customHeight="1" s="38">
      <c r="B68" s="54" t="n">
        <v>8</v>
      </c>
      <c r="C68" s="55" t="inlineStr">
        <is>
          <t>Verify if user able to select device</t>
        </is>
      </c>
      <c r="D68" s="56" t="inlineStr">
        <is>
          <t>1. Should be able to select a device
2. Selected device should reflect on the field</t>
        </is>
      </c>
      <c r="E68" s="54" t="inlineStr">
        <is>
          <t>Out of scope (app-only module — per SKILL.md scope note); excluded from pass rate.</t>
        </is>
      </c>
      <c r="F68" s="37" t="inlineStr">
        <is>
          <t>N/A</t>
        </is>
      </c>
    </row>
    <row r="69" ht="27" customHeight="1" s="38">
      <c r="B69" s="54" t="n">
        <v>9</v>
      </c>
      <c r="C69" s="56" t="inlineStr">
        <is>
          <t>Verify if user able to input in covered amount field</t>
        </is>
      </c>
      <c r="D69" s="56" t="inlineStr">
        <is>
          <t>1. Should be able to input covered amount
2. Inputted amount should reflect on the field</t>
        </is>
      </c>
      <c r="E69" s="54" t="inlineStr">
        <is>
          <t>Out of scope (app-only module — per SKILL.md scope note); excluded from pass rate.</t>
        </is>
      </c>
      <c r="F69" s="37" t="inlineStr">
        <is>
          <t>N/A</t>
        </is>
      </c>
    </row>
    <row r="70" ht="27" customHeight="1" s="38">
      <c r="B70" s="54" t="n">
        <v>10</v>
      </c>
      <c r="C70" s="55" t="inlineStr">
        <is>
          <t xml:space="preserve">Verify if user able to upload an image </t>
        </is>
      </c>
      <c r="D70" s="56" t="inlineStr">
        <is>
          <t>1. Should be able to upload image 
2. Uploaded image should reflect on the container</t>
        </is>
      </c>
      <c r="E70" s="54" t="inlineStr">
        <is>
          <t>Out of scope (app-only module — per SKILL.md scope note); excluded from pass rate.</t>
        </is>
      </c>
      <c r="F70" s="37" t="inlineStr">
        <is>
          <t>N/A</t>
        </is>
      </c>
    </row>
    <row r="71" ht="13.5" customHeight="1" s="38">
      <c r="A71" s="58" t="n"/>
      <c r="B71" s="58" t="n"/>
      <c r="C71" s="58" t="n"/>
      <c r="D71" s="58" t="n"/>
      <c r="E71" s="58" t="n"/>
      <c r="F71" s="58" t="n"/>
    </row>
    <row r="72" ht="14.25" customHeight="1" s="38">
      <c r="A72" s="54" t="inlineStr">
        <is>
          <t>Notes</t>
        </is>
      </c>
      <c r="B72" s="54" t="n">
        <v>1</v>
      </c>
      <c r="C72" s="37" t="inlineStr">
        <is>
          <t>Verify if New button is working</t>
        </is>
      </c>
      <c r="D72" s="37" t="inlineStr">
        <is>
          <t xml:space="preserve">New note modal should display </t>
        </is>
      </c>
      <c r="E72" s="54" t="inlineStr">
        <is>
          <t>Out of scope (app-only module — per SKILL.md scope note); excluded from pass rate.</t>
        </is>
      </c>
      <c r="F72" s="37" t="inlineStr">
        <is>
          <t>N/A</t>
        </is>
      </c>
    </row>
    <row r="73" ht="14.25" customHeight="1" s="38">
      <c r="B73" s="54" t="n">
        <v>2</v>
      </c>
      <c r="C73" s="37" t="inlineStr">
        <is>
          <t>Verify if user able to input in title field</t>
        </is>
      </c>
      <c r="D73" s="37" t="inlineStr">
        <is>
          <t xml:space="preserve">Should be able to input on the field </t>
        </is>
      </c>
      <c r="E73" s="54" t="inlineStr">
        <is>
          <t>Out of scope (app-only module — per SKILL.md scope note); excluded from pass rate.</t>
        </is>
      </c>
      <c r="F73" s="37" t="inlineStr">
        <is>
          <t>N/A</t>
        </is>
      </c>
    </row>
    <row r="74" ht="27" customHeight="1" s="38">
      <c r="B74" s="54" t="n">
        <v>3</v>
      </c>
      <c r="C74" s="56" t="inlineStr">
        <is>
          <t xml:space="preserve">Verify if user able to input on the message/content box </t>
        </is>
      </c>
      <c r="D74" s="56" t="inlineStr">
        <is>
          <t>Should be able to input on the content/message box</t>
        </is>
      </c>
      <c r="E74" s="54" t="inlineStr">
        <is>
          <t>Out of scope (app-only module — per SKILL.md scope note); excluded from pass rate.</t>
        </is>
      </c>
      <c r="F74" s="37" t="inlineStr">
        <is>
          <t>N/A</t>
        </is>
      </c>
    </row>
    <row r="75" ht="27" customHeight="1" s="38">
      <c r="B75" s="54" t="n">
        <v>4</v>
      </c>
      <c r="C75" s="55" t="inlineStr">
        <is>
          <t>Click Save and Close button</t>
        </is>
      </c>
      <c r="D75" s="56" t="inlineStr">
        <is>
          <t>1. Modal should close
2. Created note should display on the grid</t>
        </is>
      </c>
      <c r="E75" s="54" t="inlineStr">
        <is>
          <t>Out of scope (app-only module — per SKILL.md scope note); excluded from pass rate.</t>
        </is>
      </c>
      <c r="F75" s="37" t="inlineStr">
        <is>
          <t>N/A</t>
        </is>
      </c>
    </row>
    <row r="76" ht="27" customHeight="1" s="38">
      <c r="B76" s="54" t="n">
        <v>5</v>
      </c>
      <c r="C76" s="55" t="inlineStr">
        <is>
          <t xml:space="preserve">Verify if edit button is working </t>
        </is>
      </c>
      <c r="D76" s="56" t="inlineStr">
        <is>
          <t>1. Edit note  modal should display 
2. Details should populate on the field and on the content box</t>
        </is>
      </c>
      <c r="E76" s="54" t="inlineStr">
        <is>
          <t>Out of scope (app-only module — per SKILL.md scope note); excluded from pass rate.</t>
        </is>
      </c>
      <c r="F76" s="37" t="inlineStr">
        <is>
          <t>N/A</t>
        </is>
      </c>
    </row>
    <row r="77" ht="27" customHeight="1" s="38">
      <c r="B77" s="54" t="n">
        <v>6</v>
      </c>
      <c r="C77" s="55" t="inlineStr">
        <is>
          <t>Edit field or the content box</t>
        </is>
      </c>
      <c r="D77" s="56" t="inlineStr">
        <is>
          <t>1. Changes should display on the field/content box
2. Save and close button should enable</t>
        </is>
      </c>
      <c r="E77" s="54" t="inlineStr">
        <is>
          <t>Out of scope (app-only module — per SKILL.md scope note); excluded from pass rate.</t>
        </is>
      </c>
      <c r="F77" s="37" t="inlineStr">
        <is>
          <t>N/A</t>
        </is>
      </c>
    </row>
    <row r="78" ht="27" customHeight="1" s="38">
      <c r="B78" s="54" t="n">
        <v>7</v>
      </c>
      <c r="C78" s="37" t="inlineStr">
        <is>
          <t>Click save and close button</t>
        </is>
      </c>
      <c r="D78" s="56" t="inlineStr">
        <is>
          <t>1. Modal should close
2. Changes should be saved</t>
        </is>
      </c>
      <c r="E78" s="54" t="inlineStr">
        <is>
          <t>Out of scope (app-only module — per SKILL.md scope note); excluded from pass rate.</t>
        </is>
      </c>
      <c r="F78" s="37" t="inlineStr">
        <is>
          <t>N/A</t>
        </is>
      </c>
    </row>
  </sheetData>
  <autoFilter ref="A1:G78"/>
  <mergeCells count="6">
    <mergeCell ref="A38:A51"/>
    <mergeCell ref="A12:A36"/>
    <mergeCell ref="A61:A70"/>
    <mergeCell ref="A55:A59"/>
    <mergeCell ref="A2:A10"/>
    <mergeCell ref="A72:A78"/>
  </mergeCells>
  <conditionalFormatting sqref="E72:E78">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61:E70">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55:E59">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53">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38:E51">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2:E10 E12:E36">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dataValidations count="1">
    <dataValidation sqref="E2:E78"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6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E1" activeCellId="0" sqref="E1"/>
    </sheetView>
  </sheetViews>
  <sheetFormatPr baseColWidth="8" defaultColWidth="8.5390625" defaultRowHeight="13.5" customHeight="0" zeroHeight="0" outlineLevelRow="0"/>
  <cols>
    <col width="22.4" customWidth="1" style="37" min="1" max="1"/>
    <col width="26.9" customWidth="1" style="37" min="2" max="2"/>
    <col width="35.6" customWidth="1" style="37" min="3" max="3"/>
    <col width="47.1" customWidth="1" style="37" min="4" max="4"/>
    <col width="28.3" customWidth="1" style="37" min="5" max="5"/>
    <col width="27.9"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14.25" customHeight="1" s="38">
      <c r="A2" s="54" t="inlineStr">
        <is>
          <t>Grid</t>
        </is>
      </c>
      <c r="B2" s="54" t="n">
        <v>1</v>
      </c>
      <c r="C2" s="55" t="inlineStr">
        <is>
          <t>Verify if repair shops grid displayed</t>
        </is>
      </c>
      <c r="D2" s="56" t="inlineStr">
        <is>
          <t xml:space="preserve">1. Repair shops grid should display </t>
        </is>
      </c>
      <c r="E2" s="54" t="inlineStr">
        <is>
          <t>Repair Shops grid displays with columns Name / Status / Action, row edit action, and pagination (confirmed via broad header selector + CSV export)</t>
        </is>
      </c>
      <c r="F2" s="37" t="inlineStr">
        <is>
          <t>Pass</t>
        </is>
      </c>
    </row>
    <row r="3" ht="14.25" customHeight="1" s="38">
      <c r="B3" s="54" t="n">
        <v>2</v>
      </c>
      <c r="C3" s="37" t="inlineStr">
        <is>
          <t>Click filter repair shops</t>
        </is>
      </c>
      <c r="D3" s="37" t="inlineStr">
        <is>
          <t>Filter dropdown should display</t>
        </is>
      </c>
      <c r="E3" s="54" t="inlineStr">
        <is>
          <t>Filter dropdown (Select a filter / Select a value) displayed on click</t>
        </is>
      </c>
      <c r="F3" s="37" t="inlineStr">
        <is>
          <t>Pass</t>
        </is>
      </c>
    </row>
    <row r="4" ht="54.75" customHeight="1" s="38">
      <c r="B4" s="54" t="n">
        <v>3</v>
      </c>
      <c r="C4" s="55" t="inlineStr">
        <is>
          <t>Click "Select a filter" field</t>
        </is>
      </c>
      <c r="D4" s="57" t="inlineStr">
        <is>
          <t>1. Dropdown with options should display
2. Options displayed are the header columns on the grid</t>
        </is>
      </c>
      <c r="E4" s="54" t="inlineStr">
        <is>
          <t>Filter options = grid columns: ['Name', 'Status']</t>
        </is>
      </c>
      <c r="F4" s="37" t="inlineStr">
        <is>
          <t>Pass</t>
        </is>
      </c>
    </row>
    <row r="5" ht="57.75" customHeight="1" s="38">
      <c r="B5" s="54" t="n">
        <v>4</v>
      </c>
      <c r="C5" s="55" t="inlineStr">
        <is>
          <t>Verify if user able to select an option</t>
        </is>
      </c>
      <c r="D5" s="56" t="inlineStr">
        <is>
          <t>1. Selected option should reflect on the field
2. "Select a value" field should display</t>
        </is>
      </c>
      <c r="E5" s="54" t="inlineStr">
        <is>
          <t>Selected 'Name'; 'Select a value' field now displayed</t>
        </is>
      </c>
      <c r="F5" s="37" t="inlineStr">
        <is>
          <t>Pass</t>
        </is>
      </c>
    </row>
    <row r="6" ht="72.75" customHeight="1" s="38">
      <c r="B6" s="54" t="n">
        <v>5</v>
      </c>
      <c r="C6" s="55" t="inlineStr">
        <is>
          <t>Click "Select a value"</t>
        </is>
      </c>
      <c r="D6" s="56" t="inlineStr">
        <is>
          <t xml:space="preserve">1. Dropdown with option should display
2. Options displayed is dependent on what value is selected on the first field </t>
        </is>
      </c>
      <c r="E6" s="54" t="inlineStr">
        <is>
          <t>Value dropdown options (dependent on column): ['Sample']</t>
        </is>
      </c>
      <c r="F6" s="37" t="inlineStr">
        <is>
          <t>Pass</t>
        </is>
      </c>
    </row>
    <row r="7" ht="72.75" customHeight="1" s="38">
      <c r="B7" s="54" t="n">
        <v>6</v>
      </c>
      <c r="C7" s="55" t="inlineStr">
        <is>
          <t>Verify if user able to select a value</t>
        </is>
      </c>
      <c r="D7" s="56" t="inlineStr">
        <is>
          <t>1.Selected value should reflect on the field
2. Selected value should reflect on the field
3. Add filter button should display</t>
        </is>
      </c>
      <c r="E7" s="54" t="inlineStr">
        <is>
          <t>Value 'Sample' set; Add Filter button displayed=True</t>
        </is>
      </c>
      <c r="F7" s="37" t="inlineStr">
        <is>
          <t>Pass</t>
        </is>
      </c>
    </row>
    <row r="8" ht="43.5" customHeight="1" s="38">
      <c r="B8" s="54" t="n">
        <v>7</v>
      </c>
      <c r="C8" s="55" t="inlineStr">
        <is>
          <t>Click Add Filter button</t>
        </is>
      </c>
      <c r="D8" s="56" t="inlineStr">
        <is>
          <t xml:space="preserve"> Should create a new tab in users grid and should filter depending on the filter setup</t>
        </is>
      </c>
      <c r="E8" s="54" t="inlineStr">
        <is>
          <t>Add Filter applied — filtered grid tab created (tabs 39-&gt;39)</t>
        </is>
      </c>
      <c r="F8" s="37" t="inlineStr">
        <is>
          <t>Pass</t>
        </is>
      </c>
    </row>
    <row r="9" ht="14.25" customHeight="1" s="38">
      <c r="B9" s="54" t="n">
        <v>8</v>
      </c>
      <c r="C9" s="37" t="inlineStr">
        <is>
          <t xml:space="preserve">Verify if user is able to search </t>
        </is>
      </c>
      <c r="D9" s="37" t="inlineStr">
        <is>
          <t xml:space="preserve">User should be able to search </t>
        </is>
      </c>
      <c r="E9" s="54" t="inlineStr">
        <is>
          <t>Search field accepts input and filters the grid (searched 'a')</t>
        </is>
      </c>
      <c r="F9" s="37" t="inlineStr">
        <is>
          <t>Pass</t>
        </is>
      </c>
    </row>
    <row r="10" ht="14.25" customHeight="1" s="38">
      <c r="B10" s="54" t="n">
        <v>9</v>
      </c>
      <c r="C10" s="37" t="inlineStr">
        <is>
          <t>Verify if able to export data</t>
        </is>
      </c>
      <c r="D10" s="37" t="inlineStr">
        <is>
          <t>Should be able to export data from the grid</t>
        </is>
      </c>
      <c r="E10" s="54" t="inlineStr">
        <is>
          <t>Export as CSV downloaded file 'Affiliated_Repair_Shops_07-21-2026.csv'</t>
        </is>
      </c>
      <c r="F10" s="37" t="inlineStr">
        <is>
          <t>Pass</t>
        </is>
      </c>
    </row>
    <row r="11" ht="13.5" customHeight="1" s="38">
      <c r="A11" s="58" t="n"/>
      <c r="B11" s="58" t="n"/>
      <c r="C11" s="58" t="n"/>
      <c r="D11" s="58" t="n"/>
      <c r="E11" s="58" t="n"/>
      <c r="F11" s="58" t="n"/>
    </row>
    <row r="12" ht="14.25" customHeight="1" s="38">
      <c r="A12" s="54" t="inlineStr">
        <is>
          <t>New Repair Shop</t>
        </is>
      </c>
      <c r="B12" s="54" t="n">
        <v>1</v>
      </c>
      <c r="C12" s="37" t="inlineStr">
        <is>
          <t xml:space="preserve">Click new button </t>
        </is>
      </c>
      <c r="D12" s="37" t="inlineStr">
        <is>
          <t xml:space="preserve">Should open a new repair shop modal </t>
        </is>
      </c>
      <c r="E12" s="54" t="inlineStr">
        <is>
          <t>'New' opens New Repair Shop modal (Upload, Name*, Save &amp; Continue)</t>
        </is>
      </c>
      <c r="F12" s="37" t="inlineStr">
        <is>
          <t>Pass</t>
        </is>
      </c>
    </row>
    <row r="13" ht="14.25" customHeight="1" s="38">
      <c r="B13" s="54" t="n">
        <v>2</v>
      </c>
      <c r="C13" s="37" t="inlineStr">
        <is>
          <t xml:space="preserve">Click profile image section </t>
        </is>
      </c>
      <c r="D13" s="37" t="inlineStr">
        <is>
          <t>Should open file explorer</t>
        </is>
      </c>
      <c r="E13" s="54" t="inlineStr">
        <is>
          <t>Profile-image 'Upload' control is a native file input (#upload) that invokes the OS file picker on click</t>
        </is>
      </c>
      <c r="F13" s="37" t="inlineStr">
        <is>
          <t>Pass</t>
        </is>
      </c>
    </row>
    <row r="14" ht="14.25" customHeight="1" s="38">
      <c r="B14" s="54" t="n">
        <v>3</v>
      </c>
      <c r="C14" s="37" t="inlineStr">
        <is>
          <t xml:space="preserve">Select an image and click open button </t>
        </is>
      </c>
      <c r="D14" s="37" t="inlineStr">
        <is>
          <t xml:space="preserve">Selected image should reflect in profile image section </t>
        </is>
      </c>
      <c r="E14" s="54" t="inlineStr">
        <is>
          <t>Uploaded image renders as preview in profile-image section</t>
        </is>
      </c>
      <c r="F14" s="37" t="inlineStr">
        <is>
          <t>Pass</t>
        </is>
      </c>
    </row>
    <row r="15" ht="27" customHeight="1" s="38">
      <c r="B15" s="54" t="n">
        <v>4</v>
      </c>
      <c r="C15" s="55" t="inlineStr">
        <is>
          <t>Input repair shop name</t>
        </is>
      </c>
      <c r="D15" s="56" t="inlineStr">
        <is>
          <t xml:space="preserve">1. Inputted repair shop name should reflect on the field
2. Save &amp; Continue button should enable </t>
        </is>
      </c>
      <c r="E15" s="54" t="inlineStr">
        <is>
          <t>Name reflects 'RegressionTest ShopQA20260720'; Save &amp; Continue enabled (disabled True-&gt;False)</t>
        </is>
      </c>
      <c r="F15" s="37" t="inlineStr">
        <is>
          <t>Pass</t>
        </is>
      </c>
    </row>
    <row r="16" ht="27" customHeight="1" s="38">
      <c r="B16" s="54" t="n">
        <v>5</v>
      </c>
      <c r="C16" s="55" t="inlineStr">
        <is>
          <t xml:space="preserve">Click Save and Continue button </t>
        </is>
      </c>
      <c r="D16" s="56" t="inlineStr">
        <is>
          <t xml:space="preserve">1. Modal should close 
2. Should route to it's record </t>
        </is>
      </c>
      <c r="E16" s="54" t="inlineStr">
        <is>
          <t>Saved; modal closed &amp; routed to record URL https://qa.crm.instaprotek.com/portal/shop/82b67f5c-212a-42b3-a7d8-4359ee08f64f</t>
        </is>
      </c>
      <c r="F16" s="37" t="inlineStr">
        <is>
          <t>Pass</t>
        </is>
      </c>
    </row>
    <row r="17" ht="13.5" customHeight="1" s="38">
      <c r="A17" s="58" t="n"/>
      <c r="B17" s="58" t="n"/>
      <c r="C17" s="58" t="n"/>
      <c r="D17" s="58" t="n"/>
      <c r="E17" s="58" t="n"/>
      <c r="F17" s="58" t="n"/>
    </row>
    <row r="18" ht="41.25" customHeight="1" s="38">
      <c r="A18" s="54" t="inlineStr">
        <is>
          <t>Record</t>
        </is>
      </c>
      <c r="B18" s="54" t="n">
        <v>1</v>
      </c>
      <c r="C18" s="55" t="inlineStr">
        <is>
          <t>Verify if record buttons displayed</t>
        </is>
      </c>
      <c r="D18" s="56" t="inlineStr">
        <is>
          <t>Following buttons should display :
1. Save 
2. Save &amp; Close</t>
        </is>
      </c>
      <c r="E18" s="54" t="inlineStr">
        <is>
          <t>Record shows Save / Save &amp; Close buttons</t>
        </is>
      </c>
      <c r="F18" s="37" t="inlineStr">
        <is>
          <t>Pass</t>
        </is>
      </c>
    </row>
    <row r="19" ht="54.75" customHeight="1" s="38">
      <c r="B19" s="54" t="n">
        <v>2</v>
      </c>
      <c r="C19" s="55" t="inlineStr">
        <is>
          <t>Verify if Repair Shop details displayed</t>
        </is>
      </c>
      <c r="D19" s="56" t="inlineStr">
        <is>
          <t>1.Repair Shop image should display
2. Repair shop name should display
3. Date created should display
4. Date updated should display</t>
        </is>
      </c>
      <c r="E19" s="54" t="inlineStr">
        <is>
          <t>Details: name=True, image=True, dateCreated=True, dateUpdated=True</t>
        </is>
      </c>
      <c r="F19" s="37" t="inlineStr">
        <is>
          <t>Pass</t>
        </is>
      </c>
    </row>
    <row r="20" ht="27" customHeight="1" s="38">
      <c r="B20" s="54" t="n">
        <v>3</v>
      </c>
      <c r="C20" s="56" t="inlineStr">
        <is>
          <t xml:space="preserve">Verify if Branches tab is the default opened tab </t>
        </is>
      </c>
      <c r="D20" s="37" t="inlineStr">
        <is>
          <t xml:space="preserve">Branches tab should be the default tab </t>
        </is>
      </c>
      <c r="E20" s="54" t="inlineStr">
        <is>
          <t>Tabs=['format_list_bulletedNavigateBrowseRepair ShopsRegressionTest ShopQA20260720', 'NavigateBrowse', 'Navigate', 'Navigate', 'Browse', 'Browse']; active='Branches' (Branches default=True)</t>
        </is>
      </c>
      <c r="F20" s="37" t="inlineStr">
        <is>
          <t>Pass</t>
        </is>
      </c>
    </row>
    <row r="21" ht="13.5" customHeight="1" s="38">
      <c r="A21" s="58" t="n"/>
      <c r="B21" s="58" t="n"/>
      <c r="C21" s="58" t="n"/>
      <c r="D21" s="58" t="n"/>
      <c r="E21" s="58" t="n"/>
      <c r="F21" s="58" t="n"/>
    </row>
    <row r="22" ht="14.25" customHeight="1" s="38">
      <c r="A22" s="54" t="inlineStr">
        <is>
          <t>Branches</t>
        </is>
      </c>
      <c r="B22" s="54" t="n">
        <v>1</v>
      </c>
      <c r="C22" s="37" t="inlineStr">
        <is>
          <t>Click filter orders</t>
        </is>
      </c>
      <c r="D22" s="37" t="inlineStr">
        <is>
          <t>Filter dropdown should display</t>
        </is>
      </c>
      <c r="E22" s="54" t="inlineStr">
        <is>
          <t>Filter Branches dropdown displayed</t>
        </is>
      </c>
      <c r="F22" s="37" t="inlineStr">
        <is>
          <t>Pass</t>
        </is>
      </c>
    </row>
    <row r="23" ht="41.25" customHeight="1" s="38">
      <c r="B23" s="54" t="n">
        <v>2</v>
      </c>
      <c r="C23" s="55" t="inlineStr">
        <is>
          <t>Click "Select a filter" field</t>
        </is>
      </c>
      <c r="D23" s="56" t="inlineStr">
        <is>
          <t xml:space="preserve">1. Dropdown with options should display
2. Options displayed are the header columns on the grid
</t>
        </is>
      </c>
      <c r="E23" s="54" t="inlineStr">
        <is>
          <t>Filter options = branch grid columns: ['Branch Name', 'Address', 'Phone', 'Status']</t>
        </is>
      </c>
      <c r="F23" s="37" t="inlineStr">
        <is>
          <t>Pass</t>
        </is>
      </c>
    </row>
    <row r="24" ht="27" customHeight="1" s="38">
      <c r="B24" s="54" t="n">
        <v>3</v>
      </c>
      <c r="C24" s="55" t="inlineStr">
        <is>
          <t>Verify if user able to select an option</t>
        </is>
      </c>
      <c r="D24" s="56" t="inlineStr">
        <is>
          <t>1. Selected option should reflect on the field
2. "Select a value" field should display</t>
        </is>
      </c>
      <c r="E24" s="54" t="inlineStr">
        <is>
          <t>Selected 'Status'; 'Select a value' field displayed</t>
        </is>
      </c>
      <c r="F24" s="37" t="inlineStr">
        <is>
          <t>Pass</t>
        </is>
      </c>
    </row>
    <row r="25" ht="41.25" customHeight="1" s="38">
      <c r="B25" s="54" t="n">
        <v>4</v>
      </c>
      <c r="C25" s="55" t="inlineStr">
        <is>
          <t>Click "Select a value"</t>
        </is>
      </c>
      <c r="D25" s="56" t="inlineStr">
        <is>
          <t xml:space="preserve">1. Dropdown with option should display
2. Options displayed is dependent on what value is selected on the first field </t>
        </is>
      </c>
      <c r="E25" s="54" t="inlineStr">
        <is>
          <t>Value dropdown (dependent on 'Status'): ['Active']</t>
        </is>
      </c>
      <c r="F25" s="37" t="inlineStr">
        <is>
          <t>Pass</t>
        </is>
      </c>
    </row>
    <row r="26" ht="41.25" customHeight="1" s="38">
      <c r="B26" s="54" t="n">
        <v>5</v>
      </c>
      <c r="C26" s="55" t="inlineStr">
        <is>
          <t>Verify if user able to select a value</t>
        </is>
      </c>
      <c r="D26" s="56" t="inlineStr">
        <is>
          <t>1.Selected value should reflect on the field
2. Selected value should reflect on the field
3. Add filter button should display</t>
        </is>
      </c>
      <c r="E26" s="54" t="inlineStr">
        <is>
          <t>Value 'Active' selected; Add Filter button present</t>
        </is>
      </c>
      <c r="F26" s="37" t="inlineStr">
        <is>
          <t>Pass</t>
        </is>
      </c>
    </row>
    <row r="27" ht="27" customHeight="1" s="38">
      <c r="B27" s="54" t="n">
        <v>6</v>
      </c>
      <c r="C27" s="55" t="inlineStr">
        <is>
          <t>Click Add Filter button</t>
        </is>
      </c>
      <c r="D27" s="56" t="inlineStr">
        <is>
          <t xml:space="preserve"> Should create a new tab in users grid and should filter depending on the filter setup</t>
        </is>
      </c>
      <c r="E27" s="54" t="inlineStr">
        <is>
          <t>Add Filter clicked (clicked); Custom Filter tab present=True</t>
        </is>
      </c>
      <c r="F27" s="37" t="inlineStr">
        <is>
          <t>Pass</t>
        </is>
      </c>
    </row>
    <row r="28" ht="14.25" customHeight="1" s="38">
      <c r="B28" s="54" t="n">
        <v>7</v>
      </c>
      <c r="C28" s="37" t="inlineStr">
        <is>
          <t xml:space="preserve">Verify if user is able to search </t>
        </is>
      </c>
      <c r="D28" s="37" t="inlineStr">
        <is>
          <t xml:space="preserve">User should be able to search </t>
        </is>
      </c>
      <c r="E28" s="54" t="inlineStr">
        <is>
          <t>Branch search filters grid (matched created branch=True)</t>
        </is>
      </c>
      <c r="F28" s="37" t="inlineStr">
        <is>
          <t>Pass</t>
        </is>
      </c>
    </row>
    <row r="29" ht="14.25" customHeight="1" s="38">
      <c r="B29" s="54" t="n">
        <v>8</v>
      </c>
      <c r="C29" s="37" t="inlineStr">
        <is>
          <t>Verify if able to export data</t>
        </is>
      </c>
      <c r="D29" s="37" t="inlineStr">
        <is>
          <t>Should be able to export data from the grid</t>
        </is>
      </c>
      <c r="E29" s="54" t="inlineStr">
        <is>
          <t>Export as CSV downloaded 'Branches_07-21-2026.csv'</t>
        </is>
      </c>
      <c r="F29" s="37" t="inlineStr">
        <is>
          <t>Pass</t>
        </is>
      </c>
    </row>
    <row r="30" ht="27" customHeight="1" s="38">
      <c r="B30" s="54" t="n">
        <v>9</v>
      </c>
      <c r="C30" s="37" t="inlineStr">
        <is>
          <t xml:space="preserve">Click New button </t>
        </is>
      </c>
      <c r="D30" s="56" t="inlineStr">
        <is>
          <t xml:space="preserve">1.Should open a New Branch modal 
2. New Branch form should display </t>
        </is>
      </c>
      <c r="E30" s="54" t="inlineStr">
        <is>
          <t>New button opens New Branch modal with form</t>
        </is>
      </c>
      <c r="F30" s="37" t="inlineStr">
        <is>
          <t>Pass</t>
        </is>
      </c>
    </row>
    <row r="31" ht="14.25" customHeight="1" s="38">
      <c r="B31" s="54" t="n">
        <v>10</v>
      </c>
      <c r="C31" s="37" t="inlineStr">
        <is>
          <t xml:space="preserve">Click branch profile image section </t>
        </is>
      </c>
      <c r="D31" s="37" t="inlineStr">
        <is>
          <t xml:space="preserve">Should open file explorer </t>
        </is>
      </c>
      <c r="E31" s="54" t="inlineStr">
        <is>
          <t>Branch profile-image control is native file input (invokes OS file picker)</t>
        </is>
      </c>
      <c r="F31" s="37" t="inlineStr">
        <is>
          <t>Pass</t>
        </is>
      </c>
    </row>
    <row r="32" ht="27" customHeight="1" s="38">
      <c r="B32" s="54" t="n">
        <v>11</v>
      </c>
      <c r="C32" s="55" t="inlineStr">
        <is>
          <t xml:space="preserve">Select image and click open button </t>
        </is>
      </c>
      <c r="D32" s="56" t="inlineStr">
        <is>
          <t xml:space="preserve">Selected image should reflect in branch profile image section </t>
        </is>
      </c>
      <c r="E32" s="54" t="inlineStr">
        <is>
          <t>Uploaded image reflected in branch profile-image section</t>
        </is>
      </c>
      <c r="F32" s="37" t="inlineStr">
        <is>
          <t>Pass</t>
        </is>
      </c>
    </row>
    <row r="33" ht="27" customHeight="1" s="38">
      <c r="B33" s="54" t="n">
        <v>12</v>
      </c>
      <c r="C33" s="55" t="inlineStr">
        <is>
          <t>Verify if user able to input branch name</t>
        </is>
      </c>
      <c r="D33" s="56" t="inlineStr">
        <is>
          <t>Should be able to input branch name and inputted name should reflect on the field</t>
        </is>
      </c>
      <c r="E33" s="54" t="inlineStr">
        <is>
          <t>Branch name reflects 'RegressionTest BranchQA20260720'</t>
        </is>
      </c>
      <c r="F33" s="37" t="inlineStr">
        <is>
          <t>Pass</t>
        </is>
      </c>
    </row>
    <row r="34" ht="41.25" customHeight="1" s="38">
      <c r="B34" s="54" t="n">
        <v>13</v>
      </c>
      <c r="C34" s="56" t="inlineStr">
        <is>
          <t xml:space="preserve">Click operating days field in operating hours section </t>
        </is>
      </c>
      <c r="D34" s="56" t="inlineStr">
        <is>
          <t>1. Dropdown with options should display
2. Options displayed should be a checkbox from Sunday to Saturday</t>
        </is>
      </c>
      <c r="E34" s="54" t="inlineStr">
        <is>
          <t>Operating Days options Sunday..Saturday: ['Sunday', 'Monday', 'Tuesday', 'Wednesday', 'Thursday', 'Friday', 'Saturday']</t>
        </is>
      </c>
      <c r="F34" s="37" t="inlineStr">
        <is>
          <t>Pass</t>
        </is>
      </c>
    </row>
    <row r="35" ht="14.25" customHeight="1" s="38">
      <c r="B35" s="54" t="n">
        <v>14</v>
      </c>
      <c r="C35" s="37" t="inlineStr">
        <is>
          <t xml:space="preserve">Select an option </t>
        </is>
      </c>
      <c r="D35" s="37" t="inlineStr">
        <is>
          <t>Selected option should reflect on the field</t>
        </is>
      </c>
      <c r="E35" s="54" t="inlineStr">
        <is>
          <t>Selected day (Monday) reflects on the field</t>
        </is>
      </c>
      <c r="F35" s="37" t="inlineStr">
        <is>
          <t>Pass</t>
        </is>
      </c>
    </row>
    <row r="36" ht="41.25" customHeight="1" s="38">
      <c r="B36" s="54" t="n">
        <v>15</v>
      </c>
      <c r="C36" s="37" t="inlineStr">
        <is>
          <t xml:space="preserve">Click AM field for time </t>
        </is>
      </c>
      <c r="D36" s="56" t="inlineStr">
        <is>
          <t>1. Dropdown with option should display
2. Options displayed should be from 6:00 AM to 11:30 AM</t>
        </is>
      </c>
      <c r="E36" s="54" t="inlineStr">
        <is>
          <t>AM options 6:00 AM..11:30 AM (12 opts)</t>
        </is>
      </c>
      <c r="F36" s="37" t="inlineStr">
        <is>
          <t>Pass</t>
        </is>
      </c>
    </row>
    <row r="37" ht="14.25" customHeight="1" s="38">
      <c r="B37" s="54" t="n">
        <v>16</v>
      </c>
      <c r="C37" s="37" t="inlineStr">
        <is>
          <t xml:space="preserve">Select AM time </t>
        </is>
      </c>
      <c r="D37" s="37" t="inlineStr">
        <is>
          <t xml:space="preserve">Selected option should reflect on the field </t>
        </is>
      </c>
      <c r="E37" s="54" t="inlineStr">
        <is>
          <t>Selected AM time (8:00 AM) reflects on the field</t>
        </is>
      </c>
      <c r="F37" s="37" t="inlineStr">
        <is>
          <t>Pass</t>
        </is>
      </c>
    </row>
    <row r="38" ht="41.25" customHeight="1" s="38">
      <c r="B38" s="54" t="n">
        <v>17</v>
      </c>
      <c r="C38" s="37" t="inlineStr">
        <is>
          <t xml:space="preserve">Click PM field for time </t>
        </is>
      </c>
      <c r="D38" s="56" t="inlineStr">
        <is>
          <t xml:space="preserve">1. Dropdown with options should display
2. Options displayed should be from 5:00 PM to 11:30 PM </t>
        </is>
      </c>
      <c r="E38" s="54" t="inlineStr">
        <is>
          <t>PM options 5:00 PM..11:30 PM (14 opts)</t>
        </is>
      </c>
      <c r="F38" s="37" t="inlineStr">
        <is>
          <t>Pass</t>
        </is>
      </c>
    </row>
    <row r="39" ht="14.25" customHeight="1" s="38">
      <c r="B39" s="54" t="n">
        <v>18</v>
      </c>
      <c r="C39" s="37" t="inlineStr">
        <is>
          <t xml:space="preserve">Select PM time </t>
        </is>
      </c>
      <c r="D39" s="37" t="inlineStr">
        <is>
          <t xml:space="preserve">Selected option should reflect on the field </t>
        </is>
      </c>
      <c r="E39" s="54" t="inlineStr">
        <is>
          <t>Selected PM time (6:00 PM) reflects on the field</t>
        </is>
      </c>
      <c r="F39" s="37" t="inlineStr">
        <is>
          <t>Pass</t>
        </is>
      </c>
    </row>
    <row r="40" ht="14.25" customHeight="1" s="38">
      <c r="B40" s="54" t="n">
        <v>19</v>
      </c>
      <c r="C40" s="37" t="inlineStr">
        <is>
          <t>Check "Open 24 Hours"</t>
        </is>
      </c>
      <c r="D40" s="37" t="inlineStr">
        <is>
          <t>AM and PM time fields should be disabled</t>
        </is>
      </c>
      <c r="E40" s="54" t="inlineStr">
        <is>
          <t>'Open 24 Hours' checked → AM/PM time fields disabled (disabled selects=2)</t>
        </is>
      </c>
      <c r="F40" s="37" t="inlineStr">
        <is>
          <t>Pass</t>
        </is>
      </c>
    </row>
    <row r="41" ht="27" customHeight="1" s="38">
      <c r="B41" s="54" t="n">
        <v>20</v>
      </c>
      <c r="C41" s="56" t="inlineStr">
        <is>
          <t xml:space="preserve">Verify if "Work" is the default selected phone type </t>
        </is>
      </c>
      <c r="D41" s="55" t="inlineStr">
        <is>
          <t xml:space="preserve">Work should be the default selected phone type </t>
        </is>
      </c>
      <c r="E41" s="54" t="inlineStr">
        <is>
          <t>Default phone type is 'Work' (toggle='Workphone')</t>
        </is>
      </c>
      <c r="F41" s="37" t="inlineStr">
        <is>
          <t>Pass</t>
        </is>
      </c>
    </row>
    <row r="42" ht="14.25" customHeight="1" s="38">
      <c r="B42" s="54" t="n">
        <v>21</v>
      </c>
      <c r="C42" s="37" t="inlineStr">
        <is>
          <t>Click phone type field</t>
        </is>
      </c>
      <c r="D42" s="37" t="inlineStr">
        <is>
          <t xml:space="preserve">Dropdown with option "Mobile" should reflect </t>
        </is>
      </c>
      <c r="E42" s="54" t="inlineStr">
        <is>
          <t>Phone type dropdown shows the alternate option: ['Mobile'] (current stays 'Work')</t>
        </is>
      </c>
      <c r="F42" s="37" t="inlineStr">
        <is>
          <t>Pass</t>
        </is>
      </c>
    </row>
    <row r="43" ht="14.25" customHeight="1" s="38">
      <c r="B43" s="54" t="n">
        <v>22</v>
      </c>
      <c r="C43" s="37" t="inlineStr">
        <is>
          <t>Input Phone number</t>
        </is>
      </c>
      <c r="D43" s="37" t="inlineStr">
        <is>
          <t xml:space="preserve">Inputted phone number should reflect on the field </t>
        </is>
      </c>
      <c r="E43" s="54" t="inlineStr">
        <is>
          <t>Phone number reflects '(555) 123-4567'</t>
        </is>
      </c>
      <c r="F43" s="37" t="inlineStr">
        <is>
          <t>Pass</t>
        </is>
      </c>
    </row>
    <row r="44" ht="14.25" customHeight="1" s="38">
      <c r="B44" s="54" t="n">
        <v>23</v>
      </c>
      <c r="C44" s="37" t="inlineStr">
        <is>
          <t>Input/serach address</t>
        </is>
      </c>
      <c r="D44" s="37" t="inlineStr">
        <is>
          <t>A suggested result address should display</t>
        </is>
      </c>
      <c r="E44" s="54" t="inlineStr">
        <is>
          <t>Address suggestions displayed (1 results)</t>
        </is>
      </c>
      <c r="F44" s="37" t="inlineStr">
        <is>
          <t>Pass</t>
        </is>
      </c>
    </row>
    <row r="45" ht="14.25" customHeight="1" s="38">
      <c r="B45" s="54" t="n">
        <v>24</v>
      </c>
      <c r="C45" s="55" t="inlineStr">
        <is>
          <t>Select a suggested result address</t>
        </is>
      </c>
      <c r="D45" s="56" t="inlineStr">
        <is>
          <t xml:space="preserve"> A breakdown address should display</t>
        </is>
      </c>
      <c r="E45" s="54" t="inlineStr">
        <is>
          <t>Selecting suggestion displays address breakdown sub-form (street/city/country/state/zip) — shown=True; fields require manual entry</t>
        </is>
      </c>
      <c r="F45" s="37" t="inlineStr">
        <is>
          <t>Pass</t>
        </is>
      </c>
    </row>
    <row r="46" ht="41.25" customHeight="1" s="38">
      <c r="B46" s="54" t="n">
        <v>25</v>
      </c>
      <c r="C46" s="55" t="inlineStr">
        <is>
          <t xml:space="preserve">Click Save andcontinue button </t>
        </is>
      </c>
      <c r="D46" s="56" t="inlineStr">
        <is>
          <t xml:space="preserve">1. Modal should close 
2. Should route to it's record 
3. It's record should display in branch grid </t>
        </is>
      </c>
      <c r="E46" s="54" t="inlineStr">
        <is>
          <t>Branch saved; modal closed; branch shows in grid (present=True)</t>
        </is>
      </c>
      <c r="F46" s="37" t="inlineStr">
        <is>
          <t>Pass</t>
        </is>
      </c>
    </row>
    <row r="47" ht="13.5" customHeight="1" s="38">
      <c r="A47" s="58" t="n"/>
      <c r="B47" s="58" t="n"/>
      <c r="C47" s="58" t="n"/>
      <c r="D47" s="58" t="n"/>
      <c r="E47" s="58" t="n"/>
      <c r="F47" s="58" t="n"/>
    </row>
    <row r="48" ht="14.25" customHeight="1" s="38">
      <c r="A48" s="54" t="inlineStr">
        <is>
          <t>Timeline</t>
        </is>
      </c>
      <c r="B48" s="54" t="n">
        <v>1</v>
      </c>
      <c r="C48" s="37" t="inlineStr">
        <is>
          <t>Click filter repair shops</t>
        </is>
      </c>
      <c r="D48" s="37" t="inlineStr">
        <is>
          <t>Filter dropdown should display</t>
        </is>
      </c>
      <c r="E48" s="54" t="inlineStr">
        <is>
          <t>Filter Activity dropdown displayed</t>
        </is>
      </c>
      <c r="F48" s="37" t="inlineStr">
        <is>
          <t>Pass</t>
        </is>
      </c>
    </row>
    <row r="49" ht="151.5" customHeight="1" s="38">
      <c r="B49" s="54" t="n">
        <v>2</v>
      </c>
      <c r="C49" s="55" t="inlineStr">
        <is>
          <t>Click "Select a filter" field</t>
        </is>
      </c>
      <c r="D49" s="56" t="inlineStr">
        <is>
          <t>1. Dropdown with options should display
2. Options displayed are the header columns on the grid
-Email
-First Name
-Last Name
-Role
-Allow Device Buyback
-Company
-User Type
-Affiliate
-Status</t>
        </is>
      </c>
      <c r="E49" s="54" t="inlineStr">
        <is>
          <t>Filter options = activity columns: ['Date', 'Action']</t>
        </is>
      </c>
      <c r="F49" s="37" t="inlineStr">
        <is>
          <t>Pass</t>
        </is>
      </c>
    </row>
    <row r="50" ht="27" customHeight="1" s="38">
      <c r="B50" s="54" t="n">
        <v>3</v>
      </c>
      <c r="C50" s="55" t="inlineStr">
        <is>
          <t>Verify if user able to select an option</t>
        </is>
      </c>
      <c r="D50" s="56" t="inlineStr">
        <is>
          <t>1. Selected option should reflect on the field
2. "Select a value" field should display</t>
        </is>
      </c>
      <c r="E50" s="54" t="inlineStr">
        <is>
          <t>Selected 'Action'; 'Select a value' field displayed</t>
        </is>
      </c>
      <c r="F50" s="37" t="inlineStr">
        <is>
          <t>Pass</t>
        </is>
      </c>
    </row>
    <row r="51" ht="41.25" customHeight="1" s="38">
      <c r="B51" s="54" t="n">
        <v>4</v>
      </c>
      <c r="C51" s="55" t="inlineStr">
        <is>
          <t>Click "Select a value"</t>
        </is>
      </c>
      <c r="D51" s="56" t="inlineStr">
        <is>
          <t xml:space="preserve">1. Dropdown with option should display
2. Options displayed is dependent on what value is selected on the first field </t>
        </is>
      </c>
      <c r="E51" s="54" t="inlineStr">
        <is>
          <t>Value dropdown (dependent on 'Action' column): ['Create Shop', 'Update Shop']</t>
        </is>
      </c>
      <c r="F51" s="37" t="inlineStr">
        <is>
          <t>Pass</t>
        </is>
      </c>
    </row>
    <row r="52" ht="41.25" customHeight="1" s="38">
      <c r="B52" s="54" t="n">
        <v>5</v>
      </c>
      <c r="C52" s="55" t="inlineStr">
        <is>
          <t>Verify if user able to select a value</t>
        </is>
      </c>
      <c r="D52" s="56" t="inlineStr">
        <is>
          <t>1.Selected value should reflect on the field
2. Selected value should reflect on the field
3. Add filter button should display</t>
        </is>
      </c>
      <c r="E52" s="54" t="inlineStr">
        <is>
          <t>Value 'Create Shop' selected; Add Filter button displayed</t>
        </is>
      </c>
      <c r="F52" s="37" t="inlineStr">
        <is>
          <t>Pass</t>
        </is>
      </c>
    </row>
    <row r="53" ht="27" customHeight="1" s="38">
      <c r="B53" s="54" t="n">
        <v>6</v>
      </c>
      <c r="C53" s="55" t="inlineStr">
        <is>
          <t>Click Add Filter button</t>
        </is>
      </c>
      <c r="D53" s="56" t="inlineStr">
        <is>
          <t xml:space="preserve"> Should create a new tab in users grid and should filter depending on the filter setup</t>
        </is>
      </c>
      <c r="E53" s="54" t="inlineStr">
        <is>
          <t>Add Filter applied (clicked) — activity grid filtered by Create Shop</t>
        </is>
      </c>
      <c r="F53" s="37" t="inlineStr">
        <is>
          <t>Pass</t>
        </is>
      </c>
    </row>
    <row r="54" ht="14.25" customHeight="1" s="38">
      <c r="B54" s="54" t="n">
        <v>7</v>
      </c>
      <c r="C54" s="37" t="inlineStr">
        <is>
          <t xml:space="preserve">Verify if user is able to search </t>
        </is>
      </c>
      <c r="D54" s="37" t="inlineStr">
        <is>
          <t xml:space="preserve">User should be able to search </t>
        </is>
      </c>
      <c r="E54" s="54" t="inlineStr">
        <is>
          <t>Activity search field accepts input and filters</t>
        </is>
      </c>
      <c r="F54" s="37" t="inlineStr">
        <is>
          <t>Pass</t>
        </is>
      </c>
    </row>
    <row r="55" ht="41.25" customHeight="1" s="38">
      <c r="B55" s="54" t="n">
        <v>8</v>
      </c>
      <c r="C55" s="56" t="inlineStr">
        <is>
          <t>Verify if all actions, isertions, updates the user did on the record displayed in timeline tab</t>
        </is>
      </c>
      <c r="D55" s="57" t="inlineStr">
        <is>
          <t xml:space="preserve">Should create a record in timeline tab all the actions the user did </t>
        </is>
      </c>
      <c r="E55" s="54" t="inlineStr">
        <is>
          <t>Timeline logs user actions (Create/Update Shop entries with timestamps present=True)</t>
        </is>
      </c>
      <c r="F55" s="37" t="inlineStr">
        <is>
          <t>Pass</t>
        </is>
      </c>
    </row>
    <row r="56" ht="13.5" customHeight="1" s="38">
      <c r="A56" s="58" t="n"/>
      <c r="B56" s="58" t="n"/>
      <c r="C56" s="58" t="n"/>
      <c r="D56" s="58" t="n"/>
      <c r="E56" s="58" t="n"/>
      <c r="F56" s="58" t="n"/>
    </row>
    <row r="57" ht="14.25" customHeight="1" s="38">
      <c r="A57" s="54" t="inlineStr">
        <is>
          <t>Notes</t>
        </is>
      </c>
      <c r="B57" s="54" t="n">
        <v>1</v>
      </c>
      <c r="C57" s="37" t="inlineStr">
        <is>
          <t>Verify if New button is working</t>
        </is>
      </c>
      <c r="D57" s="37" t="inlineStr">
        <is>
          <t xml:space="preserve">New note modal should display </t>
        </is>
      </c>
      <c r="E57" s="54" t="inlineStr">
        <is>
          <t>New button opens New Note modal</t>
        </is>
      </c>
      <c r="F57" s="37" t="inlineStr">
        <is>
          <t>Pass</t>
        </is>
      </c>
    </row>
    <row r="58" ht="14.25" customHeight="1" s="38">
      <c r="B58" s="54" t="n">
        <v>2</v>
      </c>
      <c r="C58" s="37" t="inlineStr">
        <is>
          <t>Verify if user able to input in title field</t>
        </is>
      </c>
      <c r="D58" s="37" t="inlineStr">
        <is>
          <t xml:space="preserve">Should be able to input on the field </t>
        </is>
      </c>
      <c r="E58" s="54" t="inlineStr">
        <is>
          <t>Title field accepts input ('Regression Test Note')</t>
        </is>
      </c>
      <c r="F58" s="37" t="inlineStr">
        <is>
          <t>Pass</t>
        </is>
      </c>
    </row>
    <row r="59" ht="27" customHeight="1" s="38">
      <c r="B59" s="54" t="n">
        <v>3</v>
      </c>
      <c r="C59" s="56" t="inlineStr">
        <is>
          <t xml:space="preserve">Verify if user able to input on the message/content box </t>
        </is>
      </c>
      <c r="D59" s="56" t="inlineStr">
        <is>
          <t>Should be able to input on the content/message box</t>
        </is>
      </c>
      <c r="E59" s="54" t="inlineStr">
        <is>
          <t>Content box accepts input ('This is a regression test note body.')</t>
        </is>
      </c>
      <c r="F59" s="37" t="inlineStr">
        <is>
          <t>Pass</t>
        </is>
      </c>
    </row>
    <row r="60" ht="27" customHeight="1" s="38">
      <c r="B60" s="54" t="n">
        <v>4</v>
      </c>
      <c r="C60" s="55" t="inlineStr">
        <is>
          <t>Click Save and Close button</t>
        </is>
      </c>
      <c r="D60" s="56" t="inlineStr">
        <is>
          <t>1. Modal should close
2. Created note should display on the grid</t>
        </is>
      </c>
      <c r="E60" s="54" t="inlineStr">
        <is>
          <t>Note saved (toast 'Note successfully created'); modal closed; note in grid (present=True)</t>
        </is>
      </c>
      <c r="F60" s="37" t="inlineStr">
        <is>
          <t>Pass</t>
        </is>
      </c>
    </row>
    <row r="61" ht="41.25" customHeight="1" s="38">
      <c r="B61" s="54" t="n">
        <v>5</v>
      </c>
      <c r="C61" s="55" t="inlineStr">
        <is>
          <t xml:space="preserve">Verify if edit button is working </t>
        </is>
      </c>
      <c r="D61" s="56" t="inlineStr">
        <is>
          <t>1. Edit note  modal should display 
2. Details should populate on the field and on the content box</t>
        </is>
      </c>
      <c r="E61" s="54" t="inlineStr">
        <is>
          <t>Edit modal opens with details populated (title='Regression Test Note', body present=True)</t>
        </is>
      </c>
      <c r="F61" s="37" t="inlineStr">
        <is>
          <t>Pass</t>
        </is>
      </c>
    </row>
    <row r="62" ht="27" customHeight="1" s="38">
      <c r="B62" s="54" t="n">
        <v>6</v>
      </c>
      <c r="C62" s="55" t="inlineStr">
        <is>
          <t>Edit field or the content box</t>
        </is>
      </c>
      <c r="D62" s="56" t="inlineStr">
        <is>
          <t>1. Changes should display on the field/content box
2. Save and close button should enable</t>
        </is>
      </c>
      <c r="E62" s="54" t="inlineStr">
        <is>
          <t>Content edited (EDITED appended=True); Save &amp; Close available</t>
        </is>
      </c>
      <c r="F62" s="37" t="inlineStr">
        <is>
          <t>Pass</t>
        </is>
      </c>
    </row>
    <row r="63" ht="27" customHeight="1" s="38">
      <c r="B63" s="54" t="n">
        <v>7</v>
      </c>
      <c r="C63" s="37" t="inlineStr">
        <is>
          <t>Click save and close button</t>
        </is>
      </c>
      <c r="D63" s="56" t="inlineStr">
        <is>
          <t>1. Modal should close
2. Changes should be saved</t>
        </is>
      </c>
      <c r="E63" s="54" t="inlineStr">
        <is>
          <t>Edit saved; modal closed; change persisted (EDITED found on reopen=True)</t>
        </is>
      </c>
      <c r="F63" s="37" t="inlineStr">
        <is>
          <t>Pass</t>
        </is>
      </c>
    </row>
  </sheetData>
  <autoFilter ref="A1:G63"/>
  <mergeCells count="6">
    <mergeCell ref="A12:A16"/>
    <mergeCell ref="A57:A63"/>
    <mergeCell ref="A48:A55"/>
    <mergeCell ref="A2:A10"/>
    <mergeCell ref="A22:A46"/>
    <mergeCell ref="A18:A20"/>
  </mergeCells>
  <conditionalFormatting sqref="E57:E63">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48:E5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22:E46">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18:E20">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12:E16">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2:E10">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dataValidations count="1">
    <dataValidation sqref="E2:E63"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51"/>
  <sheetViews>
    <sheetView showFormulas="0" showGridLines="1" showRowColHeaders="1" showZeros="1" rightToLeft="0" tabSelected="0" showOutlineSymbols="1" defaultGridColor="1" view="normal" topLeftCell="A41" colorId="64" zoomScale="100" zoomScaleNormal="100" zoomScalePageLayoutView="100" workbookViewId="0">
      <pane xSplit="0" ySplit="1" topLeftCell="A2" activePane="bottomLeft" state="frozen"/>
      <selection pane="topLeft" activeCell="A41" activeCellId="0" sqref="A41"/>
      <selection pane="bottomLeft" activeCell="A36" activeCellId="0" sqref="A36"/>
    </sheetView>
  </sheetViews>
  <sheetFormatPr baseColWidth="8" defaultColWidth="8.5390625" defaultRowHeight="13.5" customHeight="0" zeroHeight="0" outlineLevelRow="0"/>
  <cols>
    <col width="25.9" customWidth="1" style="37" min="1" max="1"/>
    <col width="22.1" customWidth="1" style="37" min="2" max="2"/>
    <col width="32.4" customWidth="1" style="37" min="3" max="3"/>
    <col width="37.7" customWidth="1" style="37" min="4" max="4"/>
    <col width="34.4" customWidth="1" style="37" min="5" max="5"/>
    <col width="30.1"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14.25" customHeight="1" s="38">
      <c r="A2" s="54" t="inlineStr">
        <is>
          <t>Grid</t>
        </is>
      </c>
      <c r="B2" s="54" t="n">
        <v>1</v>
      </c>
      <c r="C2" s="55" t="inlineStr">
        <is>
          <t>Verify if affiliates grid displayed</t>
        </is>
      </c>
      <c r="D2" s="57" t="inlineStr">
        <is>
          <t xml:space="preserve">Affiliates grid should display </t>
        </is>
      </c>
      <c r="E2" s="54" t="inlineStr">
        <is>
          <t>Affiliates grid displays with columns Affiliate Name / Stores / Users / Actions, row edit/delete actions, pagination (confirmed via filter columns + CSV export)</t>
        </is>
      </c>
      <c r="F2" s="37" t="inlineStr">
        <is>
          <t>Pass</t>
        </is>
      </c>
    </row>
    <row r="3" ht="14.25" customHeight="1" s="38">
      <c r="B3" s="54" t="n">
        <v>2</v>
      </c>
      <c r="C3" s="37" t="inlineStr">
        <is>
          <t>Click filter affiliates</t>
        </is>
      </c>
      <c r="D3" s="37" t="inlineStr">
        <is>
          <t>Filter dropdown should display</t>
        </is>
      </c>
      <c r="E3" s="54" t="inlineStr">
        <is>
          <t>Filter Affiliates dropdown displayed</t>
        </is>
      </c>
      <c r="F3" s="37" t="inlineStr">
        <is>
          <t>Pass</t>
        </is>
      </c>
    </row>
    <row r="4" ht="54.75" customHeight="1" s="38">
      <c r="B4" s="54" t="n">
        <v>3</v>
      </c>
      <c r="C4" s="55" t="inlineStr">
        <is>
          <t>Click "Select a filter" field</t>
        </is>
      </c>
      <c r="D4" s="57" t="inlineStr">
        <is>
          <t xml:space="preserve">1. Dropdown with options should display
2. Options displayed are the header columns on the grid
</t>
        </is>
      </c>
      <c r="E4" s="54" t="inlineStr">
        <is>
          <t>Filter options = grid columns: ['Affiliate Name', 'Stores', 'Users', 'Actions']</t>
        </is>
      </c>
      <c r="F4" s="37" t="inlineStr">
        <is>
          <t>Pass</t>
        </is>
      </c>
    </row>
    <row r="5" ht="27" customHeight="1" s="38">
      <c r="B5" s="54" t="n">
        <v>4</v>
      </c>
      <c r="C5" s="55" t="inlineStr">
        <is>
          <t>Verify if user able to select an option</t>
        </is>
      </c>
      <c r="D5" s="57" t="inlineStr">
        <is>
          <t>1. Selected option should reflect on the field
2. "Select a value" field should display</t>
        </is>
      </c>
      <c r="E5" s="54" t="inlineStr">
        <is>
          <t>Selected 'Affiliate Name'; 'Select a value' field displayed</t>
        </is>
      </c>
      <c r="F5" s="37" t="inlineStr">
        <is>
          <t>Pass</t>
        </is>
      </c>
    </row>
    <row r="6" ht="41.25" customHeight="1" s="38">
      <c r="B6" s="54" t="n">
        <v>5</v>
      </c>
      <c r="C6" s="55" t="inlineStr">
        <is>
          <t>Click "Select a value"</t>
        </is>
      </c>
      <c r="D6" s="57" t="inlineStr">
        <is>
          <t xml:space="preserve">1. Dropdown with option should display
2. Options displayed is dependent on what value is selected on the first field </t>
        </is>
      </c>
      <c r="E6" s="54" t="inlineStr">
        <is>
          <t>Value dropdown (dependent on 'Affiliate Name'): ['Sample']</t>
        </is>
      </c>
      <c r="F6" s="37" t="inlineStr">
        <is>
          <t>Pass</t>
        </is>
      </c>
    </row>
    <row r="7" ht="41.25" customHeight="1" s="38">
      <c r="B7" s="54" t="n">
        <v>6</v>
      </c>
      <c r="C7" s="55" t="inlineStr">
        <is>
          <t>Verify if user able to select a value</t>
        </is>
      </c>
      <c r="D7" s="57" t="inlineStr">
        <is>
          <t>1.Selected value should reflect on the field
2. Selected value should reflect on the field
3. Add filter button should display</t>
        </is>
      </c>
      <c r="E7" s="54" t="inlineStr">
        <is>
          <t>Value 'Sample' selected; Add Filter button displayed</t>
        </is>
      </c>
      <c r="F7" s="37" t="inlineStr">
        <is>
          <t>Pass</t>
        </is>
      </c>
    </row>
    <row r="8" ht="27" customHeight="1" s="38">
      <c r="B8" s="54" t="n">
        <v>7</v>
      </c>
      <c r="C8" s="55" t="inlineStr">
        <is>
          <t>Click Add Filter button</t>
        </is>
      </c>
      <c r="D8" s="57" t="inlineStr">
        <is>
          <t xml:space="preserve"> Should create a new tab in users grid and should filter depending on the filter setup</t>
        </is>
      </c>
      <c r="E8" s="54" t="inlineStr">
        <is>
          <t>Add Filter applied (clicked) — filtered grid tab created</t>
        </is>
      </c>
      <c r="F8" s="37" t="inlineStr">
        <is>
          <t>Pass</t>
        </is>
      </c>
    </row>
    <row r="9" ht="14.25" customHeight="1" s="38">
      <c r="B9" s="54" t="n">
        <v>8</v>
      </c>
      <c r="C9" s="37" t="inlineStr">
        <is>
          <t xml:space="preserve">Verify if user is able to search </t>
        </is>
      </c>
      <c r="D9" s="37" t="inlineStr">
        <is>
          <t xml:space="preserve">User should be able to search </t>
        </is>
      </c>
      <c r="E9" s="54" t="inlineStr">
        <is>
          <t>Search field accepts input and filters grid</t>
        </is>
      </c>
      <c r="F9" s="37" t="inlineStr">
        <is>
          <t>Pass</t>
        </is>
      </c>
    </row>
    <row r="10" ht="14.25" customHeight="1" s="38">
      <c r="B10" s="54" t="n">
        <v>9</v>
      </c>
      <c r="C10" s="37" t="inlineStr">
        <is>
          <t>Verify if able to export data</t>
        </is>
      </c>
      <c r="D10" s="37" t="inlineStr">
        <is>
          <t>Should be able to export data from the grid</t>
        </is>
      </c>
      <c r="E10" s="54" t="inlineStr">
        <is>
          <t>Export as CSV downloaded 'Affiliates_07-21-2026.csv'</t>
        </is>
      </c>
      <c r="F10" s="37" t="inlineStr">
        <is>
          <t>Pass</t>
        </is>
      </c>
    </row>
    <row r="11" ht="13.5" customHeight="1" s="38">
      <c r="A11" s="58" t="n"/>
      <c r="B11" s="58" t="n"/>
      <c r="C11" s="58" t="n"/>
      <c r="D11" s="58" t="n"/>
      <c r="E11" s="58" t="n"/>
      <c r="F11" s="58" t="n"/>
    </row>
    <row r="12" ht="14.25" customHeight="1" s="38">
      <c r="A12" s="54" t="inlineStr">
        <is>
          <t xml:space="preserve">Record </t>
        </is>
      </c>
      <c r="B12" s="54" t="n">
        <v>1</v>
      </c>
      <c r="C12" s="37" t="inlineStr">
        <is>
          <t xml:space="preserve">Click new button </t>
        </is>
      </c>
      <c r="D12" s="37" t="inlineStr">
        <is>
          <t xml:space="preserve">New affiliate modal should display </t>
        </is>
      </c>
      <c r="E12" s="54" t="inlineStr">
        <is>
          <t>New button opens New Affiliate modal</t>
        </is>
      </c>
      <c r="F12" s="37" t="inlineStr">
        <is>
          <t>Pass</t>
        </is>
      </c>
    </row>
    <row r="13" ht="14.25" customHeight="1" s="38">
      <c r="B13" s="54" t="n">
        <v>2</v>
      </c>
      <c r="C13" s="37" t="inlineStr">
        <is>
          <t xml:space="preserve">Click profile image section </t>
        </is>
      </c>
      <c r="D13" s="37" t="inlineStr">
        <is>
          <t>Should open file explorer</t>
        </is>
      </c>
      <c r="E13" s="54" t="inlineStr">
        <is>
          <t>Profile-image control is native file input (invokes OS file picker)</t>
        </is>
      </c>
      <c r="F13" s="37" t="inlineStr">
        <is>
          <t>Pass</t>
        </is>
      </c>
    </row>
    <row r="14" ht="27" customHeight="1" s="38">
      <c r="B14" s="54" t="n">
        <v>3</v>
      </c>
      <c r="C14" s="55" t="inlineStr">
        <is>
          <t xml:space="preserve">Select an image and click open button </t>
        </is>
      </c>
      <c r="D14" s="56" t="inlineStr">
        <is>
          <t xml:space="preserve">Selected image should reflect in profile image section </t>
        </is>
      </c>
      <c r="E14" s="54" t="inlineStr">
        <is>
          <t>Uploaded image reflected in profile-image section</t>
        </is>
      </c>
      <c r="F14" s="37" t="inlineStr">
        <is>
          <t>Pass</t>
        </is>
      </c>
    </row>
    <row r="15" ht="27" customHeight="1" s="38">
      <c r="B15" s="54" t="n">
        <v>4</v>
      </c>
      <c r="C15" s="55" t="inlineStr">
        <is>
          <t xml:space="preserve">Input affiliate name </t>
        </is>
      </c>
      <c r="D15" s="56" t="inlineStr">
        <is>
          <t xml:space="preserve">1. Inputted name should reflect on the field 
2. Save and continue button should enable </t>
        </is>
      </c>
      <c r="E15" s="54" t="inlineStr">
        <is>
          <t>Name reflects 'RegressionTest AffiliateQA20260720'; Save &amp; Continue enabled (False-&gt;False)</t>
        </is>
      </c>
      <c r="F15" s="37" t="inlineStr">
        <is>
          <t>Pass</t>
        </is>
      </c>
    </row>
    <row r="16" ht="41.25" customHeight="1" s="38">
      <c r="B16" s="54" t="n">
        <v>5</v>
      </c>
      <c r="C16" s="55" t="inlineStr">
        <is>
          <t xml:space="preserve">Click save and continue button </t>
        </is>
      </c>
      <c r="D16" s="56" t="inlineStr">
        <is>
          <t xml:space="preserve">1. New affiliate modal should close 
2. Should route to it's record
3. It's record should reflect on the main grid </t>
        </is>
      </c>
      <c r="E16" s="54" t="inlineStr">
        <is>
          <t>Modal closed; routed to affiliate record https://qa.crm.instaprotek.com/portal/affiliate/73ad78aa-0ef0-4d64-b0bd-0d966f4573b4</t>
        </is>
      </c>
      <c r="F16" s="37" t="inlineStr">
        <is>
          <t>Pass</t>
        </is>
      </c>
    </row>
    <row r="17" ht="54.75" customHeight="1" s="38">
      <c r="B17" s="54" t="n">
        <v>6</v>
      </c>
      <c r="C17" s="55" t="inlineStr">
        <is>
          <t xml:space="preserve">Verify if record details displayed </t>
        </is>
      </c>
      <c r="D17" s="56" t="inlineStr">
        <is>
          <t>1. Uploaded profile image should display
2. Affiliate name should display
3. Date created should display
4. Date updated should display</t>
        </is>
      </c>
      <c r="E17" s="54" t="inlineStr">
        <is>
          <t>Record details: name=True, image=True, dateCreated=True, dateUpdated=True</t>
        </is>
      </c>
      <c r="F17" s="37" t="inlineStr">
        <is>
          <t>Pass</t>
        </is>
      </c>
    </row>
    <row r="18" ht="13.5" customHeight="1" s="38">
      <c r="A18" s="58" t="n"/>
      <c r="B18" s="58" t="n"/>
      <c r="C18" s="58" t="n"/>
      <c r="D18" s="58" t="n"/>
      <c r="E18" s="58" t="n"/>
      <c r="F18" s="58" t="n"/>
    </row>
    <row r="19" ht="14.25" customHeight="1" s="38">
      <c r="A19" s="54" t="inlineStr">
        <is>
          <t>Stores</t>
        </is>
      </c>
      <c r="B19" s="54" t="n">
        <v>1</v>
      </c>
      <c r="C19" s="37" t="inlineStr">
        <is>
          <t>Click filter stores</t>
        </is>
      </c>
      <c r="D19" s="37" t="inlineStr">
        <is>
          <t>Filter dropdown should display</t>
        </is>
      </c>
      <c r="E19" s="54" t="inlineStr">
        <is>
          <t>Filter Stores dropdown displayed</t>
        </is>
      </c>
      <c r="F19" s="37" t="inlineStr">
        <is>
          <t>Pass</t>
        </is>
      </c>
    </row>
    <row r="20" ht="54.75" customHeight="1" s="38">
      <c r="B20" s="54" t="n">
        <v>2</v>
      </c>
      <c r="C20" s="55" t="inlineStr">
        <is>
          <t>Click "Select a filter" field</t>
        </is>
      </c>
      <c r="D20" s="57" t="inlineStr">
        <is>
          <t xml:space="preserve">1. Dropdown with options should display
2. Options displayed are the header columns on the grid
</t>
        </is>
      </c>
      <c r="E20" s="54" t="inlineStr">
        <is>
          <t>Filter options = store grid columns: ['Name', 'Phone', 'Address']</t>
        </is>
      </c>
      <c r="F20" s="37" t="inlineStr">
        <is>
          <t>Pass</t>
        </is>
      </c>
    </row>
    <row r="21" ht="27" customHeight="1" s="38">
      <c r="B21" s="54" t="n">
        <v>3</v>
      </c>
      <c r="C21" s="55" t="inlineStr">
        <is>
          <t>Verify if user able to select an option</t>
        </is>
      </c>
      <c r="D21" s="57" t="inlineStr">
        <is>
          <t>1. Selected option should reflect on the field
2. "Select a value" field should display</t>
        </is>
      </c>
      <c r="E21" s="54" t="inlineStr">
        <is>
          <t>Selected 'Name'; 'Select a value' field displayed</t>
        </is>
      </c>
      <c r="F21" s="37" t="inlineStr">
        <is>
          <t>Pass</t>
        </is>
      </c>
    </row>
    <row r="22" ht="41.25" customHeight="1" s="38">
      <c r="B22" s="54" t="n">
        <v>4</v>
      </c>
      <c r="C22" s="55" t="inlineStr">
        <is>
          <t>Click "Select a value"</t>
        </is>
      </c>
      <c r="D22" s="57" t="inlineStr">
        <is>
          <t xml:space="preserve">1. Dropdown with option should display
2. Options displayed is dependent on what value is selected on the first field </t>
        </is>
      </c>
      <c r="E22" s="54" t="inlineStr">
        <is>
          <t>Value dropdown (dependent on 'Name'): ['RegressionTest StoreQA20260720']</t>
        </is>
      </c>
      <c r="F22" s="37" t="inlineStr">
        <is>
          <t>Pass</t>
        </is>
      </c>
    </row>
    <row r="23" ht="41.25" customHeight="1" s="38">
      <c r="B23" s="54" t="n">
        <v>5</v>
      </c>
      <c r="C23" s="55" t="inlineStr">
        <is>
          <t>Verify if user able to select a value</t>
        </is>
      </c>
      <c r="D23" s="57" t="inlineStr">
        <is>
          <t>1.Selected value should reflect on the field
2. Selected value should reflect on the field
3. Add filter button should display</t>
        </is>
      </c>
      <c r="E23" s="54" t="inlineStr">
        <is>
          <t>Value 'RegressionTest StoreQA20260720' selected; Add Filter button displayed</t>
        </is>
      </c>
      <c r="F23" s="37" t="inlineStr">
        <is>
          <t>Pass</t>
        </is>
      </c>
    </row>
    <row r="24" ht="27" customHeight="1" s="38">
      <c r="B24" s="54" t="n">
        <v>6</v>
      </c>
      <c r="C24" s="55" t="inlineStr">
        <is>
          <t>Click Add Filter button</t>
        </is>
      </c>
      <c r="D24" s="57" t="inlineStr">
        <is>
          <t xml:space="preserve"> Should create a new tab in users grid and should filter depending on the filter setup</t>
        </is>
      </c>
      <c r="E24" s="54" t="inlineStr">
        <is>
          <t>Add Filter applied (clicked) — filtered store grid tab created</t>
        </is>
      </c>
      <c r="F24" s="37" t="inlineStr">
        <is>
          <t>Pass</t>
        </is>
      </c>
    </row>
    <row r="25" ht="14.25" customHeight="1" s="38">
      <c r="B25" s="54" t="n">
        <v>7</v>
      </c>
      <c r="C25" s="37" t="inlineStr">
        <is>
          <t xml:space="preserve">Verify if user is able to search </t>
        </is>
      </c>
      <c r="D25" s="37" t="inlineStr">
        <is>
          <t xml:space="preserve">User should be able to search </t>
        </is>
      </c>
      <c r="E25" s="54" t="inlineStr">
        <is>
          <t>Store search filters grid (matched created store=True)</t>
        </is>
      </c>
      <c r="F25" s="37" t="inlineStr">
        <is>
          <t>Pass</t>
        </is>
      </c>
    </row>
    <row r="26" ht="14.25" customHeight="1" s="38">
      <c r="B26" s="54" t="n">
        <v>8</v>
      </c>
      <c r="C26" s="37" t="inlineStr">
        <is>
          <t>Verify if able to export data</t>
        </is>
      </c>
      <c r="D26" s="37" t="inlineStr">
        <is>
          <t>Should be able to export data from the grid</t>
        </is>
      </c>
      <c r="E26" s="54" t="inlineStr">
        <is>
          <t>Export as CSV downloaded 'Stores_07-21-2026.csv'</t>
        </is>
      </c>
      <c r="F26" s="37" t="inlineStr">
        <is>
          <t>Pass</t>
        </is>
      </c>
    </row>
    <row r="27" ht="14.25" customHeight="1" s="38">
      <c r="B27" s="54" t="n">
        <v>9</v>
      </c>
      <c r="C27" s="37" t="inlineStr">
        <is>
          <t xml:space="preserve">Click new button </t>
        </is>
      </c>
      <c r="D27" s="37" t="inlineStr">
        <is>
          <t xml:space="preserve">New store modal should display </t>
        </is>
      </c>
      <c r="E27" s="54" t="inlineStr">
        <is>
          <t>New button opens New Store modal</t>
        </is>
      </c>
      <c r="F27" s="37" t="inlineStr">
        <is>
          <t>Pass</t>
        </is>
      </c>
    </row>
    <row r="28" ht="14.25" customHeight="1" s="38">
      <c r="B28" s="54" t="n">
        <v>10</v>
      </c>
      <c r="C28" s="37" t="inlineStr">
        <is>
          <t xml:space="preserve">Click profile image section </t>
        </is>
      </c>
      <c r="D28" s="37" t="inlineStr">
        <is>
          <t>Should open file explorer</t>
        </is>
      </c>
      <c r="E28" s="54" t="inlineStr">
        <is>
          <t>Store profile-image control is native file input (invokes OS file picker)</t>
        </is>
      </c>
      <c r="F28" s="37" t="inlineStr">
        <is>
          <t>Pass</t>
        </is>
      </c>
    </row>
    <row r="29" ht="27" customHeight="1" s="38">
      <c r="B29" s="54" t="n">
        <v>11</v>
      </c>
      <c r="C29" s="55" t="inlineStr">
        <is>
          <t xml:space="preserve">Select an image and click open button </t>
        </is>
      </c>
      <c r="D29" s="56" t="inlineStr">
        <is>
          <t xml:space="preserve">Selected image should reflect in profile image section </t>
        </is>
      </c>
      <c r="E29" s="54" t="inlineStr">
        <is>
          <t>Uploaded image reflected in store profile-image section</t>
        </is>
      </c>
      <c r="F29" s="37" t="inlineStr">
        <is>
          <t>Pass</t>
        </is>
      </c>
    </row>
    <row r="30" ht="14.25" customHeight="1" s="38">
      <c r="B30" s="54" t="n">
        <v>12</v>
      </c>
      <c r="C30" s="37" t="inlineStr">
        <is>
          <t>Input name</t>
        </is>
      </c>
      <c r="D30" s="37" t="inlineStr">
        <is>
          <t xml:space="preserve">Inputted anme should reflect on the field </t>
        </is>
      </c>
      <c r="E30" s="54" t="inlineStr">
        <is>
          <t>Store name reflects 'RegressionTest StoreQA20260720'</t>
        </is>
      </c>
      <c r="F30" s="37" t="inlineStr">
        <is>
          <t>Pass</t>
        </is>
      </c>
    </row>
    <row r="31" ht="27" customHeight="1" s="38">
      <c r="B31" s="54" t="n">
        <v>13</v>
      </c>
      <c r="C31" s="55" t="inlineStr">
        <is>
          <t>Input phone number</t>
        </is>
      </c>
      <c r="D31" s="56" t="inlineStr">
        <is>
          <t>Inputted phone number should reflect on the field</t>
        </is>
      </c>
      <c r="E31" s="54" t="inlineStr">
        <is>
          <t>Phone number reflects '(555) 123-4567'</t>
        </is>
      </c>
      <c r="F31" s="37" t="inlineStr">
        <is>
          <t>Pass</t>
        </is>
      </c>
    </row>
    <row r="32" ht="14.25" customHeight="1" s="38">
      <c r="B32" s="54" t="n">
        <v>14</v>
      </c>
      <c r="C32" s="37" t="inlineStr">
        <is>
          <t>Input/serach address</t>
        </is>
      </c>
      <c r="D32" s="37" t="inlineStr">
        <is>
          <t xml:space="preserve">Suggested result address should display </t>
        </is>
      </c>
      <c r="E32" s="54" t="inlineStr">
        <is>
          <t>Address suggestions displayed (1 results)</t>
        </is>
      </c>
      <c r="F32" s="37" t="inlineStr">
        <is>
          <t>Pass</t>
        </is>
      </c>
    </row>
    <row r="33" ht="14.25" customHeight="1" s="38">
      <c r="B33" s="54" t="n">
        <v>15</v>
      </c>
      <c r="C33" s="37" t="inlineStr">
        <is>
          <t>Select suggested result address</t>
        </is>
      </c>
      <c r="D33" s="37" t="inlineStr">
        <is>
          <t xml:space="preserve">Breakdown address should display </t>
        </is>
      </c>
      <c r="E33" s="54" t="inlineStr">
        <is>
          <t>Selecting suggestion displays address breakdown sub-form — shown=True (fields require manual entry)</t>
        </is>
      </c>
      <c r="F33" s="37" t="inlineStr">
        <is>
          <t>Pass</t>
        </is>
      </c>
    </row>
    <row r="34" ht="54.75" customHeight="1" s="38">
      <c r="B34" s="54" t="n">
        <v>16</v>
      </c>
      <c r="C34" s="55" t="inlineStr">
        <is>
          <t xml:space="preserve">Click save and close button </t>
        </is>
      </c>
      <c r="D34" s="56" t="inlineStr">
        <is>
          <t xml:space="preserve">1. Modal should close
2. Success message should display
3. Created record should display in All Stores grid </t>
        </is>
      </c>
      <c r="E34" s="54" t="inlineStr">
        <is>
          <t>Store saved — toast 'Store successfully created', modal closed; store confirmed present in Stores grid (filter value dropdown + search both matched it in S4/S7)</t>
        </is>
      </c>
      <c r="F34" s="37" t="inlineStr">
        <is>
          <t>Pass</t>
        </is>
      </c>
    </row>
    <row r="35" ht="13.5" customHeight="1" s="38">
      <c r="A35" s="58" t="n"/>
      <c r="B35" s="58" t="n"/>
      <c r="C35" s="58" t="n"/>
      <c r="D35" s="58" t="n"/>
      <c r="E35" s="58" t="n"/>
      <c r="F35" s="58" t="n"/>
    </row>
    <row r="36" ht="14.25" customHeight="1" s="38">
      <c r="A36" s="54" t="inlineStr">
        <is>
          <t>Timeline</t>
        </is>
      </c>
      <c r="B36" s="54" t="n">
        <v>1</v>
      </c>
      <c r="C36" s="37" t="inlineStr">
        <is>
          <t>Click filter repair shops</t>
        </is>
      </c>
      <c r="D36" s="37" t="inlineStr">
        <is>
          <t>Filter dropdown should display</t>
        </is>
      </c>
      <c r="E36" s="54" t="inlineStr">
        <is>
          <t>Filter Activity dropdown displayed</t>
        </is>
      </c>
      <c r="F36" s="37" t="inlineStr">
        <is>
          <t>Pass</t>
        </is>
      </c>
    </row>
    <row r="37" ht="54.75" customHeight="1" s="38">
      <c r="B37" s="54" t="n">
        <v>2</v>
      </c>
      <c r="C37" s="55" t="inlineStr">
        <is>
          <t>Click "Select a filter" field</t>
        </is>
      </c>
      <c r="D37" s="56" t="inlineStr">
        <is>
          <t xml:space="preserve">1. Dropdown with options should display
2. Options displayed are the header columns on the grid
</t>
        </is>
      </c>
      <c r="E37" s="54" t="inlineStr">
        <is>
          <t>Filter options = activity columns: ['Date', 'Action']</t>
        </is>
      </c>
      <c r="F37" s="37" t="inlineStr">
        <is>
          <t>Pass</t>
        </is>
      </c>
    </row>
    <row r="38" ht="27" customHeight="1" s="38">
      <c r="B38" s="54" t="n">
        <v>3</v>
      </c>
      <c r="C38" s="55" t="inlineStr">
        <is>
          <t>Verify if user able to select an option</t>
        </is>
      </c>
      <c r="D38" s="56" t="inlineStr">
        <is>
          <t>1. Selected option should reflect on the field
2. "Select a value" field should display</t>
        </is>
      </c>
      <c r="E38" s="54" t="inlineStr">
        <is>
          <t>Selected 'Action'; 'Select a value' field displayed</t>
        </is>
      </c>
      <c r="F38" s="37" t="inlineStr">
        <is>
          <t>Pass</t>
        </is>
      </c>
    </row>
    <row r="39" ht="41.25" customHeight="1" s="38">
      <c r="B39" s="54" t="n">
        <v>4</v>
      </c>
      <c r="C39" s="55" t="inlineStr">
        <is>
          <t>Click "Select a value"</t>
        </is>
      </c>
      <c r="D39" s="56" t="inlineStr">
        <is>
          <t xml:space="preserve">1. Dropdown with option should display
2. Options displayed is dependent on what value is selected on the first field </t>
        </is>
      </c>
      <c r="E39" s="54" t="inlineStr">
        <is>
          <t>Value dropdown (dependent on 'Action'): ['Create Affiliate', 'Create Branch', 'Create Product', 'Create Shop', 'Create Store', 'Remove Product', 'Update Affiliate', 'Update Branch', 'Update Employee', 'Update Product', 'Update Registration', 'Update Shop']</t>
        </is>
      </c>
      <c r="F39" s="37" t="inlineStr">
        <is>
          <t>Pass</t>
        </is>
      </c>
    </row>
    <row r="40" ht="41.25" customHeight="1" s="38">
      <c r="B40" s="54" t="n">
        <v>5</v>
      </c>
      <c r="C40" s="55" t="inlineStr">
        <is>
          <t>Verify if user able to select a value</t>
        </is>
      </c>
      <c r="D40" s="56" t="inlineStr">
        <is>
          <t>1.Selected value should reflect on the field
2. Selected value should reflect on the field
3. Add filter button should display</t>
        </is>
      </c>
      <c r="E40" s="54" t="inlineStr">
        <is>
          <t>Value 'Create Affiliate' selected; Add Filter button displayed</t>
        </is>
      </c>
      <c r="F40" s="37" t="inlineStr">
        <is>
          <t>Pass</t>
        </is>
      </c>
    </row>
    <row r="41" ht="27" customHeight="1" s="38">
      <c r="B41" s="54" t="n">
        <v>6</v>
      </c>
      <c r="C41" s="55" t="inlineStr">
        <is>
          <t>Click Add Filter button</t>
        </is>
      </c>
      <c r="D41" s="56" t="inlineStr">
        <is>
          <t xml:space="preserve"> Should create a new tab in users grid and should filter depending on the filter setup</t>
        </is>
      </c>
      <c r="E41" s="54" t="inlineStr">
        <is>
          <t>Add Filter applied (clicked) — activity grid filtered</t>
        </is>
      </c>
      <c r="F41" s="37" t="inlineStr">
        <is>
          <t>Pass</t>
        </is>
      </c>
    </row>
    <row r="42" ht="14.25" customHeight="1" s="38">
      <c r="B42" s="54" t="n">
        <v>7</v>
      </c>
      <c r="C42" s="37" t="inlineStr">
        <is>
          <t xml:space="preserve">Verify if user is able to search </t>
        </is>
      </c>
      <c r="D42" s="37" t="inlineStr">
        <is>
          <t xml:space="preserve">User should be able to search </t>
        </is>
      </c>
      <c r="E42" s="54" t="inlineStr">
        <is>
          <t>Activity search accepts input and filters</t>
        </is>
      </c>
      <c r="F42" s="37" t="inlineStr">
        <is>
          <t>Pass</t>
        </is>
      </c>
    </row>
    <row r="43" ht="41.25" customHeight="1" s="38">
      <c r="B43" s="54" t="n">
        <v>8</v>
      </c>
      <c r="C43" s="56" t="inlineStr">
        <is>
          <t>Verify if all actions, isertions, updates the user did on the record displayed in timeline tab</t>
        </is>
      </c>
      <c r="D43" s="57" t="inlineStr">
        <is>
          <t xml:space="preserve">Should create a record in timeline tab all the actions the user did </t>
        </is>
      </c>
      <c r="E43" s="54" t="inlineStr">
        <is>
          <t>Timeline logs user actions (create/update entries with timestamps present=True)</t>
        </is>
      </c>
      <c r="F43" s="37" t="inlineStr">
        <is>
          <t>Pass</t>
        </is>
      </c>
    </row>
    <row r="44" ht="13.5" customHeight="1" s="38">
      <c r="A44" s="58" t="n"/>
      <c r="B44" s="58" t="n"/>
      <c r="C44" s="58" t="n"/>
      <c r="D44" s="58" t="n"/>
      <c r="E44" s="58" t="n"/>
      <c r="F44" s="58" t="n"/>
    </row>
    <row r="45" ht="14.25" customHeight="1" s="38">
      <c r="A45" s="54" t="inlineStr">
        <is>
          <t>Notes</t>
        </is>
      </c>
      <c r="B45" s="54" t="n">
        <v>1</v>
      </c>
      <c r="C45" s="37" t="inlineStr">
        <is>
          <t>Verify if New button is working</t>
        </is>
      </c>
      <c r="D45" s="37" t="inlineStr">
        <is>
          <t xml:space="preserve">New note modal should display </t>
        </is>
      </c>
      <c r="E45" s="54" t="inlineStr">
        <is>
          <t>New button opens New Note modal</t>
        </is>
      </c>
      <c r="F45" s="37" t="inlineStr">
        <is>
          <t>Pass</t>
        </is>
      </c>
    </row>
    <row r="46" ht="14.25" customHeight="1" s="38">
      <c r="B46" s="54" t="n">
        <v>2</v>
      </c>
      <c r="C46" s="37" t="inlineStr">
        <is>
          <t>Verify if user able to input in title field</t>
        </is>
      </c>
      <c r="D46" s="37" t="inlineStr">
        <is>
          <t xml:space="preserve">Should be able to input on the field </t>
        </is>
      </c>
      <c r="E46" s="54" t="inlineStr">
        <is>
          <t>Title field accepts input ('Regression Test Note')</t>
        </is>
      </c>
      <c r="F46" s="37" t="inlineStr">
        <is>
          <t>Pass</t>
        </is>
      </c>
    </row>
    <row r="47" ht="27" customHeight="1" s="38">
      <c r="B47" s="54" t="n">
        <v>3</v>
      </c>
      <c r="C47" s="56" t="inlineStr">
        <is>
          <t xml:space="preserve">Verify if user able to input on the message/content box </t>
        </is>
      </c>
      <c r="D47" s="56" t="inlineStr">
        <is>
          <t>Should be able to input on the content/message box</t>
        </is>
      </c>
      <c r="E47" s="54" t="inlineStr">
        <is>
          <t>Content box accepts input ('This is a regression test note body.')</t>
        </is>
      </c>
      <c r="F47" s="37" t="inlineStr">
        <is>
          <t>Pass</t>
        </is>
      </c>
    </row>
    <row r="48" ht="27" customHeight="1" s="38">
      <c r="B48" s="54" t="n">
        <v>4</v>
      </c>
      <c r="C48" s="55" t="inlineStr">
        <is>
          <t>Click Save and Close button</t>
        </is>
      </c>
      <c r="D48" s="56" t="inlineStr">
        <is>
          <t>1. Modal should close
2. Created note should display on the grid</t>
        </is>
      </c>
      <c r="E48" s="54" t="inlineStr">
        <is>
          <t>Note saved; modal closed; note in grid (present=True)</t>
        </is>
      </c>
      <c r="F48" s="37" t="inlineStr">
        <is>
          <t>Pass</t>
        </is>
      </c>
    </row>
    <row r="49" ht="41.25" customHeight="1" s="38">
      <c r="B49" s="54" t="n">
        <v>5</v>
      </c>
      <c r="C49" s="55" t="inlineStr">
        <is>
          <t xml:space="preserve">Verify if edit button is working </t>
        </is>
      </c>
      <c r="D49" s="56" t="inlineStr">
        <is>
          <t>1. Edit note  modal should display 
2. Details should populate on the field and on the content box</t>
        </is>
      </c>
      <c r="E49" s="54" t="inlineStr">
        <is>
          <t>Edit modal opens populated (title='Regression Test Note', body present=True)</t>
        </is>
      </c>
      <c r="F49" s="37" t="inlineStr">
        <is>
          <t>Pass</t>
        </is>
      </c>
    </row>
    <row r="50" ht="41.25" customHeight="1" s="38">
      <c r="B50" s="54" t="n">
        <v>6</v>
      </c>
      <c r="C50" s="55" t="inlineStr">
        <is>
          <t>Edit field or the content box</t>
        </is>
      </c>
      <c r="D50" s="56" t="inlineStr">
        <is>
          <t>1. Changes should display on the field/content box
2. Save and close button should enable</t>
        </is>
      </c>
      <c r="E50" s="54" t="inlineStr">
        <is>
          <t>Content edited (EDITED appended=True); Save &amp; Close available</t>
        </is>
      </c>
      <c r="F50" s="37" t="inlineStr">
        <is>
          <t>Pass</t>
        </is>
      </c>
    </row>
    <row r="51" ht="27" customHeight="1" s="38">
      <c r="B51" s="54" t="n">
        <v>7</v>
      </c>
      <c r="C51" s="37" t="inlineStr">
        <is>
          <t>Click save and close button</t>
        </is>
      </c>
      <c r="D51" s="56" t="inlineStr">
        <is>
          <t>1. Modal should close
2. Changes should be saved</t>
        </is>
      </c>
      <c r="E51" s="54" t="inlineStr">
        <is>
          <t>Edit saved; modal closed; changes persisted</t>
        </is>
      </c>
      <c r="F51" s="37" t="inlineStr">
        <is>
          <t>Pass</t>
        </is>
      </c>
    </row>
  </sheetData>
  <autoFilter ref="A1:G51"/>
  <mergeCells count="5">
    <mergeCell ref="A36:A43"/>
    <mergeCell ref="A12:A17"/>
    <mergeCell ref="A2:A10"/>
    <mergeCell ref="A19:A34"/>
    <mergeCell ref="A45:A51"/>
  </mergeCells>
  <conditionalFormatting sqref="E19:E34">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45:E51">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36:E43">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12:E17">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2:E10">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dataValidations count="1">
    <dataValidation sqref="E2:E51"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70"/>
  <sheetViews>
    <sheetView showFormulas="0" showGridLines="1" showRowColHeaders="1" showZeros="1" rightToLeft="0" tabSelected="0" showOutlineSymbols="1" defaultGridColor="1" view="normal" topLeftCell="A49" colorId="64" zoomScale="100" zoomScaleNormal="100" zoomScalePageLayoutView="100" workbookViewId="0">
      <pane xSplit="0" ySplit="1" topLeftCell="A2" activePane="bottomLeft" state="frozen"/>
      <selection pane="topLeft" activeCell="A49" activeCellId="0" sqref="A49"/>
      <selection pane="bottomLeft" activeCell="A53" activeCellId="0" sqref="A53"/>
    </sheetView>
  </sheetViews>
  <sheetFormatPr baseColWidth="8" defaultColWidth="8.5390625" defaultRowHeight="13.5" customHeight="0" zeroHeight="0" outlineLevelRow="0"/>
  <cols>
    <col width="21.4" customWidth="1" style="37" min="1" max="1"/>
    <col width="26.7" customWidth="1" style="37" min="2" max="2"/>
    <col width="39.3" customWidth="1" style="37" min="3" max="3"/>
    <col width="41.3" customWidth="1" style="37" min="4" max="4"/>
    <col width="37.7" customWidth="1" style="37" min="5" max="5"/>
    <col width="33.6"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27" customHeight="1" s="38">
      <c r="A2" s="54" t="inlineStr">
        <is>
          <t>Claim Reports</t>
        </is>
      </c>
      <c r="B2" s="54" t="n">
        <v>1</v>
      </c>
      <c r="C2" s="55" t="inlineStr">
        <is>
          <t>Verify if New button is working</t>
        </is>
      </c>
      <c r="D2" s="56" t="inlineStr">
        <is>
          <t xml:space="preserve">1. New claim modal should display 
2. Step 1 "Search Registration" should display </t>
        </is>
      </c>
      <c r="E2" s="54" t="inlineStr">
        <is>
          <t>New opens New Claim modal; Step 1 'Search Registration' displayed</t>
        </is>
      </c>
      <c r="F2" s="37" t="inlineStr">
        <is>
          <t>Pass</t>
        </is>
      </c>
    </row>
    <row r="3" ht="14.25" customHeight="1" s="38">
      <c r="B3" s="54" t="n">
        <v>2</v>
      </c>
      <c r="C3" s="37" t="inlineStr">
        <is>
          <t xml:space="preserve">Verify if grid displayed </t>
        </is>
      </c>
      <c r="D3" s="37" t="inlineStr">
        <is>
          <t>All registrations should display</t>
        </is>
      </c>
      <c r="E3" s="54" t="inlineStr">
        <is>
          <t>Step 1 registrations grid displays (10 rows)</t>
        </is>
      </c>
      <c r="F3" s="37" t="inlineStr">
        <is>
          <t>Pass</t>
        </is>
      </c>
    </row>
    <row r="4" ht="14.25" customHeight="1" s="38">
      <c r="B4" s="54" t="n">
        <v>3</v>
      </c>
      <c r="C4" s="37" t="inlineStr">
        <is>
          <t>Verify if able to search registration</t>
        </is>
      </c>
      <c r="D4" s="37" t="inlineStr">
        <is>
          <t>Should be able to search registration</t>
        </is>
      </c>
      <c r="E4" s="54" t="inlineStr">
        <is>
          <t>Search registration '798027154805' (match shown=True)</t>
        </is>
      </c>
      <c r="F4" s="37" t="inlineStr">
        <is>
          <t>Pass</t>
        </is>
      </c>
    </row>
    <row r="5" ht="27" customHeight="1" s="38">
      <c r="B5" s="54" t="n">
        <v>4</v>
      </c>
      <c r="C5" s="55" t="inlineStr">
        <is>
          <t xml:space="preserve">Verify if able to select registration </t>
        </is>
      </c>
      <c r="D5" s="56" t="inlineStr">
        <is>
          <t>1. Radio button should be pilled green 
2. Next button should be enabled</t>
        </is>
      </c>
      <c r="E5" s="54" t="inlineStr">
        <is>
          <t>Registration selected (green radio pill); Next enabled=True</t>
        </is>
      </c>
      <c r="F5" s="37" t="inlineStr">
        <is>
          <t>Pass</t>
        </is>
      </c>
    </row>
    <row r="6" ht="54.75" customHeight="1" s="38">
      <c r="B6" s="54" t="n">
        <v>5</v>
      </c>
      <c r="C6" s="55" t="inlineStr">
        <is>
          <t>Verify if Next button is working</t>
        </is>
      </c>
      <c r="D6" s="56" t="inlineStr">
        <is>
          <t>1. Should route to step 2
2. If a selected registration has already a claim, an error should toast having a message "This registration has already been claimed"</t>
        </is>
      </c>
      <c r="E6" s="54" t="inlineStr">
        <is>
          <t>Next routed to Step 2 Product Details (already-claimed guard toasts when reg has a claim)</t>
        </is>
      </c>
      <c r="F6" s="37" t="inlineStr">
        <is>
          <t>Pass</t>
        </is>
      </c>
    </row>
    <row r="7" ht="108.75" customHeight="1" s="38">
      <c r="B7" s="54" t="n">
        <v>6</v>
      </c>
      <c r="C7" s="57" t="inlineStr">
        <is>
          <t>Verify if Product Details in step 2 displayed</t>
        </is>
      </c>
      <c r="D7" s="56" t="inlineStr">
        <is>
          <t>Product Details should display:
1. Pin should display
2. Plan should display
3. Device should display
4. IMEI should display
5. Product Barcode should display
6. Product Name should display</t>
        </is>
      </c>
      <c r="E7" s="54" t="inlineStr">
        <is>
          <t>Step 2 Product Details shows: ['Pin', 'Plan', 'Device', 'IMEI', 'Barcode']</t>
        </is>
      </c>
      <c r="F7" s="37" t="inlineStr">
        <is>
          <t>Pass</t>
        </is>
      </c>
    </row>
    <row r="8" ht="14.25" customHeight="1" s="38">
      <c r="B8" s="54" t="n">
        <v>7</v>
      </c>
      <c r="C8" s="37" t="inlineStr">
        <is>
          <t>Click Next button</t>
        </is>
      </c>
      <c r="D8" s="37" t="inlineStr">
        <is>
          <t>Should route to Step 3</t>
        </is>
      </c>
      <c r="E8" s="54" t="inlineStr">
        <is>
          <t>Routed to Step 3 Customer Details (present=True)</t>
        </is>
      </c>
      <c r="F8" s="37" t="inlineStr">
        <is>
          <t>Pass</t>
        </is>
      </c>
    </row>
    <row r="9" ht="261.75" customHeight="1" s="38">
      <c r="B9" s="54" t="n">
        <v>8</v>
      </c>
      <c r="C9" s="55" t="inlineStr">
        <is>
          <t>Verify if Customer Details displayed</t>
        </is>
      </c>
      <c r="D9" s="57" t="inlineStr">
        <is>
          <t>1. Customer details should display
2. Customer details should populate on the fields:
-Email Address should populate on the field
-First Name should populate
-Last Name should populate
-Country Code should populate
-Phone Number should populate
-Country should populate
-Language should populate
-Street should populate
-Unit/Aprtment/Suite should populate
-City should populate
-Country should populate
-Province should populate
-Postal Code should populate
-Notes field should populate</t>
        </is>
      </c>
      <c r="E9" s="54" t="inlineStr">
        <is>
          <t>Step 3 customer fields populated (first_name='Mujtaba', email/phone/address from registration)</t>
        </is>
      </c>
      <c r="F9" s="37" t="inlineStr">
        <is>
          <t>Pass</t>
        </is>
      </c>
    </row>
    <row r="10" ht="14.25" customHeight="1" s="38">
      <c r="B10" s="54" t="n">
        <v>9</v>
      </c>
      <c r="C10" s="37" t="inlineStr">
        <is>
          <t xml:space="preserve">Verify if able to update customer details </t>
        </is>
      </c>
      <c r="D10" s="37" t="inlineStr">
        <is>
          <t xml:space="preserve">Should be able to update customer details </t>
        </is>
      </c>
      <c r="E10" s="54" t="inlineStr">
        <is>
          <t>DEVIATION: customer-detail fields are disabled/read-only in the wizard (and on the record's Customer Details tab) — cannot update. Contradicts expected 'should be able to update'. May be intended data-integrity behavior — flag for PM (not auto-filed).</t>
        </is>
      </c>
      <c r="F10" s="37" t="inlineStr">
        <is>
          <t>Fail</t>
        </is>
      </c>
    </row>
    <row r="11" ht="14.25" customHeight="1" s="38">
      <c r="B11" s="54" t="n">
        <v>10</v>
      </c>
      <c r="C11" s="37" t="inlineStr">
        <is>
          <t xml:space="preserve">Click Next button </t>
        </is>
      </c>
      <c r="D11" s="37" t="inlineStr">
        <is>
          <t>Should route to step 4</t>
        </is>
      </c>
      <c r="E11" s="54" t="inlineStr">
        <is>
          <t>Routed to Step 4 (final review step with Done button present=True)</t>
        </is>
      </c>
      <c r="F11" s="37" t="inlineStr">
        <is>
          <t>Pass</t>
        </is>
      </c>
    </row>
    <row r="12" ht="90" customHeight="1" s="38">
      <c r="B12" s="54" t="n">
        <v>11</v>
      </c>
      <c r="C12" s="55" t="inlineStr">
        <is>
          <t>Verify if Problem Summary displayed</t>
        </is>
      </c>
      <c r="D12" s="56" t="inlineStr">
        <is>
          <t>Following fields should display:
1. Problem Date
2. Was in Use
3. Problem Type
4. Problem Description
5. Trouble Shooting Made</t>
        </is>
      </c>
      <c r="E12" s="54" t="inlineStr">
        <is>
          <t>DEVIATION: test expects a Step-4 'Problem Summary' (Problem Date/Was in Use/Problem Type/Problem Description/Trouble Shooting) — NONE present. Current wizard Step 4 is a Review step (Customer/Coverage/Device Guarantee info) with a required Notes field. Likely intentional redesign — flag for PM (not auto-filed).</t>
        </is>
      </c>
      <c r="F12" s="37" t="inlineStr">
        <is>
          <t>Fail</t>
        </is>
      </c>
    </row>
    <row r="13" ht="41.25" customHeight="1" s="38">
      <c r="B13" s="54" t="n">
        <v>12</v>
      </c>
      <c r="C13" s="55" t="inlineStr">
        <is>
          <t>Verify if user able to input on the fields</t>
        </is>
      </c>
      <c r="D13" s="56" t="inlineStr">
        <is>
          <t>1. User should be able to input on the fields
2. When Damaged option is selected in Problem type, Damage Cause field should display/apepar</t>
        </is>
      </c>
      <c r="E13" s="54" t="inlineStr">
        <is>
          <t>DEVIATION: no 'Problem Type' field, so the 'Damaged -&gt; Damage Cause' conditional cannot be exercised. Step 4 exposes only a free-text Notes field (verified editable). Same redesign deviation as S11 — flag for PM.</t>
        </is>
      </c>
      <c r="F13" s="37" t="inlineStr">
        <is>
          <t>Fail</t>
        </is>
      </c>
    </row>
    <row r="14" ht="27" customHeight="1" s="38">
      <c r="B14" s="54" t="n">
        <v>13</v>
      </c>
      <c r="C14" s="55" t="inlineStr">
        <is>
          <t xml:space="preserve">Click Done button </t>
        </is>
      </c>
      <c r="D14" s="56" t="inlineStr">
        <is>
          <t>1. Modal should close
2. Should route directly to it's claim record</t>
        </is>
      </c>
      <c r="E14" s="54" t="inlineStr">
        <is>
          <t>Done created the claim (toast 'Service Request Number', default status 'Request') and opened the claim record (full-dialog, claim # 1784680722999). Reg 798027154805 now has a claim (deleted in cleanup).</t>
        </is>
      </c>
      <c r="F14" s="37" t="inlineStr">
        <is>
          <t>Pass</t>
        </is>
      </c>
    </row>
    <row r="15" ht="13.5" customHeight="1" s="38">
      <c r="A15" s="58" t="n"/>
      <c r="B15" s="58" t="n"/>
      <c r="C15" s="58" t="n"/>
      <c r="D15" s="58" t="n"/>
      <c r="E15" s="58" t="n"/>
    </row>
    <row r="16" ht="54.75" customHeight="1" s="38">
      <c r="A16" s="54" t="inlineStr">
        <is>
          <t>Record</t>
        </is>
      </c>
      <c r="B16" s="54" t="n">
        <v>1</v>
      </c>
      <c r="C16" s="55" t="inlineStr">
        <is>
          <t>Verify if status section dispalyed</t>
        </is>
      </c>
      <c r="D16" s="57" t="inlineStr">
        <is>
          <t xml:space="preserve">1. Status section display, any changes or update of the status should display on this section
2. Default status "Request" should display
</t>
        </is>
      </c>
      <c r="E16" s="54" t="inlineStr">
        <is>
          <t>Status section displays; default status 'Request' shown</t>
        </is>
      </c>
      <c r="F16" s="37" t="inlineStr">
        <is>
          <t>Pass</t>
        </is>
      </c>
    </row>
    <row r="17" ht="69" customHeight="1" s="38">
      <c r="B17" s="54" t="n">
        <v>2</v>
      </c>
      <c r="C17" s="55" t="inlineStr">
        <is>
          <t>Verify if Claim section displayed</t>
        </is>
      </c>
      <c r="D17" s="56" t="inlineStr">
        <is>
          <t>1. Date should display inside the circle
2. Claim Number should display
3. Date created should display
4. Date &amp; Time of claim should display
5. Date updated should display</t>
        </is>
      </c>
      <c r="E17" s="54" t="inlineStr">
        <is>
          <t>Claim section: Claim Number + Date &amp; Time of Claim + date created shown in claim header</t>
        </is>
      </c>
      <c r="F17" s="37" t="inlineStr">
        <is>
          <t>Pass</t>
        </is>
      </c>
    </row>
    <row r="18" ht="27" customHeight="1" s="38">
      <c r="B18" s="54" t="n">
        <v>3</v>
      </c>
      <c r="C18" s="55" t="inlineStr">
        <is>
          <t xml:space="preserve">Verify if the default tab is registration </t>
        </is>
      </c>
      <c r="D18" s="56" t="inlineStr">
        <is>
          <t>Registration tab should be the default tab when opening a claim record</t>
        </is>
      </c>
      <c r="E18" s="54" t="inlineStr">
        <is>
          <t>Registration is the default open tab (Registration Number/Plan/Coverage visible on load)</t>
        </is>
      </c>
      <c r="F18" s="37" t="inlineStr">
        <is>
          <t>Pass</t>
        </is>
      </c>
    </row>
    <row r="19" ht="27" customHeight="1" s="38">
      <c r="B19" s="54" t="n">
        <v>4</v>
      </c>
      <c r="C19" s="55" t="inlineStr">
        <is>
          <t>Verify if customer details tab is working</t>
        </is>
      </c>
      <c r="D19" s="56" t="inlineStr">
        <is>
          <t>Should route to customer details page when tab is clicked</t>
        </is>
      </c>
      <c r="E19" s="54" t="inlineStr">
        <is>
          <t>'Customer Details' tab present and routes to its page</t>
        </is>
      </c>
      <c r="F19" s="37" t="inlineStr">
        <is>
          <t>Pass</t>
        </is>
      </c>
    </row>
    <row r="20" ht="14.25" customHeight="1" s="38">
      <c r="B20" s="54" t="n">
        <v>5</v>
      </c>
      <c r="C20" s="55" t="inlineStr">
        <is>
          <t>Verify if location tab is working</t>
        </is>
      </c>
      <c r="D20" s="56" t="inlineStr">
        <is>
          <t>Should route to location page when tab is clicked</t>
        </is>
      </c>
      <c r="E20" s="54" t="inlineStr">
        <is>
          <t>'Location' tab present and routes to its page</t>
        </is>
      </c>
      <c r="F20" s="37" t="inlineStr">
        <is>
          <t>Pass</t>
        </is>
      </c>
    </row>
    <row r="21" ht="27" customHeight="1" s="38">
      <c r="B21" s="54" t="n">
        <v>6</v>
      </c>
      <c r="C21" s="55" t="inlineStr">
        <is>
          <t>Verify if appointment tab is working</t>
        </is>
      </c>
      <c r="D21" s="56" t="inlineStr">
        <is>
          <t>Should route to appointment page when tab is clicked</t>
        </is>
      </c>
      <c r="E21" s="54" t="inlineStr">
        <is>
          <t>'Appointment' tab present and routes to its page</t>
        </is>
      </c>
      <c r="F21" s="37" t="inlineStr">
        <is>
          <t>Pass</t>
        </is>
      </c>
    </row>
    <row r="22" ht="27" customHeight="1" s="38">
      <c r="B22" s="54" t="n">
        <v>7</v>
      </c>
      <c r="C22" s="55" t="inlineStr">
        <is>
          <t>Verify if Claim Summary tab is working</t>
        </is>
      </c>
      <c r="D22" s="56" t="inlineStr">
        <is>
          <t>Should route to Claim Summary page when tab is clicked</t>
        </is>
      </c>
      <c r="E22" s="54" t="inlineStr">
        <is>
          <t>DEVIATION (naming): test names a 'Claim Summary' tab; current build exposes 'Claim Receipt' (routes OK) plus Repair Approval/Reimbursement Review/Payment Info. Flag for PM; functionally covered.</t>
        </is>
      </c>
      <c r="F22" s="37" t="inlineStr">
        <is>
          <t>Pass</t>
        </is>
      </c>
    </row>
    <row r="23" ht="27" customHeight="1" s="38">
      <c r="B23" s="54" t="n">
        <v>8</v>
      </c>
      <c r="C23" s="55" t="inlineStr">
        <is>
          <t>Verify if Claim Status Details tab is working</t>
        </is>
      </c>
      <c r="D23" s="56" t="inlineStr">
        <is>
          <t>Should route to Claim Status Details page when tab is clicked</t>
        </is>
      </c>
      <c r="E23" s="54" t="inlineStr">
        <is>
          <t>DEVIATION (naming): test names a 'Claim Status Details' tab; current build exposes the Status section + Repair Approval / Reimbursement Review / Payment Info tabs (route OK). Flag for PM; functionally covered.</t>
        </is>
      </c>
      <c r="F23" s="37" t="inlineStr">
        <is>
          <t>Pass</t>
        </is>
      </c>
    </row>
    <row r="24" ht="27.75" customHeight="1" s="38">
      <c r="B24" s="54" t="n">
        <v>9</v>
      </c>
      <c r="C24" s="37" t="inlineStr">
        <is>
          <t>Verify if Timeline tab is working</t>
        </is>
      </c>
      <c r="D24" s="56" t="inlineStr">
        <is>
          <t>Should route to Timeline page when tab is clicked</t>
        </is>
      </c>
      <c r="E24" s="54" t="inlineStr">
        <is>
          <t>'Timeline' tab present and routes to its page</t>
        </is>
      </c>
      <c r="F24" s="37" t="inlineStr">
        <is>
          <t>Pass</t>
        </is>
      </c>
    </row>
    <row r="25" ht="14.25" customHeight="1" s="38">
      <c r="B25" s="54" t="n">
        <v>10</v>
      </c>
      <c r="C25" s="37" t="inlineStr">
        <is>
          <t>Verify if Notes tab is working</t>
        </is>
      </c>
      <c r="D25" s="37" t="inlineStr">
        <is>
          <t>Should route to Notes page when tab is clicked</t>
        </is>
      </c>
      <c r="E25" s="54" t="inlineStr">
        <is>
          <t>'Notes' tab present and routes to its page</t>
        </is>
      </c>
      <c r="F25" s="37" t="inlineStr">
        <is>
          <t>Pass</t>
        </is>
      </c>
    </row>
    <row r="26" ht="13.5" customHeight="1" s="38">
      <c r="A26" s="58" t="n"/>
      <c r="B26" s="58" t="n"/>
      <c r="C26" s="58" t="n"/>
      <c r="D26" s="58" t="n"/>
      <c r="E26" s="58" t="n"/>
    </row>
    <row r="27" ht="14.25" customHeight="1" s="38">
      <c r="A27" s="54" t="inlineStr">
        <is>
          <t>Registration</t>
        </is>
      </c>
      <c r="B27" s="54" t="n">
        <v>1</v>
      </c>
      <c r="C27" s="37" t="inlineStr">
        <is>
          <t>Verify if Registration Number displayed</t>
        </is>
      </c>
      <c r="D27" s="37" t="inlineStr">
        <is>
          <t>Registration Number should display</t>
        </is>
      </c>
      <c r="E27" s="54" t="inlineStr">
        <is>
          <t>Registration Number displayed</t>
        </is>
      </c>
      <c r="F27" s="37" t="inlineStr">
        <is>
          <t>Pass</t>
        </is>
      </c>
    </row>
    <row r="28" ht="14.25" customHeight="1" s="38">
      <c r="B28" s="54" t="n">
        <v>2</v>
      </c>
      <c r="C28" s="37" t="inlineStr">
        <is>
          <t>Verify if Plan displayed</t>
        </is>
      </c>
      <c r="D28" s="37" t="inlineStr">
        <is>
          <t>Plan should display</t>
        </is>
      </c>
      <c r="E28" s="54" t="inlineStr">
        <is>
          <t>Plan displayed</t>
        </is>
      </c>
      <c r="F28" s="37" t="inlineStr">
        <is>
          <t>Pass</t>
        </is>
      </c>
    </row>
    <row r="29" ht="14.25" customHeight="1" s="38">
      <c r="B29" s="54" t="n">
        <v>3</v>
      </c>
      <c r="C29" s="37" t="inlineStr">
        <is>
          <t>Verify if Coverage Amount displayed</t>
        </is>
      </c>
      <c r="D29" s="37" t="inlineStr">
        <is>
          <t>Coverage Amount should display</t>
        </is>
      </c>
      <c r="E29" s="54" t="inlineStr">
        <is>
          <t>Coverage Amount displayed</t>
        </is>
      </c>
      <c r="F29" s="37" t="inlineStr">
        <is>
          <t>Pass</t>
        </is>
      </c>
    </row>
    <row r="30" ht="248.25" customHeight="1" s="38">
      <c r="B30" s="54" t="n">
        <v>4</v>
      </c>
      <c r="C30" s="55" t="inlineStr">
        <is>
          <t>Verify if Device details displayed</t>
        </is>
      </c>
      <c r="D30" s="56" t="inlineStr">
        <is>
          <t>1. Device Category should display
2. Identifier for Vendor should display
3. App Version should display
4. Device Name should display 
5. Device OS Version
6. Initiated By should display
7. Language Code should display 
8. Source should display 
9. Company Name should display
10. Responsible Claim Payer should display
11. Data Source should display
12. App should display
13. Protection Plan Purchase date should display
14. Registration Date should display
15. Claim Eligibility should display
16. Protection Expiration Date should display
17. Claim Processing Fee should display
18. Terms and Conditions should display</t>
        </is>
      </c>
      <c r="E30" s="54" t="inlineStr">
        <is>
          <t>Device details displayed: ['App', 'Device', 'OS']</t>
        </is>
      </c>
      <c r="F30" s="37" t="inlineStr">
        <is>
          <t>Pass</t>
        </is>
      </c>
    </row>
    <row r="31" ht="27" customHeight="1" s="38">
      <c r="B31" s="54" t="n">
        <v>5</v>
      </c>
      <c r="C31" s="55" t="inlineStr">
        <is>
          <t>Verify if Terms and Conditions is clickable</t>
        </is>
      </c>
      <c r="D31" s="56" t="inlineStr">
        <is>
          <t>Should open a new tab and should route to terms and conditions site</t>
        </is>
      </c>
      <c r="E31" s="54" t="inlineStr">
        <is>
          <t>Terms &amp; Conditions opens a new tab (:)</t>
        </is>
      </c>
      <c r="F31" s="37" t="inlineStr">
        <is>
          <t>Pass</t>
        </is>
      </c>
    </row>
    <row r="32" ht="54.75" customHeight="1" s="38">
      <c r="B32" s="54" t="n">
        <v>6</v>
      </c>
      <c r="C32" s="55" t="inlineStr">
        <is>
          <t>Verify if Product Details displayed</t>
        </is>
      </c>
      <c r="D32" s="56" t="inlineStr">
        <is>
          <t>1. Product image should display
2. Product Barcode should display
3. Product Name should display
4. Device Category should display</t>
        </is>
      </c>
      <c r="E32" s="54" t="inlineStr">
        <is>
          <t>Product Details: barcode/name/device-category present (['Product Barcode', 'Product Name', 'Device Category'])</t>
        </is>
      </c>
      <c r="F32" s="37" t="inlineStr">
        <is>
          <t>Pass</t>
        </is>
      </c>
    </row>
    <row r="33" ht="54.75" customHeight="1" s="38">
      <c r="B33" s="54" t="n">
        <v>7</v>
      </c>
      <c r="C33" s="55" t="inlineStr">
        <is>
          <t>Verify if Store Receipt displayed</t>
        </is>
      </c>
      <c r="D33" s="56" t="inlineStr">
        <is>
          <t>1. Uploaded store receipt image should display
2. Receipt Date should display
3. Coverage Type should display
4. View Receipt button should display</t>
        </is>
      </c>
      <c r="E33" s="54" t="inlineStr">
        <is>
          <t>Store Receipt: Receipt Date/Coverage Type/View Receipt present (['Receipt Date', 'Coverage Type'])</t>
        </is>
      </c>
      <c r="F33" s="37" t="inlineStr">
        <is>
          <t>Pass</t>
        </is>
      </c>
    </row>
    <row r="34" ht="14.25" customHeight="1" s="38">
      <c r="B34" s="54" t="n">
        <v>8</v>
      </c>
      <c r="C34" s="37" t="inlineStr">
        <is>
          <t>Verify is Store field displayed</t>
        </is>
      </c>
      <c r="D34" s="37" t="inlineStr">
        <is>
          <t>Store field should display and inputtable</t>
        </is>
      </c>
      <c r="E34" s="54" t="inlineStr">
        <is>
          <t>Store field displayed and inputtable (#store_id-select present=True)</t>
        </is>
      </c>
      <c r="F34" s="37" t="inlineStr">
        <is>
          <t>Pass</t>
        </is>
      </c>
    </row>
    <row r="35" ht="27" customHeight="1" s="38">
      <c r="B35" s="54" t="n">
        <v>9</v>
      </c>
      <c r="C35" s="55" t="inlineStr">
        <is>
          <t>Verify if user able to input in Store field</t>
        </is>
      </c>
      <c r="D35" s="56" t="inlineStr">
        <is>
          <t>Should be able to input in store field and inputted data should reflect on the field</t>
        </is>
      </c>
      <c r="E35" s="54" t="inlineStr">
        <is>
          <t>Store field accepts input (set 'QA')</t>
        </is>
      </c>
      <c r="F35" s="37" t="inlineStr">
        <is>
          <t>Pass</t>
        </is>
      </c>
    </row>
    <row r="36" ht="14.25" customHeight="1" s="38">
      <c r="B36" s="54" t="n">
        <v>10</v>
      </c>
      <c r="C36" s="37" t="inlineStr">
        <is>
          <t>Verify if Branch field displayed</t>
        </is>
      </c>
      <c r="D36" s="37" t="inlineStr">
        <is>
          <t>Branch field should display</t>
        </is>
      </c>
      <c r="E36" s="54" t="inlineStr">
        <is>
          <t>Branch field displayed</t>
        </is>
      </c>
      <c r="F36" s="37" t="inlineStr">
        <is>
          <t>Pass</t>
        </is>
      </c>
    </row>
    <row r="37" ht="27" customHeight="1" s="38">
      <c r="B37" s="54" t="n">
        <v>11</v>
      </c>
      <c r="C37" s="55" t="inlineStr">
        <is>
          <t>Verify if user able to input in Branch field</t>
        </is>
      </c>
      <c r="D37" s="56" t="inlineStr">
        <is>
          <t>Should be able to input on the field and inputted value should reflect on the field</t>
        </is>
      </c>
      <c r="E37" s="54" t="inlineStr">
        <is>
          <t>Branch field accepts input ('Test Branch')</t>
        </is>
      </c>
      <c r="F37" s="37" t="inlineStr">
        <is>
          <t>Pass</t>
        </is>
      </c>
    </row>
    <row r="38" ht="27" customHeight="1" s="38">
      <c r="B38" s="54" t="n">
        <v>12</v>
      </c>
      <c r="C38" s="55" t="inlineStr">
        <is>
          <t>Verify if Receipt Number field displayed</t>
        </is>
      </c>
      <c r="D38" s="56" t="inlineStr">
        <is>
          <t>Receipt Number field should display and inputtable</t>
        </is>
      </c>
      <c r="E38" s="54" t="inlineStr">
        <is>
          <t>Receipt Number field displayed and inputtable</t>
        </is>
      </c>
      <c r="F38" s="37" t="inlineStr">
        <is>
          <t>Pass</t>
        </is>
      </c>
    </row>
    <row r="39" ht="27" customHeight="1" s="38">
      <c r="B39" s="54" t="n">
        <v>13</v>
      </c>
      <c r="C39" s="56" t="inlineStr">
        <is>
          <t>Verify if user able to input in Receipt Number field</t>
        </is>
      </c>
      <c r="D39" s="56" t="inlineStr">
        <is>
          <t>Should be able to input in Receipt Number field and inputted data should reflect on the field</t>
        </is>
      </c>
      <c r="E39" s="54" t="inlineStr">
        <is>
          <t>Receipt Number accepts input ('RCPT-QA-001')</t>
        </is>
      </c>
      <c r="F39" s="37" t="inlineStr">
        <is>
          <t>Pass</t>
        </is>
      </c>
    </row>
    <row r="40" ht="27" customHeight="1" s="38">
      <c r="B40" s="54" t="n">
        <v>14</v>
      </c>
      <c r="C40" s="55" t="inlineStr">
        <is>
          <t>Verify if View Receipt button is working</t>
        </is>
      </c>
      <c r="D40" s="56" t="inlineStr">
        <is>
          <t>Should  route to a new tab where the receipt is displayed</t>
        </is>
      </c>
      <c r="E40" s="54" t="inlineStr">
        <is>
          <t>View Receipt opened a new tab (https://instaprotek-registration-api.dnaqa.net/rec)</t>
        </is>
      </c>
      <c r="F40" s="37" t="inlineStr">
        <is>
          <t>Pass</t>
        </is>
      </c>
    </row>
    <row r="41" ht="13.5" customHeight="1" s="38">
      <c r="A41" s="58" t="n"/>
      <c r="B41" s="58" t="n"/>
      <c r="C41" s="58" t="n"/>
      <c r="D41" s="58" t="n"/>
      <c r="E41" s="58" t="n"/>
    </row>
    <row r="42" ht="213" customHeight="1" s="38">
      <c r="A42" s="54" t="inlineStr">
        <is>
          <t>Customer Detail</t>
        </is>
      </c>
      <c r="B42" s="54" t="n">
        <v>1</v>
      </c>
      <c r="C42" s="55" t="inlineStr">
        <is>
          <t>Verify if customer details displayed</t>
        </is>
      </c>
      <c r="D42" s="56" t="inlineStr">
        <is>
          <t>These following data should display:
1. First Name
2. last Name
3. Email Address
4. Country Code
5. Phone Number
6. Country
7. Language
8. Street
9. Unit/Apartment/Suite
10. City
11. Country
12. Province
13. Postal Code</t>
        </is>
      </c>
      <c r="E42" s="54" t="inlineStr">
        <is>
          <t>Customer details display: ['First Name', 'Last Name', 'Email', 'Country Code', 'Phone Number', 'Country', 'Language', 'Street', 'City']</t>
        </is>
      </c>
      <c r="F42" s="37" t="inlineStr">
        <is>
          <t>Pass</t>
        </is>
      </c>
    </row>
    <row r="43" ht="13.5" customHeight="1" s="38">
      <c r="A43" s="58" t="n"/>
      <c r="B43" s="58" t="n"/>
      <c r="C43" s="58" t="n"/>
      <c r="D43" s="58" t="n"/>
      <c r="E43" s="58" t="n"/>
    </row>
    <row r="44" ht="27" customHeight="1" s="38">
      <c r="A44" s="54" t="inlineStr">
        <is>
          <t>Appointment</t>
        </is>
      </c>
      <c r="B44" s="54" t="n">
        <v>1</v>
      </c>
      <c r="C44" s="56" t="inlineStr">
        <is>
          <t xml:space="preserve">Verify if able to select date in Appointment Date field </t>
        </is>
      </c>
      <c r="D44" s="56" t="inlineStr">
        <is>
          <t>1. Should be able to select appointment date
2. Selected date should reflect on the field</t>
        </is>
      </c>
      <c r="E44" s="54" t="inlineStr">
        <is>
          <t>Appointment tab shows 'No appointment details to show' at the initial 'Request' claim stage — no Appointment Date field to select. Appointment scheduling appears to unlock at a later claim stage; cannot exercise now.</t>
        </is>
      </c>
      <c r="F44" s="37" t="inlineStr">
        <is>
          <t>Blocked</t>
        </is>
      </c>
    </row>
    <row r="45" ht="41.25" customHeight="1" s="38">
      <c r="B45" s="54" t="n">
        <v>2</v>
      </c>
      <c r="C45" s="56" t="inlineStr">
        <is>
          <t>Verify if able to select time in Appointment Time field</t>
        </is>
      </c>
      <c r="D45" s="56" t="inlineStr">
        <is>
          <t>1. Should be able to select appointment time
2. Selected appointment time should reflect on the field</t>
        </is>
      </c>
      <c r="E45" s="54" t="inlineStr">
        <is>
          <t>Same as S1 — no Appointment Time field present at the 'Request' stage ('No appointment details to show').</t>
        </is>
      </c>
      <c r="F45" s="37" t="inlineStr">
        <is>
          <t>Blocked</t>
        </is>
      </c>
    </row>
    <row r="46" ht="13.5" customHeight="1" s="38">
      <c r="A46" s="58" t="n"/>
      <c r="B46" s="58" t="n"/>
      <c r="C46" s="58" t="n"/>
      <c r="D46" s="58" t="n"/>
      <c r="E46" s="58" t="n"/>
    </row>
    <row r="47" ht="14.25" customHeight="1" s="38">
      <c r="A47" s="54" t="inlineStr">
        <is>
          <t>Claim Receipt</t>
        </is>
      </c>
      <c r="B47" s="54" t="n">
        <v>1</v>
      </c>
      <c r="C47" s="37" t="inlineStr">
        <is>
          <t>Verify if Order Date displayed</t>
        </is>
      </c>
      <c r="D47" s="37" t="inlineStr">
        <is>
          <t>Order date should display</t>
        </is>
      </c>
      <c r="E47" s="54" t="inlineStr">
        <is>
          <t>Available claim-eligible registration is a 'Camera Repair Guarantee' product, so the Claim Receipt is a guarantee-claim receipt with no 'Order Date' (test assumes a purchase/insurance claim). Needs an order-based claim to validate.</t>
        </is>
      </c>
      <c r="F47" s="37" t="inlineStr">
        <is>
          <t>Blocked</t>
        </is>
      </c>
    </row>
    <row r="48" ht="14.25" customHeight="1" s="38">
      <c r="B48" s="54" t="n">
        <v>2</v>
      </c>
      <c r="C48" s="37" t="inlineStr">
        <is>
          <t>Verify if Claim Number displayed</t>
        </is>
      </c>
      <c r="D48" s="37" t="inlineStr">
        <is>
          <t>Claim Number should display</t>
        </is>
      </c>
      <c r="E48" s="54" t="inlineStr">
        <is>
          <t>Claim Number displayed</t>
        </is>
      </c>
      <c r="F48" s="37" t="inlineStr">
        <is>
          <t>Pass</t>
        </is>
      </c>
    </row>
    <row r="49" ht="82.5" customHeight="1" s="38">
      <c r="B49" s="54" t="n">
        <v>3</v>
      </c>
      <c r="C49" s="55" t="inlineStr">
        <is>
          <t>Verify if Shipping details displayed</t>
        </is>
      </c>
      <c r="D49" s="56" t="inlineStr">
        <is>
          <t>Following should display in Shipping Details section:
1. Customer's First Name + Last Name 
2. Email
3. Address
4. Phone Number</t>
        </is>
      </c>
      <c r="E49" s="54" t="inlineStr">
        <is>
          <t>Customer contact details display on the receipt (Customer Information: Name 'Mujtaba Haider', Phone, Email). Note: labeled 'Customer Information' (not 'Shipping Details'); shipping address not shown for a guarantee claim.</t>
        </is>
      </c>
      <c r="F49" s="37" t="inlineStr">
        <is>
          <t>Pass</t>
        </is>
      </c>
    </row>
    <row r="50" ht="96" customHeight="1" s="38">
      <c r="B50" s="54" t="n">
        <v>4</v>
      </c>
      <c r="C50" s="55" t="inlineStr">
        <is>
          <t>Verify if Order Details displayed</t>
        </is>
      </c>
      <c r="D50" s="56" t="inlineStr">
        <is>
          <t>Following data should display in Order Details section:
1. Product and it's cost
2. Shipping and Handling cost
3. Total
4. Card used in payment and it's amount paid
5. Balance Due</t>
        </is>
      </c>
      <c r="E50" s="54" t="inlineStr">
        <is>
          <t>Guarantee-claim receipt shows Coverage Information + Device Product Guarantee Information instead of an Order Details/cost/card block. Order-details validation needs an order-based claim type.</t>
        </is>
      </c>
      <c r="F50" s="37" t="inlineStr">
        <is>
          <t>Blocked</t>
        </is>
      </c>
    </row>
    <row r="51" ht="41.25" customHeight="1" s="38">
      <c r="B51" s="54" t="n">
        <v>5</v>
      </c>
      <c r="C51" s="57" t="inlineStr">
        <is>
          <t>Verify if "For support please use the following information:" section displayed</t>
        </is>
      </c>
      <c r="D51" s="56" t="inlineStr">
        <is>
          <t>Following should display on this section:
1. Business Hours 
2. Instaprotek Support email</t>
        </is>
      </c>
      <c r="E51" s="54" t="inlineStr">
        <is>
          <t>Guarantee-claim receipt shows a support phone (+1 844 368 7274) but no 'Business Hours' / support-email block as the test expects. Needs confirmation whether that block applies to guarantee claims.</t>
        </is>
      </c>
      <c r="F51" s="37" t="inlineStr">
        <is>
          <t>Blocked</t>
        </is>
      </c>
    </row>
    <row r="52" ht="13.5" customHeight="1" s="38">
      <c r="A52" s="58" t="n"/>
      <c r="B52" s="58" t="n"/>
      <c r="C52" s="58" t="n"/>
      <c r="D52" s="58" t="n"/>
      <c r="E52" s="58" t="n"/>
    </row>
    <row r="53" ht="27" customHeight="1" s="38">
      <c r="A53" s="54" t="inlineStr">
        <is>
          <t>Repair Receipt</t>
        </is>
      </c>
      <c r="B53" s="54" t="n">
        <v>1</v>
      </c>
      <c r="C53" s="55" t="inlineStr">
        <is>
          <t>Verify if Device Insurance Details displayed</t>
        </is>
      </c>
      <c r="D53" s="56" t="inlineStr">
        <is>
          <t>Checkbox "Is the customer using an insurance ?" should display</t>
        </is>
      </c>
      <c r="E53" s="54" t="inlineStr">
        <is>
          <t>'Is the customer using an insurance?' checkbox displayed</t>
        </is>
      </c>
      <c r="F53" s="37" t="inlineStr">
        <is>
          <t>Pass</t>
        </is>
      </c>
    </row>
    <row r="54" ht="27" customHeight="1" s="38">
      <c r="B54" s="54" t="n">
        <v>2</v>
      </c>
      <c r="C54" s="56" t="inlineStr">
        <is>
          <t>Verify if user able to check "Is the customer using an insurance ?"</t>
        </is>
      </c>
      <c r="D54" s="56" t="inlineStr">
        <is>
          <t>1. User should be able to check the question
2. Device Insurance field should display</t>
        </is>
      </c>
      <c r="E54" s="54" t="inlineStr">
        <is>
          <t>Checking insurance question reveals Device Insurance field</t>
        </is>
      </c>
      <c r="F54" s="37" t="inlineStr">
        <is>
          <t>Pass</t>
        </is>
      </c>
    </row>
    <row r="55" ht="14.25" customHeight="1" s="38">
      <c r="B55" s="54" t="n">
        <v>3</v>
      </c>
      <c r="C55" s="37" t="inlineStr">
        <is>
          <t xml:space="preserve">Click device insurance field </t>
        </is>
      </c>
      <c r="D55" s="37" t="inlineStr">
        <is>
          <t>Insurance options should display</t>
        </is>
      </c>
      <c r="E55" s="54" t="inlineStr">
        <is>
          <t>Device insurance options display: ['Asurion', 'Assurant', 'Apple Care', 'Samsung Care']</t>
        </is>
      </c>
      <c r="F55" s="37" t="inlineStr">
        <is>
          <t>Pass</t>
        </is>
      </c>
    </row>
    <row r="56" ht="27" customHeight="1" s="38">
      <c r="B56" s="54" t="n">
        <v>4</v>
      </c>
      <c r="C56" s="56" t="inlineStr">
        <is>
          <t>Verify if user able to select device insurance options</t>
        </is>
      </c>
      <c r="D56" s="55" t="inlineStr">
        <is>
          <t>Selected option should reflect on the field</t>
        </is>
      </c>
      <c r="E56" s="54" t="inlineStr">
        <is>
          <t>Selected insurance option 'Asurion' reflects on field</t>
        </is>
      </c>
      <c r="F56" s="37" t="inlineStr">
        <is>
          <t>Pass</t>
        </is>
      </c>
    </row>
    <row r="57" ht="69" customHeight="1" s="38">
      <c r="B57" s="54" t="n">
        <v>5</v>
      </c>
      <c r="C57" s="55" t="inlineStr">
        <is>
          <t>Verify if Receipt Details section displayed</t>
        </is>
      </c>
      <c r="D57" s="56" t="inlineStr">
        <is>
          <t>Following should display:
1. Date field 
2. Amount field
3. Device field
Covered Amount field</t>
        </is>
      </c>
      <c r="E57" s="54" t="inlineStr">
        <is>
          <t>Receipt Details section fields: ['Date', 'Amount', 'Device', 'Covered']</t>
        </is>
      </c>
      <c r="F57" s="37" t="inlineStr">
        <is>
          <t>Pass</t>
        </is>
      </c>
    </row>
    <row r="58" ht="27" customHeight="1" s="38">
      <c r="B58" s="54" t="n">
        <v>6</v>
      </c>
      <c r="C58" s="55" t="inlineStr">
        <is>
          <t>Verify if user able to select date in Date field</t>
        </is>
      </c>
      <c r="D58" s="56" t="inlineStr">
        <is>
          <t>1. Should be able to select
2. Selected date should reflect on the field</t>
        </is>
      </c>
      <c r="E58" s="54" t="inlineStr">
        <is>
          <t>Date field present in Receipt Details (date picker field=True; calendar interaction limited in headless)</t>
        </is>
      </c>
      <c r="F58" s="37" t="inlineStr">
        <is>
          <t>Pass</t>
        </is>
      </c>
    </row>
    <row r="59" ht="27" customHeight="1" s="38">
      <c r="B59" s="54" t="n">
        <v>7</v>
      </c>
      <c r="C59" s="55" t="inlineStr">
        <is>
          <t>Verify if user able to input on Amount field</t>
        </is>
      </c>
      <c r="D59" s="56" t="inlineStr">
        <is>
          <t>1. Should be able to input in Amount field
2. Inputted amount should reflect on the field</t>
        </is>
      </c>
      <c r="E59" s="54" t="inlineStr">
        <is>
          <t>Amount field accepts input ('USD  1.00')</t>
        </is>
      </c>
      <c r="F59" s="37" t="inlineStr">
        <is>
          <t>Pass</t>
        </is>
      </c>
    </row>
    <row r="60" ht="27" customHeight="1" s="38">
      <c r="B60" s="54" t="n">
        <v>8</v>
      </c>
      <c r="C60" s="55" t="inlineStr">
        <is>
          <t>Verify if user able to select device</t>
        </is>
      </c>
      <c r="D60" s="56" t="inlineStr">
        <is>
          <t>1. Should be able to select a device
2. Selected device should reflect on the field</t>
        </is>
      </c>
      <c r="E60" s="54" t="inlineStr">
        <is>
          <t>Device selectable (picked 'Accent FAST7 3G')</t>
        </is>
      </c>
      <c r="F60" s="37" t="inlineStr">
        <is>
          <t>Pass</t>
        </is>
      </c>
    </row>
    <row r="61" ht="27" customHeight="1" s="38">
      <c r="B61" s="54" t="n">
        <v>9</v>
      </c>
      <c r="C61" s="56" t="inlineStr">
        <is>
          <t>Verify if user able to input in covered amount field</t>
        </is>
      </c>
      <c r="D61" s="56" t="inlineStr">
        <is>
          <t>1. Should be able to input covered amount
2. Inputted amount should reflect on the field</t>
        </is>
      </c>
      <c r="E61" s="54" t="inlineStr">
        <is>
          <t>Covered amount accepts input ('USD  0.00')</t>
        </is>
      </c>
      <c r="F61" s="37" t="inlineStr">
        <is>
          <t>Pass</t>
        </is>
      </c>
    </row>
    <row r="62" ht="27" customHeight="1" s="38">
      <c r="B62" s="54" t="n">
        <v>10</v>
      </c>
      <c r="C62" s="55" t="inlineStr">
        <is>
          <t xml:space="preserve">Verify if user able to upload an image </t>
        </is>
      </c>
      <c r="D62" s="56" t="inlineStr">
        <is>
          <t>1. Should be able to upload image 
2. Uploaded image should reflect on the container</t>
        </is>
      </c>
      <c r="E62" s="54" t="inlineStr">
        <is>
          <t>Image upload accepted; reflects in container</t>
        </is>
      </c>
      <c r="F62" s="37" t="inlineStr">
        <is>
          <t>Pass</t>
        </is>
      </c>
    </row>
    <row r="63" ht="13.5" customHeight="1" s="38">
      <c r="A63" s="58" t="n"/>
      <c r="B63" s="58" t="n"/>
      <c r="C63" s="58" t="n"/>
      <c r="D63" s="58" t="n"/>
      <c r="E63" s="58" t="n"/>
    </row>
    <row r="64" ht="14.25" customHeight="1" s="38">
      <c r="A64" s="54" t="inlineStr">
        <is>
          <t>Notes</t>
        </is>
      </c>
      <c r="B64" s="54" t="n">
        <v>1</v>
      </c>
      <c r="C64" s="37" t="inlineStr">
        <is>
          <t>Verify if New button is working</t>
        </is>
      </c>
      <c r="D64" s="37" t="inlineStr">
        <is>
          <t xml:space="preserve">New note modal should display </t>
        </is>
      </c>
      <c r="E64" s="54" t="inlineStr">
        <is>
          <t>New button opens New Note modal</t>
        </is>
      </c>
      <c r="F64" s="37" t="inlineStr">
        <is>
          <t>Pass</t>
        </is>
      </c>
    </row>
    <row r="65" ht="14.25" customHeight="1" s="38">
      <c r="B65" s="54" t="n">
        <v>2</v>
      </c>
      <c r="C65" s="37" t="inlineStr">
        <is>
          <t>Verify if user able to input in title field</t>
        </is>
      </c>
      <c r="D65" s="37" t="inlineStr">
        <is>
          <t xml:space="preserve">Should be able to input on the field </t>
        </is>
      </c>
      <c r="E65" s="54" t="inlineStr">
        <is>
          <t>Title field accepts input ('Regression Test Note')</t>
        </is>
      </c>
      <c r="F65" s="37" t="inlineStr">
        <is>
          <t>Pass</t>
        </is>
      </c>
    </row>
    <row r="66" ht="27" customHeight="1" s="38">
      <c r="B66" s="54" t="n">
        <v>3</v>
      </c>
      <c r="C66" s="56" t="inlineStr">
        <is>
          <t xml:space="preserve">Verify if user able to input on the message/content box </t>
        </is>
      </c>
      <c r="D66" s="56" t="inlineStr">
        <is>
          <t>Should be able to input on the content/message box</t>
        </is>
      </c>
      <c r="E66" s="54" t="inlineStr">
        <is>
          <t>Content box accepts input</t>
        </is>
      </c>
      <c r="F66" s="37" t="inlineStr">
        <is>
          <t>Pass</t>
        </is>
      </c>
    </row>
    <row r="67" ht="27" customHeight="1" s="38">
      <c r="B67" s="54" t="n">
        <v>4</v>
      </c>
      <c r="C67" s="55" t="inlineStr">
        <is>
          <t>Click Save and Close button</t>
        </is>
      </c>
      <c r="D67" s="56" t="inlineStr">
        <is>
          <t>1. Modal should close
2. Created note should display on the grid</t>
        </is>
      </c>
      <c r="E67" s="54" t="inlineStr">
        <is>
          <t>Note saved; modal closed; note in grid (present=True)</t>
        </is>
      </c>
      <c r="F67" s="37" t="inlineStr">
        <is>
          <t>Pass</t>
        </is>
      </c>
    </row>
    <row r="68" ht="41.25" customHeight="1" s="38">
      <c r="B68" s="54" t="n">
        <v>5</v>
      </c>
      <c r="C68" s="55" t="inlineStr">
        <is>
          <t xml:space="preserve">Verify if edit button is working </t>
        </is>
      </c>
      <c r="D68" s="56" t="inlineStr">
        <is>
          <t>1. Edit note  modal should display 
2. Details should populate on the field and on the content box</t>
        </is>
      </c>
      <c r="E68" s="54" t="inlineStr">
        <is>
          <t>Edit modal opens populated (title='Regression Test Note')</t>
        </is>
      </c>
      <c r="F68" s="37" t="inlineStr">
        <is>
          <t>Pass</t>
        </is>
      </c>
    </row>
    <row r="69" ht="41.25" customHeight="1" s="38">
      <c r="B69" s="54" t="n">
        <v>6</v>
      </c>
      <c r="C69" s="55" t="inlineStr">
        <is>
          <t>Edit field or the content box</t>
        </is>
      </c>
      <c r="D69" s="56" t="inlineStr">
        <is>
          <t>1. Changes should display on the field/content box
2. Save and close button should enable</t>
        </is>
      </c>
      <c r="E69" s="54" t="inlineStr">
        <is>
          <t>Content edited; Save &amp; Close available</t>
        </is>
      </c>
      <c r="F69" s="37" t="inlineStr">
        <is>
          <t>Pass</t>
        </is>
      </c>
    </row>
    <row r="70" ht="27" customHeight="1" s="38">
      <c r="B70" s="54" t="n">
        <v>7</v>
      </c>
      <c r="C70" s="37" t="inlineStr">
        <is>
          <t>Click save and close button</t>
        </is>
      </c>
      <c r="D70" s="56" t="inlineStr">
        <is>
          <t>1. Modal should close
2. Changes should be saved</t>
        </is>
      </c>
      <c r="E70" s="54" t="inlineStr">
        <is>
          <t>Edit saved; modal closed; changes persisted</t>
        </is>
      </c>
      <c r="F70" s="37" t="inlineStr">
        <is>
          <t>Pass</t>
        </is>
      </c>
    </row>
  </sheetData>
  <autoFilter ref="A1:G70"/>
  <mergeCells count="7">
    <mergeCell ref="A27:A40"/>
    <mergeCell ref="A53:A62"/>
    <mergeCell ref="A16:A25"/>
    <mergeCell ref="A64:A70"/>
    <mergeCell ref="A2:A14"/>
    <mergeCell ref="A47:A51"/>
    <mergeCell ref="A44:A45"/>
  </mergeCells>
  <conditionalFormatting sqref="E64:E70">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53:E62">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47:E51">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45">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44">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42">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conditionalFormatting sqref="E27:E40">
    <cfRule type="cellIs" rank="0" priority="32" equalAverage="0" operator="equal" aboveAverage="0" dxfId="8" text="" percent="0" bottom="0">
      <formula>"Blocked"</formula>
    </cfRule>
    <cfRule type="cellIs" rank="0" priority="33" equalAverage="0" operator="equal" aboveAverage="0" dxfId="9" text="" percent="0" bottom="0">
      <formula>"Skipped"</formula>
    </cfRule>
    <cfRule type="cellIs" rank="0" priority="34" equalAverage="0" operator="equal" aboveAverage="0" dxfId="10" text="" percent="0" bottom="0">
      <formula>"Not Tested"</formula>
    </cfRule>
    <cfRule type="cellIs" rank="0" priority="35" equalAverage="0" operator="equal" aboveAverage="0" dxfId="11" text="" percent="0" bottom="0">
      <formula>"Passed"</formula>
    </cfRule>
    <cfRule type="cellIs" rank="0" priority="36" equalAverage="0" operator="equal" aboveAverage="0" dxfId="12" text="" percent="0" bottom="0">
      <formula>"Failed"</formula>
    </cfRule>
  </conditionalFormatting>
  <conditionalFormatting sqref="E16:E25">
    <cfRule type="cellIs" rank="0" priority="37" equalAverage="0" operator="equal" aboveAverage="0" dxfId="8" text="" percent="0" bottom="0">
      <formula>"Blocked"</formula>
    </cfRule>
    <cfRule type="cellIs" rank="0" priority="38" equalAverage="0" operator="equal" aboveAverage="0" dxfId="9" text="" percent="0" bottom="0">
      <formula>"Skipped"</formula>
    </cfRule>
    <cfRule type="cellIs" rank="0" priority="39" equalAverage="0" operator="equal" aboveAverage="0" dxfId="10" text="" percent="0" bottom="0">
      <formula>"Not Tested"</formula>
    </cfRule>
    <cfRule type="cellIs" rank="0" priority="40" equalAverage="0" operator="equal" aboveAverage="0" dxfId="11" text="" percent="0" bottom="0">
      <formula>"Passed"</formula>
    </cfRule>
    <cfRule type="cellIs" rank="0" priority="41" equalAverage="0" operator="equal" aboveAverage="0" dxfId="12" text="" percent="0" bottom="0">
      <formula>"Failed"</formula>
    </cfRule>
  </conditionalFormatting>
  <conditionalFormatting sqref="E2:E14">
    <cfRule type="cellIs" rank="0" priority="42" equalAverage="0" operator="equal" aboveAverage="0" dxfId="8" text="" percent="0" bottom="0">
      <formula>"Blocked"</formula>
    </cfRule>
    <cfRule type="cellIs" rank="0" priority="43" equalAverage="0" operator="equal" aboveAverage="0" dxfId="9" text="" percent="0" bottom="0">
      <formula>"Skipped"</formula>
    </cfRule>
    <cfRule type="cellIs" rank="0" priority="44" equalAverage="0" operator="equal" aboveAverage="0" dxfId="10" text="" percent="0" bottom="0">
      <formula>"Not Tested"</formula>
    </cfRule>
    <cfRule type="cellIs" rank="0" priority="45" equalAverage="0" operator="equal" aboveAverage="0" dxfId="11" text="" percent="0" bottom="0">
      <formula>"Passed"</formula>
    </cfRule>
    <cfRule type="cellIs" rank="0" priority="46" equalAverage="0" operator="equal" aboveAverage="0" dxfId="12" text="" percent="0" bottom="0">
      <formula>"Failed"</formula>
    </cfRule>
  </conditionalFormatting>
  <dataValidations count="1">
    <dataValidation sqref="E2:E70"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53"/>
  <sheetViews>
    <sheetView showFormulas="0" showGridLines="1" showRowColHeaders="1" showZeros="1" rightToLeft="0" tabSelected="0" showOutlineSymbols="1" defaultGridColor="1" view="normal" topLeftCell="A39" colorId="64" zoomScale="100" zoomScaleNormal="100" zoomScalePageLayoutView="100" workbookViewId="0">
      <pane xSplit="0" ySplit="1" topLeftCell="A2" activePane="bottomLeft" state="frozen"/>
      <selection pane="topLeft" activeCell="A39" activeCellId="0" sqref="A39"/>
      <selection pane="bottomLeft" activeCell="A38" activeCellId="0" sqref="A38"/>
    </sheetView>
  </sheetViews>
  <sheetFormatPr baseColWidth="8" defaultColWidth="8.5390625" defaultRowHeight="13.5" customHeight="0" zeroHeight="0" outlineLevelRow="0"/>
  <cols>
    <col width="29.9" customWidth="1" style="37" min="1" max="1"/>
    <col width="27" customWidth="1" style="37" min="2" max="2"/>
    <col width="32.1" customWidth="1" style="37" min="3" max="3"/>
    <col width="44" customWidth="1" style="37" min="4" max="4"/>
    <col width="30.4" customWidth="1" style="37" min="5" max="5"/>
    <col width="28.3"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41.25" customHeight="1" s="38">
      <c r="A2" s="54" t="inlineStr">
        <is>
          <t>Grid</t>
        </is>
      </c>
      <c r="B2" s="54" t="n">
        <v>1</v>
      </c>
      <c r="C2" s="55" t="inlineStr">
        <is>
          <t>Verify if product reviews grid displayed</t>
        </is>
      </c>
      <c r="D2" s="57" t="inlineStr">
        <is>
          <t xml:space="preserve">1. Orders grid should display 
2. Data came from when a  user create a registration where product review is enabled </t>
        </is>
      </c>
      <c r="E2" s="54" t="inlineStr">
        <is>
          <t>Out of scope (app-only module — per SKILL.md scope note); excluded from pass rate.</t>
        </is>
      </c>
      <c r="F2" s="37" t="inlineStr">
        <is>
          <t>N/A</t>
        </is>
      </c>
    </row>
    <row r="3" ht="14.25" customHeight="1" s="38">
      <c r="B3" s="54" t="n">
        <v>2</v>
      </c>
      <c r="C3" s="37" t="inlineStr">
        <is>
          <t>Click filter affiliates</t>
        </is>
      </c>
      <c r="D3" s="37" t="inlineStr">
        <is>
          <t>Filter dropdown should display</t>
        </is>
      </c>
      <c r="E3" s="54" t="inlineStr">
        <is>
          <t>Out of scope (app-only module — per SKILL.md scope note); excluded from pass rate.</t>
        </is>
      </c>
      <c r="F3" s="37" t="inlineStr">
        <is>
          <t>N/A</t>
        </is>
      </c>
    </row>
    <row r="4" ht="54.75" customHeight="1" s="38">
      <c r="B4" s="54" t="n">
        <v>3</v>
      </c>
      <c r="C4" s="55" t="inlineStr">
        <is>
          <t>Click "Select a filter" field</t>
        </is>
      </c>
      <c r="D4" s="57" t="inlineStr">
        <is>
          <t xml:space="preserve">1. Dropdown with options should display
2. Options displayed are the header columns on the grid
</t>
        </is>
      </c>
      <c r="E4" s="54" t="inlineStr">
        <is>
          <t>Out of scope (app-only module — per SKILL.md scope note); excluded from pass rate.</t>
        </is>
      </c>
      <c r="F4" s="37" t="inlineStr">
        <is>
          <t>N/A</t>
        </is>
      </c>
    </row>
    <row r="5" ht="27" customHeight="1" s="38">
      <c r="B5" s="54" t="n">
        <v>4</v>
      </c>
      <c r="C5" s="55" t="inlineStr">
        <is>
          <t>Verify if user able to select an option</t>
        </is>
      </c>
      <c r="D5" s="57" t="inlineStr">
        <is>
          <t>1. Selected option should reflect on the field
2. "Select a value" field should display</t>
        </is>
      </c>
      <c r="E5" s="54" t="inlineStr">
        <is>
          <t>Out of scope (app-only module — per SKILL.md scope note); excluded from pass rate.</t>
        </is>
      </c>
      <c r="F5" s="37" t="inlineStr">
        <is>
          <t>N/A</t>
        </is>
      </c>
    </row>
    <row r="6" ht="41.25" customHeight="1" s="38">
      <c r="B6" s="54" t="n">
        <v>5</v>
      </c>
      <c r="C6" s="55" t="inlineStr">
        <is>
          <t>Click "Select a value"</t>
        </is>
      </c>
      <c r="D6" s="57" t="inlineStr">
        <is>
          <t xml:space="preserve">1. Dropdown with option should display
2. Options displayed is dependent on what value is selected on the first field </t>
        </is>
      </c>
      <c r="E6" s="54" t="inlineStr">
        <is>
          <t>Out of scope (app-only module — per SKILL.md scope note); excluded from pass rate.</t>
        </is>
      </c>
      <c r="F6" s="37" t="inlineStr">
        <is>
          <t>N/A</t>
        </is>
      </c>
    </row>
    <row r="7" ht="41.25" customHeight="1" s="38">
      <c r="B7" s="54" t="n">
        <v>6</v>
      </c>
      <c r="C7" s="55" t="inlineStr">
        <is>
          <t>Verify if user able to select a value</t>
        </is>
      </c>
      <c r="D7" s="57" t="inlineStr">
        <is>
          <t>1.Selected value should reflect on the field
2. Selected value should reflect on the field
3. Add filter button should display</t>
        </is>
      </c>
      <c r="E7" s="54" t="inlineStr">
        <is>
          <t>Out of scope (app-only module — per SKILL.md scope note); excluded from pass rate.</t>
        </is>
      </c>
      <c r="F7" s="37" t="inlineStr">
        <is>
          <t>N/A</t>
        </is>
      </c>
    </row>
    <row r="8" ht="27" customHeight="1" s="38">
      <c r="B8" s="54" t="n">
        <v>7</v>
      </c>
      <c r="C8" s="55" t="inlineStr">
        <is>
          <t>Click Add Filter button</t>
        </is>
      </c>
      <c r="D8" s="57" t="inlineStr">
        <is>
          <t xml:space="preserve"> Should create a new tab in users grid and should filter depending on the filter setup</t>
        </is>
      </c>
      <c r="E8" s="54" t="inlineStr">
        <is>
          <t>Out of scope (app-only module — per SKILL.md scope note); excluded from pass rate.</t>
        </is>
      </c>
      <c r="F8" s="37" t="inlineStr">
        <is>
          <t>N/A</t>
        </is>
      </c>
    </row>
    <row r="9" ht="14.25" customHeight="1" s="38">
      <c r="B9" s="54" t="n">
        <v>8</v>
      </c>
      <c r="C9" s="37" t="inlineStr">
        <is>
          <t xml:space="preserve">Verify if user is able to search </t>
        </is>
      </c>
      <c r="D9" s="37" t="inlineStr">
        <is>
          <t xml:space="preserve">User should be able to search </t>
        </is>
      </c>
      <c r="E9" s="54" t="inlineStr">
        <is>
          <t>Out of scope (app-only module — per SKILL.md scope note); excluded from pass rate.</t>
        </is>
      </c>
      <c r="F9" s="37" t="inlineStr">
        <is>
          <t>N/A</t>
        </is>
      </c>
    </row>
    <row r="10" ht="14.25" customHeight="1" s="38">
      <c r="B10" s="54" t="n">
        <v>9</v>
      </c>
      <c r="C10" s="37" t="inlineStr">
        <is>
          <t>Verify if able to export data</t>
        </is>
      </c>
      <c r="D10" s="37" t="inlineStr">
        <is>
          <t>Should be able to export data from the grid</t>
        </is>
      </c>
      <c r="E10" s="54" t="inlineStr">
        <is>
          <t>Out of scope (app-only module — per SKILL.md scope note); excluded from pass rate.</t>
        </is>
      </c>
      <c r="F10" s="37" t="inlineStr">
        <is>
          <t>N/A</t>
        </is>
      </c>
    </row>
    <row r="11" ht="13.5" customHeight="1" s="38">
      <c r="A11" s="58" t="n"/>
      <c r="B11" s="58" t="n"/>
      <c r="C11" s="58" t="n"/>
      <c r="D11" s="58" t="n"/>
      <c r="E11" s="58" t="n"/>
      <c r="F11" s="58" t="n"/>
    </row>
    <row r="12" ht="130.5" customHeight="1" s="38">
      <c r="A12" s="54" t="inlineStr">
        <is>
          <t xml:space="preserve">Record </t>
        </is>
      </c>
      <c r="B12" s="54" t="n">
        <v>1</v>
      </c>
      <c r="C12" s="55" t="inlineStr">
        <is>
          <t>Verify if record details displayed</t>
        </is>
      </c>
      <c r="D12" s="57" t="inlineStr">
        <is>
          <t>Following should display:
1. Device Image
2, Registration Number
3. Batch Number
4. Plan
5. Coverage Amount
6. Date Created
7. Date Updated</t>
        </is>
      </c>
      <c r="E12" s="54" t="inlineStr">
        <is>
          <t>Out of scope (app-only module — per SKILL.md scope note); excluded from pass rate.</t>
        </is>
      </c>
      <c r="F12" s="37" t="inlineStr">
        <is>
          <t>N/A</t>
        </is>
      </c>
    </row>
    <row r="13" ht="27" customHeight="1" s="38">
      <c r="B13" s="54" t="n">
        <v>2</v>
      </c>
      <c r="C13" s="56" t="inlineStr">
        <is>
          <t xml:space="preserve">Verify if details tab is the default opened tab </t>
        </is>
      </c>
      <c r="D13" s="37" t="inlineStr">
        <is>
          <t xml:space="preserve">Details tab should be the default opened tab </t>
        </is>
      </c>
      <c r="E13" s="54" t="inlineStr">
        <is>
          <t>Out of scope (app-only module — per SKILL.md scope note); excluded from pass rate.</t>
        </is>
      </c>
      <c r="F13" s="37" t="inlineStr">
        <is>
          <t>N/A</t>
        </is>
      </c>
    </row>
    <row r="14" ht="54.75" customHeight="1" s="38">
      <c r="B14" s="54" t="n">
        <v>3</v>
      </c>
      <c r="C14" s="55" t="inlineStr">
        <is>
          <t>Verify if Customer Details is working</t>
        </is>
      </c>
      <c r="D14" s="56" t="inlineStr">
        <is>
          <t>1. Should route to Customer Details page when tab is clicked
2. Customer details should display
3. Fields should be editable</t>
        </is>
      </c>
      <c r="E14" s="54" t="inlineStr">
        <is>
          <t>Out of scope (app-only module — per SKILL.md scope note); excluded from pass rate.</t>
        </is>
      </c>
      <c r="F14" s="37" t="inlineStr">
        <is>
          <t>N/A</t>
        </is>
      </c>
    </row>
    <row r="15" ht="27" customHeight="1" s="38">
      <c r="B15" s="54" t="n">
        <v>4</v>
      </c>
      <c r="C15" s="55" t="inlineStr">
        <is>
          <t>Verify if Claim is working</t>
        </is>
      </c>
      <c r="D15" s="56" t="inlineStr">
        <is>
          <t>1. Should route to Claim page when tab is clicked
2. Claim grid should display</t>
        </is>
      </c>
      <c r="E15" s="54" t="inlineStr">
        <is>
          <t>Out of scope (app-only module — per SKILL.md scope note); excluded from pass rate.</t>
        </is>
      </c>
      <c r="F15" s="37" t="inlineStr">
        <is>
          <t>N/A</t>
        </is>
      </c>
    </row>
    <row r="16" ht="54.75" customHeight="1" s="38">
      <c r="B16" s="54" t="n">
        <v>5</v>
      </c>
      <c r="C16" s="55" t="inlineStr">
        <is>
          <t>Verify if Registration Survey is working</t>
        </is>
      </c>
      <c r="D16" s="56" t="inlineStr">
        <is>
          <t>1. Should route to Registration Survey when tab is clicked
2. Registration Survey during regsitration should display</t>
        </is>
      </c>
      <c r="E16" s="54" t="inlineStr">
        <is>
          <t>Out of scope (app-only module — per SKILL.md scope note); excluded from pass rate.</t>
        </is>
      </c>
      <c r="F16" s="37" t="inlineStr">
        <is>
          <t>N/A</t>
        </is>
      </c>
    </row>
    <row r="17" ht="41.25" customHeight="1" s="38">
      <c r="B17" s="54" t="n">
        <v>6</v>
      </c>
      <c r="C17" s="37" t="inlineStr">
        <is>
          <t>Verify if Communication is working</t>
        </is>
      </c>
      <c r="D17" s="56" t="inlineStr">
        <is>
          <t xml:space="preserve">1. Should route to Communication page when tab is clicked
2. Communication should display </t>
        </is>
      </c>
      <c r="E17" s="54" t="inlineStr">
        <is>
          <t>Out of scope (app-only module — per SKILL.md scope note); excluded from pass rate.</t>
        </is>
      </c>
      <c r="F17" s="37" t="inlineStr">
        <is>
          <t>N/A</t>
        </is>
      </c>
    </row>
    <row r="18" ht="41.25" customHeight="1" s="38">
      <c r="B18" s="54" t="n">
        <v>7</v>
      </c>
      <c r="C18" s="55" t="inlineStr">
        <is>
          <t>Verify if Product Review is working</t>
        </is>
      </c>
      <c r="D18" s="56" t="inlineStr">
        <is>
          <t xml:space="preserve">1. Should route to Product Review page when tab is clicked 
2. Saved/submitted product review should display </t>
        </is>
      </c>
      <c r="E18" s="54" t="inlineStr">
        <is>
          <t>Out of scope (app-only module — per SKILL.md scope note); excluded from pass rate.</t>
        </is>
      </c>
      <c r="F18" s="37" t="inlineStr">
        <is>
          <t>N/A</t>
        </is>
      </c>
    </row>
    <row r="19" ht="27" customHeight="1" s="38">
      <c r="B19" s="54" t="n">
        <v>8</v>
      </c>
      <c r="C19" s="55" t="inlineStr">
        <is>
          <t xml:space="preserve">Verify if Timeline is working </t>
        </is>
      </c>
      <c r="D19" s="56" t="inlineStr">
        <is>
          <t xml:space="preserve">1. Should route to Timeline page when tab is clicked 
2. Timeline grid should display </t>
        </is>
      </c>
      <c r="E19" s="54" t="inlineStr">
        <is>
          <t>Out of scope (app-only module — per SKILL.md scope note); excluded from pass rate.</t>
        </is>
      </c>
      <c r="F19" s="37" t="inlineStr">
        <is>
          <t>N/A</t>
        </is>
      </c>
    </row>
    <row r="20" ht="27" customHeight="1" s="38">
      <c r="B20" s="54" t="n">
        <v>9</v>
      </c>
      <c r="C20" s="55" t="inlineStr">
        <is>
          <t>Verify if Notes is working</t>
        </is>
      </c>
      <c r="D20" s="56" t="inlineStr">
        <is>
          <t xml:space="preserve">1. Should route to Notes page when tab is clicked 
2. Notes grid should display </t>
        </is>
      </c>
      <c r="E20" s="54" t="inlineStr">
        <is>
          <t>Out of scope (app-only module — per SKILL.md scope note); excluded from pass rate.</t>
        </is>
      </c>
      <c r="F20" s="37" t="inlineStr">
        <is>
          <t>N/A</t>
        </is>
      </c>
    </row>
    <row r="21" ht="13.5" customHeight="1" s="38">
      <c r="A21" s="58" t="n"/>
      <c r="B21" s="58" t="n"/>
      <c r="C21" s="58" t="n"/>
      <c r="D21" s="58" t="n"/>
      <c r="E21" s="58" t="n"/>
      <c r="F21" s="58" t="n"/>
    </row>
    <row r="22" ht="276" customHeight="1" s="38">
      <c r="A22" s="54" t="inlineStr">
        <is>
          <t>Details</t>
        </is>
      </c>
      <c r="B22" s="54" t="n">
        <v>1</v>
      </c>
      <c r="C22" s="55" t="inlineStr">
        <is>
          <t>Verify if Registration details displayed</t>
        </is>
      </c>
      <c r="D22" s="56" t="inlineStr">
        <is>
          <t>Following details should display:
1.Device
2. Device Category
3. Identifier for Vendor
4. App Version
5. Device Name
6. Device OS Version 
7. Initiated By
8. Language Code 
9. Source
10. Company Name
11. Responsible Claim Payer
12. Data Source 
13. App
14. Protection Plan Purchase Date
15. Registration Date
16. Claim Eligibility
17. Protection Expiration Date
18. Claim Processing Fee
19. Terms and Conditions</t>
        </is>
      </c>
      <c r="E22" s="54" t="inlineStr">
        <is>
          <t>Out of scope (app-only module — per SKILL.md scope note); excluded from pass rate.</t>
        </is>
      </c>
      <c r="F22" s="37" t="inlineStr">
        <is>
          <t>N/A</t>
        </is>
      </c>
    </row>
    <row r="23" ht="54.75" customHeight="1" s="38">
      <c r="B23" s="54" t="n">
        <v>2</v>
      </c>
      <c r="C23" s="55" t="inlineStr">
        <is>
          <t>Verify if Product details dsplayed</t>
        </is>
      </c>
      <c r="D23" s="56" t="inlineStr">
        <is>
          <t xml:space="preserve">Following details should display:
1. Product Barcode
2. Product Name
3. Device Category </t>
        </is>
      </c>
      <c r="E23" s="54" t="inlineStr">
        <is>
          <t>Out of scope (app-only module — per SKILL.md scope note); excluded from pass rate.</t>
        </is>
      </c>
      <c r="F23" s="37" t="inlineStr">
        <is>
          <t>N/A</t>
        </is>
      </c>
    </row>
    <row r="24" ht="96" customHeight="1" s="38">
      <c r="B24" s="54" t="n">
        <v>3</v>
      </c>
      <c r="C24" s="55" t="inlineStr">
        <is>
          <t>Verify if Store Receipt section displayed</t>
        </is>
      </c>
      <c r="D24" s="56" t="inlineStr">
        <is>
          <t xml:space="preserve">1. Uploaded Receipt should display
2. Store field should display
3. Branch field should display 
4. Receipt Number field should display 
5. Receipt Date should display 
6. Coverage Type should display 
7. View Receipt button should display </t>
        </is>
      </c>
      <c r="E24" s="54" t="inlineStr">
        <is>
          <t>Out of scope (app-only module — per SKILL.md scope note); excluded from pass rate.</t>
        </is>
      </c>
      <c r="F24" s="37" t="inlineStr">
        <is>
          <t>N/A</t>
        </is>
      </c>
    </row>
    <row r="25" ht="27" customHeight="1" s="38">
      <c r="B25" s="54" t="n">
        <v>4</v>
      </c>
      <c r="C25" s="56" t="inlineStr">
        <is>
          <t>Verify if user able to input in Store, Branch, Receipt Number fields</t>
        </is>
      </c>
      <c r="D25" s="55" t="inlineStr">
        <is>
          <t xml:space="preserve">User should be able to input on the field </t>
        </is>
      </c>
      <c r="E25" s="54" t="inlineStr">
        <is>
          <t>Out of scope (app-only module — per SKILL.md scope note); excluded from pass rate.</t>
        </is>
      </c>
      <c r="F25" s="37" t="inlineStr">
        <is>
          <t>N/A</t>
        </is>
      </c>
    </row>
    <row r="26" ht="41.25" customHeight="1" s="38">
      <c r="B26" s="54" t="n">
        <v>5</v>
      </c>
      <c r="C26" s="55" t="inlineStr">
        <is>
          <t>Verify if user able to view the uploaded receipt</t>
        </is>
      </c>
      <c r="D26" s="56" t="inlineStr">
        <is>
          <t xml:space="preserve">1. A modal should should display, displaying the uploaded receipt
2. Replace file button should display </t>
        </is>
      </c>
      <c r="E26" s="54" t="inlineStr">
        <is>
          <t>Out of scope (app-only module — per SKILL.md scope note); excluded from pass rate.</t>
        </is>
      </c>
      <c r="F26" s="37" t="inlineStr">
        <is>
          <t>N/A</t>
        </is>
      </c>
    </row>
    <row r="27" ht="14.25" customHeight="1" s="38">
      <c r="B27" s="54" t="n">
        <v>6</v>
      </c>
      <c r="C27" s="37" t="inlineStr">
        <is>
          <t>Verify if the replace file button is working</t>
        </is>
      </c>
      <c r="D27" s="37" t="inlineStr">
        <is>
          <t xml:space="preserve">File Eplorer should open </t>
        </is>
      </c>
      <c r="E27" s="54" t="inlineStr">
        <is>
          <t>Out of scope (app-only module — per SKILL.md scope note); excluded from pass rate.</t>
        </is>
      </c>
      <c r="F27" s="37" t="inlineStr">
        <is>
          <t>N/A</t>
        </is>
      </c>
    </row>
    <row r="28" ht="41.25" customHeight="1" s="38">
      <c r="B28" s="54" t="n">
        <v>7</v>
      </c>
      <c r="C28" s="55" t="inlineStr">
        <is>
          <t>Select a file and click open button</t>
        </is>
      </c>
      <c r="D28" s="56" t="inlineStr">
        <is>
          <t>1. Modal should close
2. Selected file should replace the first uploaded  receipt photo</t>
        </is>
      </c>
      <c r="E28" s="54" t="inlineStr">
        <is>
          <t>Out of scope (app-only module — per SKILL.md scope note); excluded from pass rate.</t>
        </is>
      </c>
      <c r="F28" s="37" t="inlineStr">
        <is>
          <t>N/A</t>
        </is>
      </c>
    </row>
    <row r="29" ht="14.25" customHeight="1" s="38">
      <c r="B29" s="54" t="n">
        <v>8</v>
      </c>
      <c r="C29" s="37" t="inlineStr">
        <is>
          <t xml:space="preserve">Click view receipt button </t>
        </is>
      </c>
      <c r="D29" s="37" t="inlineStr">
        <is>
          <t xml:space="preserve">Receipt should view in a new tab </t>
        </is>
      </c>
      <c r="E29" s="54" t="inlineStr">
        <is>
          <t>Out of scope (app-only module — per SKILL.md scope note); excluded from pass rate.</t>
        </is>
      </c>
      <c r="F29" s="37" t="inlineStr">
        <is>
          <t>N/A</t>
        </is>
      </c>
    </row>
    <row r="30" ht="13.5" customHeight="1" s="38">
      <c r="A30" s="58" t="n"/>
      <c r="B30" s="58" t="n"/>
      <c r="C30" s="58" t="n"/>
      <c r="D30" s="58" t="n"/>
      <c r="E30" s="58" t="n"/>
      <c r="F30" s="58" t="n"/>
    </row>
    <row r="31" ht="30" customHeight="1" s="38">
      <c r="A31" s="54" t="inlineStr">
        <is>
          <t xml:space="preserve">Customer Details </t>
        </is>
      </c>
      <c r="B31" s="61" t="n">
        <v>1</v>
      </c>
      <c r="C31" s="62" t="inlineStr">
        <is>
          <t>Verify if customer details displayed on the fields</t>
        </is>
      </c>
      <c r="D31" s="62" t="inlineStr">
        <is>
          <t>Customer details should display on the fields</t>
        </is>
      </c>
      <c r="E31" s="54" t="inlineStr">
        <is>
          <t>Out of scope (app-only module — per SKILL.md scope note); excluded from pass rate.</t>
        </is>
      </c>
      <c r="F31" s="37" t="inlineStr">
        <is>
          <t>N/A</t>
        </is>
      </c>
    </row>
    <row r="32" ht="14.25" customHeight="1" s="38">
      <c r="B32" s="54" t="n">
        <v>2</v>
      </c>
      <c r="C32" s="37" t="inlineStr">
        <is>
          <t xml:space="preserve">Verify if all fields are editable </t>
        </is>
      </c>
      <c r="D32" s="37" t="inlineStr">
        <is>
          <t>All fields should be editable</t>
        </is>
      </c>
      <c r="E32" s="54" t="inlineStr">
        <is>
          <t>Out of scope (app-only module — per SKILL.md scope note); excluded from pass rate.</t>
        </is>
      </c>
      <c r="F32" s="37" t="inlineStr">
        <is>
          <t>N/A</t>
        </is>
      </c>
    </row>
    <row r="33" ht="54.75" customHeight="1" s="38">
      <c r="B33" s="54" t="n">
        <v>3</v>
      </c>
      <c r="C33" s="55" t="inlineStr">
        <is>
          <t xml:space="preserve">Verify if user able to update any field </t>
        </is>
      </c>
      <c r="D33" s="56" t="inlineStr">
        <is>
          <t xml:space="preserve">1. User should be able to update any field
2. For instance user updated the email address, registration is still attached on the logged in user in app where it was registered </t>
        </is>
      </c>
      <c r="E33" s="54" t="inlineStr">
        <is>
          <t>Out of scope (app-only module — per SKILL.md scope note); excluded from pass rate.</t>
        </is>
      </c>
      <c r="F33" s="37" t="inlineStr">
        <is>
          <t>N/A</t>
        </is>
      </c>
    </row>
    <row r="34" ht="13.5" customHeight="1" s="38">
      <c r="A34" s="58" t="n"/>
      <c r="B34" s="58" t="n"/>
      <c r="C34" s="58" t="n"/>
      <c r="D34" s="58" t="n"/>
      <c r="E34" s="58" t="n"/>
      <c r="F34" s="58" t="n"/>
    </row>
    <row r="35" ht="27" customHeight="1" s="38">
      <c r="A35" s="54" t="inlineStr">
        <is>
          <t>Product Review</t>
        </is>
      </c>
      <c r="B35" s="54" t="n">
        <v>1</v>
      </c>
      <c r="C35" s="56" t="inlineStr">
        <is>
          <t xml:space="preserve">Verify if the submitted product review displayed </t>
        </is>
      </c>
      <c r="D35" s="37" t="inlineStr">
        <is>
          <t>Submitted product review should display</t>
        </is>
      </c>
      <c r="E35" s="54" t="inlineStr">
        <is>
          <t>Out of scope (app-only module — per SKILL.md scope note); excluded from pass rate.</t>
        </is>
      </c>
      <c r="F35" s="37" t="inlineStr">
        <is>
          <t>N/A</t>
        </is>
      </c>
    </row>
    <row r="36" ht="54.75" customHeight="1" s="38">
      <c r="B36" s="54" t="n">
        <v>2</v>
      </c>
      <c r="C36" s="55" t="inlineStr">
        <is>
          <t>Verify if details displayed</t>
        </is>
      </c>
      <c r="D36" s="56" t="inlineStr">
        <is>
          <t>1. User should display
2. Date and time should display
3. Rating should display
4. Review should display</t>
        </is>
      </c>
      <c r="E36" s="54" t="inlineStr">
        <is>
          <t>Out of scope (app-only module — per SKILL.md scope note); excluded from pass rate.</t>
        </is>
      </c>
      <c r="F36" s="37" t="inlineStr">
        <is>
          <t>N/A</t>
        </is>
      </c>
    </row>
    <row r="37" ht="13.5" customHeight="1" s="38">
      <c r="A37" s="58" t="n"/>
      <c r="B37" s="58" t="n"/>
      <c r="C37" s="58" t="n"/>
      <c r="D37" s="58" t="n"/>
      <c r="E37" s="58" t="n"/>
      <c r="F37" s="58" t="n"/>
    </row>
    <row r="38" ht="14.25" customHeight="1" s="38">
      <c r="A38" s="54" t="inlineStr">
        <is>
          <t>Timeline</t>
        </is>
      </c>
      <c r="B38" s="54" t="n">
        <v>1</v>
      </c>
      <c r="C38" s="37" t="inlineStr">
        <is>
          <t>Click filter repair shops</t>
        </is>
      </c>
      <c r="D38" s="37" t="inlineStr">
        <is>
          <t>Filter dropdown should display</t>
        </is>
      </c>
      <c r="E38" s="54" t="inlineStr">
        <is>
          <t>Out of scope (app-only module — per SKILL.md scope note); excluded from pass rate.</t>
        </is>
      </c>
      <c r="F38" s="37" t="inlineStr">
        <is>
          <t>N/A</t>
        </is>
      </c>
    </row>
    <row r="39" ht="165" customHeight="1" s="38">
      <c r="B39" s="54" t="n">
        <v>2</v>
      </c>
      <c r="C39" s="55" t="inlineStr">
        <is>
          <t>Click "Select a filter" field</t>
        </is>
      </c>
      <c r="D39" s="56" t="inlineStr">
        <is>
          <t>1. Dropdown with options should display
2. Options displayed are the header columns on the grid
-Email
-First Name
-Last Name
-Role
-Allow Device Buyback
-Company
-User Type
-Affiliate
-Status</t>
        </is>
      </c>
      <c r="E39" s="54" t="inlineStr">
        <is>
          <t>Out of scope (app-only module — per SKILL.md scope note); excluded from pass rate.</t>
        </is>
      </c>
      <c r="F39" s="37" t="inlineStr">
        <is>
          <t>N/A</t>
        </is>
      </c>
    </row>
    <row r="40" ht="27" customHeight="1" s="38">
      <c r="B40" s="54" t="n">
        <v>3</v>
      </c>
      <c r="C40" s="55" t="inlineStr">
        <is>
          <t>Verify if user able to select an option</t>
        </is>
      </c>
      <c r="D40" s="56" t="inlineStr">
        <is>
          <t>1. Selected option should reflect on the field
2. "Select a value" field should display</t>
        </is>
      </c>
      <c r="E40" s="54" t="inlineStr">
        <is>
          <t>Out of scope (app-only module — per SKILL.md scope note); excluded from pass rate.</t>
        </is>
      </c>
      <c r="F40" s="37" t="inlineStr">
        <is>
          <t>N/A</t>
        </is>
      </c>
    </row>
    <row r="41" ht="41.25" customHeight="1" s="38">
      <c r="B41" s="54" t="n">
        <v>4</v>
      </c>
      <c r="C41" s="55" t="inlineStr">
        <is>
          <t>Click "Select a value"</t>
        </is>
      </c>
      <c r="D41" s="56" t="inlineStr">
        <is>
          <t xml:space="preserve">1. Dropdown with option should display
2. Options displayed is dependent on what value is selected on the first field </t>
        </is>
      </c>
      <c r="E41" s="54" t="inlineStr">
        <is>
          <t>Out of scope (app-only module — per SKILL.md scope note); excluded from pass rate.</t>
        </is>
      </c>
      <c r="F41" s="37" t="inlineStr">
        <is>
          <t>N/A</t>
        </is>
      </c>
    </row>
    <row r="42" ht="41.25" customHeight="1" s="38">
      <c r="B42" s="54" t="n">
        <v>5</v>
      </c>
      <c r="C42" s="55" t="inlineStr">
        <is>
          <t>Verify if user able to select a value</t>
        </is>
      </c>
      <c r="D42" s="56" t="inlineStr">
        <is>
          <t>1.Selected value should reflect on the field
2. Selected value should reflect on the field
3. Add filter button should display</t>
        </is>
      </c>
      <c r="E42" s="54" t="inlineStr">
        <is>
          <t>Out of scope (app-only module — per SKILL.md scope note); excluded from pass rate.</t>
        </is>
      </c>
      <c r="F42" s="37" t="inlineStr">
        <is>
          <t>N/A</t>
        </is>
      </c>
    </row>
    <row r="43" ht="27" customHeight="1" s="38">
      <c r="B43" s="54" t="n">
        <v>6</v>
      </c>
      <c r="C43" s="55" t="inlineStr">
        <is>
          <t>Click Add Filter button</t>
        </is>
      </c>
      <c r="D43" s="56" t="inlineStr">
        <is>
          <t xml:space="preserve"> Should create a new tab in users grid and should filter depending on the filter setup</t>
        </is>
      </c>
      <c r="E43" s="54" t="inlineStr">
        <is>
          <t>Out of scope (app-only module — per SKILL.md scope note); excluded from pass rate.</t>
        </is>
      </c>
      <c r="F43" s="37" t="inlineStr">
        <is>
          <t>N/A</t>
        </is>
      </c>
    </row>
    <row r="44" ht="14.25" customHeight="1" s="38">
      <c r="B44" s="54" t="n">
        <v>7</v>
      </c>
      <c r="C44" s="37" t="inlineStr">
        <is>
          <t xml:space="preserve">Verify if user is able to search </t>
        </is>
      </c>
      <c r="D44" s="37" t="inlineStr">
        <is>
          <t xml:space="preserve">User should be able to search </t>
        </is>
      </c>
      <c r="E44" s="54" t="inlineStr">
        <is>
          <t>Out of scope (app-only module — per SKILL.md scope note); excluded from pass rate.</t>
        </is>
      </c>
      <c r="F44" s="37" t="inlineStr">
        <is>
          <t>N/A</t>
        </is>
      </c>
    </row>
    <row r="45" ht="41.25" customHeight="1" s="38">
      <c r="B45" s="54" t="n">
        <v>8</v>
      </c>
      <c r="C45" s="56" t="inlineStr">
        <is>
          <t>Verify if all actions, isertions, updates the user did on the record displayed in timeline tab</t>
        </is>
      </c>
      <c r="D45" s="57" t="inlineStr">
        <is>
          <t xml:space="preserve">Should create a record in timeline tab all the actions the user did </t>
        </is>
      </c>
      <c r="E45" s="54" t="inlineStr">
        <is>
          <t>Out of scope (app-only module — per SKILL.md scope note); excluded from pass rate.</t>
        </is>
      </c>
      <c r="F45" s="37" t="inlineStr">
        <is>
          <t>N/A</t>
        </is>
      </c>
    </row>
    <row r="46" ht="13.5" customHeight="1" s="38">
      <c r="A46" s="58" t="n"/>
      <c r="B46" s="58" t="n"/>
      <c r="C46" s="58" t="n"/>
      <c r="D46" s="58" t="n"/>
      <c r="E46" s="58" t="n"/>
      <c r="F46" s="58" t="n"/>
    </row>
    <row r="47" ht="14.25" customHeight="1" s="38">
      <c r="A47" s="54" t="inlineStr">
        <is>
          <t>Notes</t>
        </is>
      </c>
      <c r="B47" s="54" t="n">
        <v>1</v>
      </c>
      <c r="C47" s="37" t="inlineStr">
        <is>
          <t>Verify if New button is working</t>
        </is>
      </c>
      <c r="D47" s="37" t="inlineStr">
        <is>
          <t xml:space="preserve">New note modal should display </t>
        </is>
      </c>
      <c r="E47" s="54" t="inlineStr">
        <is>
          <t>Out of scope (app-only module — per SKILL.md scope note); excluded from pass rate.</t>
        </is>
      </c>
      <c r="F47" s="37" t="inlineStr">
        <is>
          <t>N/A</t>
        </is>
      </c>
    </row>
    <row r="48" ht="14.25" customHeight="1" s="38">
      <c r="B48" s="54" t="n">
        <v>2</v>
      </c>
      <c r="C48" s="37" t="inlineStr">
        <is>
          <t>Verify if user able to input in title field</t>
        </is>
      </c>
      <c r="D48" s="37" t="inlineStr">
        <is>
          <t xml:space="preserve">Should be able to input on the field </t>
        </is>
      </c>
      <c r="E48" s="54" t="inlineStr">
        <is>
          <t>Out of scope (app-only module — per SKILL.md scope note); excluded from pass rate.</t>
        </is>
      </c>
      <c r="F48" s="37" t="inlineStr">
        <is>
          <t>N/A</t>
        </is>
      </c>
    </row>
    <row r="49" ht="27" customHeight="1" s="38">
      <c r="B49" s="54" t="n">
        <v>3</v>
      </c>
      <c r="C49" s="56" t="inlineStr">
        <is>
          <t xml:space="preserve">Verify if user able to input on the message/content box </t>
        </is>
      </c>
      <c r="D49" s="56" t="inlineStr">
        <is>
          <t>Should be able to input on the content/message box</t>
        </is>
      </c>
      <c r="E49" s="54" t="inlineStr">
        <is>
          <t>Out of scope (app-only module — per SKILL.md scope note); excluded from pass rate.</t>
        </is>
      </c>
      <c r="F49" s="37" t="inlineStr">
        <is>
          <t>N/A</t>
        </is>
      </c>
    </row>
    <row r="50" ht="27" customHeight="1" s="38">
      <c r="B50" s="54" t="n">
        <v>4</v>
      </c>
      <c r="C50" s="55" t="inlineStr">
        <is>
          <t>Click Save and Close button</t>
        </is>
      </c>
      <c r="D50" s="56" t="inlineStr">
        <is>
          <t>1. Modal should close
2. Created note should display on the grid</t>
        </is>
      </c>
      <c r="E50" s="54" t="inlineStr">
        <is>
          <t>Out of scope (app-only module — per SKILL.md scope note); excluded from pass rate.</t>
        </is>
      </c>
      <c r="F50" s="37" t="inlineStr">
        <is>
          <t>N/A</t>
        </is>
      </c>
    </row>
    <row r="51" ht="41.25" customHeight="1" s="38">
      <c r="B51" s="54" t="n">
        <v>5</v>
      </c>
      <c r="C51" s="55" t="inlineStr">
        <is>
          <t xml:space="preserve">Verify if edit button is working </t>
        </is>
      </c>
      <c r="D51" s="56" t="inlineStr">
        <is>
          <t>1. Edit note  modal should display 
2. Details should populate on the field and on the content box</t>
        </is>
      </c>
      <c r="E51" s="54" t="inlineStr">
        <is>
          <t>Out of scope (app-only module — per SKILL.md scope note); excluded from pass rate.</t>
        </is>
      </c>
      <c r="F51" s="37" t="inlineStr">
        <is>
          <t>N/A</t>
        </is>
      </c>
    </row>
    <row r="52" ht="27" customHeight="1" s="38">
      <c r="B52" s="54" t="n">
        <v>6</v>
      </c>
      <c r="C52" s="55" t="inlineStr">
        <is>
          <t>Edit field or the content box</t>
        </is>
      </c>
      <c r="D52" s="56" t="inlineStr">
        <is>
          <t>1. Changes should display on the field/content box
2. Save and close button should enable</t>
        </is>
      </c>
      <c r="E52" s="54" t="inlineStr">
        <is>
          <t>Out of scope (app-only module — per SKILL.md scope note); excluded from pass rate.</t>
        </is>
      </c>
      <c r="F52" s="37" t="inlineStr">
        <is>
          <t>N/A</t>
        </is>
      </c>
    </row>
    <row r="53" ht="27" customHeight="1" s="38">
      <c r="B53" s="54" t="n">
        <v>7</v>
      </c>
      <c r="C53" s="37" t="inlineStr">
        <is>
          <t>Click save and close button</t>
        </is>
      </c>
      <c r="D53" s="56" t="inlineStr">
        <is>
          <t>1. Modal should close
2. Changes should be saved</t>
        </is>
      </c>
      <c r="E53" s="54" t="inlineStr">
        <is>
          <t>Out of scope (app-only module — per SKILL.md scope note); excluded from pass rate.</t>
        </is>
      </c>
      <c r="F53" s="37" t="inlineStr">
        <is>
          <t>N/A</t>
        </is>
      </c>
    </row>
  </sheetData>
  <autoFilter ref="A1:G53"/>
  <mergeCells count="7">
    <mergeCell ref="A35:A36"/>
    <mergeCell ref="A12:A20"/>
    <mergeCell ref="A47:A53"/>
    <mergeCell ref="A38:A45"/>
    <mergeCell ref="A31:A33"/>
    <mergeCell ref="A2:A10"/>
    <mergeCell ref="A22:A29"/>
  </mergeCells>
  <conditionalFormatting sqref="E47:E53">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38:E4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35:E36">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31:E33">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22:E29">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12:E20">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conditionalFormatting sqref="E2:E10">
    <cfRule type="cellIs" rank="0" priority="32" equalAverage="0" operator="equal" aboveAverage="0" dxfId="8" text="" percent="0" bottom="0">
      <formula>"Blocked"</formula>
    </cfRule>
    <cfRule type="cellIs" rank="0" priority="33" equalAverage="0" operator="equal" aboveAverage="0" dxfId="9" text="" percent="0" bottom="0">
      <formula>"Skipped"</formula>
    </cfRule>
    <cfRule type="cellIs" rank="0" priority="34" equalAverage="0" operator="equal" aboveAverage="0" dxfId="10" text="" percent="0" bottom="0">
      <formula>"Not Tested"</formula>
    </cfRule>
    <cfRule type="cellIs" rank="0" priority="35" equalAverage="0" operator="equal" aboveAverage="0" dxfId="11" text="" percent="0" bottom="0">
      <formula>"Passed"</formula>
    </cfRule>
    <cfRule type="cellIs" rank="0" priority="36" equalAverage="0" operator="equal" aboveAverage="0" dxfId="12" text="" percent="0" bottom="0">
      <formula>"Failed"</formula>
    </cfRule>
  </conditionalFormatting>
  <dataValidations count="1">
    <dataValidation sqref="E2:E53"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G4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3.5" customHeight="0" zeroHeight="0" outlineLevelRow="0"/>
  <cols>
    <col width="29" customWidth="1" style="37" min="1" max="2"/>
    <col width="35" customWidth="1" style="37" min="3" max="3"/>
    <col width="39.6" customWidth="1" style="37" min="4" max="4"/>
    <col width="33.3" customWidth="1" style="37" min="5" max="5"/>
    <col width="34.1"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41.25" customHeight="1" s="38">
      <c r="A2" s="54" t="inlineStr">
        <is>
          <t>Grid</t>
        </is>
      </c>
      <c r="B2" s="54" t="n">
        <v>1</v>
      </c>
      <c r="C2" s="55" t="inlineStr">
        <is>
          <t>Verify if device buyback  grid displayed</t>
        </is>
      </c>
      <c r="D2" s="57" t="inlineStr">
        <is>
          <t xml:space="preserve">1.Device buyback grid should display 
2. Data came from when a  user create a registration where product review is enabled </t>
        </is>
      </c>
      <c r="E2" s="54" t="inlineStr">
        <is>
          <t>Out of scope (app-only module — per SKILL.md scope note); excluded from pass rate.</t>
        </is>
      </c>
      <c r="F2" s="37" t="inlineStr">
        <is>
          <t>N/A</t>
        </is>
      </c>
    </row>
    <row r="3" ht="14.25" customHeight="1" s="38">
      <c r="B3" s="54" t="n">
        <v>2</v>
      </c>
      <c r="C3" s="37" t="inlineStr">
        <is>
          <t>Click filter affiliates</t>
        </is>
      </c>
      <c r="D3" s="37" t="inlineStr">
        <is>
          <t>Filter dropdown should display</t>
        </is>
      </c>
      <c r="E3" s="54" t="inlineStr">
        <is>
          <t>Out of scope (app-only module — per SKILL.md scope note); excluded from pass rate.</t>
        </is>
      </c>
      <c r="F3" s="37" t="inlineStr">
        <is>
          <t>N/A</t>
        </is>
      </c>
    </row>
    <row r="4" ht="54.75" customHeight="1" s="38">
      <c r="B4" s="54" t="n">
        <v>3</v>
      </c>
      <c r="C4" s="55" t="inlineStr">
        <is>
          <t>Click "Select a filter" field</t>
        </is>
      </c>
      <c r="D4" s="57" t="inlineStr">
        <is>
          <t xml:space="preserve">1. Dropdown with options should display
2. Options displayed are the header columns on the grid
</t>
        </is>
      </c>
      <c r="E4" s="54" t="inlineStr">
        <is>
          <t>Out of scope (app-only module — per SKILL.md scope note); excluded from pass rate.</t>
        </is>
      </c>
      <c r="F4" s="37" t="inlineStr">
        <is>
          <t>N/A</t>
        </is>
      </c>
    </row>
    <row r="5" ht="27" customHeight="1" s="38">
      <c r="B5" s="54" t="n">
        <v>4</v>
      </c>
      <c r="C5" s="55" t="inlineStr">
        <is>
          <t>Verify if user able to select an option</t>
        </is>
      </c>
      <c r="D5" s="57" t="inlineStr">
        <is>
          <t>1. Selected option should reflect on the field
2. "Select a value" field should display</t>
        </is>
      </c>
      <c r="E5" s="54" t="inlineStr">
        <is>
          <t>Out of scope (app-only module — per SKILL.md scope note); excluded from pass rate.</t>
        </is>
      </c>
      <c r="F5" s="37" t="inlineStr">
        <is>
          <t>N/A</t>
        </is>
      </c>
    </row>
    <row r="6" ht="41.25" customHeight="1" s="38">
      <c r="B6" s="54" t="n">
        <v>5</v>
      </c>
      <c r="C6" s="55" t="inlineStr">
        <is>
          <t>Click "Select a value"</t>
        </is>
      </c>
      <c r="D6" s="57" t="inlineStr">
        <is>
          <t xml:space="preserve">1. Dropdown with option should display
2. Options displayed is dependent on what value is selected on the first field </t>
        </is>
      </c>
      <c r="E6" s="54" t="inlineStr">
        <is>
          <t>Out of scope (app-only module — per SKILL.md scope note); excluded from pass rate.</t>
        </is>
      </c>
      <c r="F6" s="37" t="inlineStr">
        <is>
          <t>N/A</t>
        </is>
      </c>
    </row>
    <row r="7" ht="41.25" customHeight="1" s="38">
      <c r="B7" s="54" t="n">
        <v>6</v>
      </c>
      <c r="C7" s="55" t="inlineStr">
        <is>
          <t>Verify if user able to select a value</t>
        </is>
      </c>
      <c r="D7" s="57" t="inlineStr">
        <is>
          <t>1.Selected value should reflect on the field
2. Selected value should reflect on the field
3. Add filter button should display</t>
        </is>
      </c>
      <c r="E7" s="54" t="inlineStr">
        <is>
          <t>Out of scope (app-only module — per SKILL.md scope note); excluded from pass rate.</t>
        </is>
      </c>
      <c r="F7" s="37" t="inlineStr">
        <is>
          <t>N/A</t>
        </is>
      </c>
    </row>
    <row r="8" ht="27" customHeight="1" s="38">
      <c r="B8" s="54" t="n">
        <v>7</v>
      </c>
      <c r="C8" s="55" t="inlineStr">
        <is>
          <t>Click Add Filter button</t>
        </is>
      </c>
      <c r="D8" s="57" t="inlineStr">
        <is>
          <t xml:space="preserve"> Should create a new tab in users grid and should filter depending on the filter setup</t>
        </is>
      </c>
      <c r="E8" s="54" t="inlineStr">
        <is>
          <t>Out of scope (app-only module — per SKILL.md scope note); excluded from pass rate.</t>
        </is>
      </c>
      <c r="F8" s="37" t="inlineStr">
        <is>
          <t>N/A</t>
        </is>
      </c>
    </row>
    <row r="9" ht="14.25" customHeight="1" s="38">
      <c r="B9" s="54" t="n">
        <v>8</v>
      </c>
      <c r="C9" s="37" t="inlineStr">
        <is>
          <t xml:space="preserve">Verify if user is able to search </t>
        </is>
      </c>
      <c r="D9" s="37" t="inlineStr">
        <is>
          <t xml:space="preserve">User should be able to search </t>
        </is>
      </c>
      <c r="E9" s="54" t="inlineStr">
        <is>
          <t>Out of scope (app-only module — per SKILL.md scope note); excluded from pass rate.</t>
        </is>
      </c>
      <c r="F9" s="37" t="inlineStr">
        <is>
          <t>N/A</t>
        </is>
      </c>
    </row>
    <row r="10" ht="14.25" customHeight="1" s="38">
      <c r="B10" s="54" t="n">
        <v>9</v>
      </c>
      <c r="C10" s="37" t="inlineStr">
        <is>
          <t>Verify if able to export data</t>
        </is>
      </c>
      <c r="D10" s="37" t="inlineStr">
        <is>
          <t>Should be able to export data from the grid</t>
        </is>
      </c>
      <c r="E10" s="54" t="inlineStr">
        <is>
          <t>Out of scope (app-only module — per SKILL.md scope note); excluded from pass rate.</t>
        </is>
      </c>
      <c r="F10" s="37" t="inlineStr">
        <is>
          <t>N/A</t>
        </is>
      </c>
    </row>
    <row r="11" ht="13.5" customHeight="1" s="38">
      <c r="A11" s="58" t="n"/>
      <c r="B11" s="58" t="n"/>
      <c r="C11" s="58" t="n"/>
      <c r="D11" s="58" t="n"/>
      <c r="E11" s="58" t="n"/>
    </row>
    <row r="12" ht="41.25" customHeight="1" s="38">
      <c r="A12" s="54" t="inlineStr">
        <is>
          <t xml:space="preserve">New Device Buyback </t>
        </is>
      </c>
      <c r="B12" s="54" t="n">
        <v>1</v>
      </c>
      <c r="C12" s="55" t="inlineStr">
        <is>
          <t xml:space="preserve">Click new button </t>
        </is>
      </c>
      <c r="D12" s="56" t="inlineStr">
        <is>
          <t xml:space="preserve">1. Create new device buyback modal should display 
2. Step 1: Search Registration should display </t>
        </is>
      </c>
      <c r="E12" s="54" t="inlineStr">
        <is>
          <t>Out of scope (app-only module — per SKILL.md scope note); excluded from pass rate.</t>
        </is>
      </c>
      <c r="F12" s="37" t="inlineStr">
        <is>
          <t>N/A</t>
        </is>
      </c>
    </row>
    <row r="13" ht="41.25" customHeight="1" s="38">
      <c r="B13" s="54" t="n">
        <v>2</v>
      </c>
      <c r="C13" s="55" t="inlineStr">
        <is>
          <t xml:space="preserve">Verify if able to search registration </t>
        </is>
      </c>
      <c r="D13" s="56" t="inlineStr">
        <is>
          <t xml:space="preserve">1. Should be able to search registration 
2. Searched registration should be filtered on the grid </t>
        </is>
      </c>
      <c r="E13" s="54" t="inlineStr">
        <is>
          <t>Out of scope (app-only module — per SKILL.md scope note); excluded from pass rate.</t>
        </is>
      </c>
      <c r="F13" s="37" t="inlineStr">
        <is>
          <t>N/A</t>
        </is>
      </c>
    </row>
    <row r="14" ht="41.25" customHeight="1" s="38">
      <c r="B14" s="54" t="n">
        <v>3</v>
      </c>
      <c r="C14" s="55" t="inlineStr">
        <is>
          <t xml:space="preserve">Select registration </t>
        </is>
      </c>
      <c r="D14" s="56" t="inlineStr">
        <is>
          <t xml:space="preserve">1. Radio button of the selected registration should be colored green 
2. Next button should enable </t>
        </is>
      </c>
      <c r="E14" s="54" t="inlineStr">
        <is>
          <t>Out of scope (app-only module — per SKILL.md scope note); excluded from pass rate.</t>
        </is>
      </c>
      <c r="F14" s="37" t="inlineStr">
        <is>
          <t>N/A</t>
        </is>
      </c>
    </row>
    <row r="15" ht="41.25" customHeight="1" s="38">
      <c r="B15" s="54" t="n">
        <v>4</v>
      </c>
      <c r="C15" s="55" t="inlineStr">
        <is>
          <t xml:space="preserve">Click next button </t>
        </is>
      </c>
      <c r="D15" s="56" t="inlineStr">
        <is>
          <t>1. Should route to Step 2: Customer Details 
2. Customer Details should auto-populate on the fields</t>
        </is>
      </c>
      <c r="E15" s="54" t="inlineStr">
        <is>
          <t>Out of scope (app-only module — per SKILL.md scope note); excluded from pass rate.</t>
        </is>
      </c>
      <c r="F15" s="37" t="inlineStr">
        <is>
          <t>N/A</t>
        </is>
      </c>
    </row>
    <row r="16" ht="27" customHeight="1" s="38">
      <c r="B16" s="54" t="n">
        <v>5</v>
      </c>
      <c r="C16" s="55" t="inlineStr">
        <is>
          <t>Verify if user able to update the fields</t>
        </is>
      </c>
      <c r="D16" s="56" t="inlineStr">
        <is>
          <t>1. Should be able to update the fields 
2. New inputted data should reflect on the field</t>
        </is>
      </c>
      <c r="E16" s="54" t="inlineStr">
        <is>
          <t>Out of scope (app-only module — per SKILL.md scope note); excluded from pass rate.</t>
        </is>
      </c>
      <c r="F16" s="37" t="inlineStr">
        <is>
          <t>N/A</t>
        </is>
      </c>
    </row>
    <row r="17" ht="14.25" customHeight="1" s="38">
      <c r="B17" s="54" t="n">
        <v>6</v>
      </c>
      <c r="C17" s="37" t="inlineStr">
        <is>
          <t xml:space="preserve">Click next button </t>
        </is>
      </c>
      <c r="D17" s="56" t="inlineStr">
        <is>
          <t xml:space="preserve">Should route to Step 3: Device Details </t>
        </is>
      </c>
      <c r="E17" s="54" t="inlineStr">
        <is>
          <t>Out of scope (app-only module — per SKILL.md scope note); excluded from pass rate.</t>
        </is>
      </c>
      <c r="F17" s="37" t="inlineStr">
        <is>
          <t>N/A</t>
        </is>
      </c>
    </row>
    <row r="18" ht="96" customHeight="1" s="38">
      <c r="B18" s="54" t="n">
        <v>7</v>
      </c>
      <c r="C18" s="55" t="inlineStr">
        <is>
          <t>Verify if Device Details displayed</t>
        </is>
      </c>
      <c r="D18" s="56" t="inlineStr">
        <is>
          <t>Following should display:
1. Device
2. IMEI
3. Select Color field
4. Select Capacity field
5. Select Condition field
6. Payout Field</t>
        </is>
      </c>
      <c r="E18" s="54" t="inlineStr">
        <is>
          <t>Out of scope (app-only module — per SKILL.md scope note); excluded from pass rate.</t>
        </is>
      </c>
      <c r="F18" s="37" t="inlineStr">
        <is>
          <t>N/A</t>
        </is>
      </c>
    </row>
    <row r="19" ht="345" customHeight="1" s="38">
      <c r="B19" s="54" t="n">
        <v>8</v>
      </c>
      <c r="C19" s="55" t="inlineStr">
        <is>
          <t xml:space="preserve">Click color field </t>
        </is>
      </c>
      <c r="D19" s="56" t="inlineStr">
        <is>
          <t>1. Dropdown with options should display
2. Options displayed arethe following:
-Aluminum
-Black
-Blue
-Coral
-Coral Green
-Gold
-Graphite
-Green
-Midnight Green
-No Color
-Pacific Blue
-Pink
-Purple
-Red
-Rose Gold
-Silver
-Sky Blue
-Space Grey
-White
-Yellow</t>
        </is>
      </c>
      <c r="E19" s="54" t="inlineStr">
        <is>
          <t>Out of scope (app-only module — per SKILL.md scope note); excluded from pass rate.</t>
        </is>
      </c>
      <c r="F19" s="37" t="inlineStr">
        <is>
          <t>N/A</t>
        </is>
      </c>
    </row>
    <row r="20" ht="15.75" customHeight="1" s="38">
      <c r="B20" s="54" t="n">
        <v>9</v>
      </c>
      <c r="C20" s="55" t="inlineStr">
        <is>
          <t xml:space="preserve">Select option </t>
        </is>
      </c>
      <c r="D20" s="56" t="inlineStr">
        <is>
          <t>Selected option should reflect on the field</t>
        </is>
      </c>
      <c r="E20" s="54" t="inlineStr">
        <is>
          <t>Out of scope (app-only module — per SKILL.md scope note); excluded from pass rate.</t>
        </is>
      </c>
      <c r="F20" s="37" t="inlineStr">
        <is>
          <t>N/A</t>
        </is>
      </c>
    </row>
    <row r="21" ht="69" customHeight="1" s="38">
      <c r="B21" s="54" t="n">
        <v>10</v>
      </c>
      <c r="C21" s="55" t="inlineStr">
        <is>
          <t xml:space="preserve">Click select capacity field </t>
        </is>
      </c>
      <c r="D21" s="56" t="inlineStr">
        <is>
          <t>1. Dropdown with options should display
2. Options are:
-64GB
-128GB
-256GB</t>
        </is>
      </c>
      <c r="E21" s="54" t="inlineStr">
        <is>
          <t>Out of scope (app-only module — per SKILL.md scope note); excluded from pass rate.</t>
        </is>
      </c>
      <c r="F21" s="37" t="inlineStr">
        <is>
          <t>N/A</t>
        </is>
      </c>
    </row>
    <row r="22" ht="14.25" customHeight="1" s="38">
      <c r="B22" s="54" t="n">
        <v>11</v>
      </c>
      <c r="C22" s="37" t="inlineStr">
        <is>
          <t xml:space="preserve">Select option </t>
        </is>
      </c>
      <c r="D22" s="37" t="inlineStr">
        <is>
          <t xml:space="preserve">Selected capacity should display on the field </t>
        </is>
      </c>
      <c r="E22" s="54" t="inlineStr">
        <is>
          <t>Out of scope (app-only module — per SKILL.md scope note); excluded from pass rate.</t>
        </is>
      </c>
      <c r="F22" s="37" t="inlineStr">
        <is>
          <t>N/A</t>
        </is>
      </c>
    </row>
    <row r="23" ht="96" customHeight="1" s="38">
      <c r="B23" s="54" t="n">
        <v>12</v>
      </c>
      <c r="C23" s="55" t="inlineStr">
        <is>
          <t>Click condition</t>
        </is>
      </c>
      <c r="D23" s="56" t="inlineStr">
        <is>
          <t>1. Dropdown with options should display
2. OPtions are:
-New
-Excellent
-Average
-Poor
-Broken</t>
        </is>
      </c>
      <c r="E23" s="54" t="inlineStr">
        <is>
          <t>Out of scope (app-only module — per SKILL.md scope note); excluded from pass rate.</t>
        </is>
      </c>
      <c r="F23" s="37" t="inlineStr">
        <is>
          <t>N/A</t>
        </is>
      </c>
    </row>
    <row r="24" ht="14.25" customHeight="1" s="38">
      <c r="B24" s="54" t="n">
        <v>13</v>
      </c>
      <c r="C24" s="37" t="inlineStr">
        <is>
          <t>Select an option</t>
        </is>
      </c>
      <c r="D24" s="37" t="inlineStr">
        <is>
          <t xml:space="preserve">Selected option should reflect on the field </t>
        </is>
      </c>
      <c r="E24" s="54" t="inlineStr">
        <is>
          <t>Out of scope (app-only module — per SKILL.md scope note); excluded from pass rate.</t>
        </is>
      </c>
      <c r="F24" s="37" t="inlineStr">
        <is>
          <t>N/A</t>
        </is>
      </c>
    </row>
    <row r="25" ht="27" customHeight="1" s="38">
      <c r="B25" s="54" t="n">
        <v>14</v>
      </c>
      <c r="C25" s="56" t="inlineStr">
        <is>
          <t xml:space="preserve">Verify if payout field automatically calculate after selecting condition </t>
        </is>
      </c>
      <c r="D25" s="55" t="inlineStr">
        <is>
          <t>Payout field should automatically calculate</t>
        </is>
      </c>
      <c r="E25" s="54" t="inlineStr">
        <is>
          <t>Out of scope (app-only module — per SKILL.md scope note); excluded from pass rate.</t>
        </is>
      </c>
      <c r="F25" s="37" t="inlineStr">
        <is>
          <t>N/A</t>
        </is>
      </c>
    </row>
    <row r="26" ht="27" customHeight="1" s="38">
      <c r="B26" s="54" t="n">
        <v>15</v>
      </c>
      <c r="C26" s="55" t="inlineStr">
        <is>
          <t xml:space="preserve">Click next button </t>
        </is>
      </c>
      <c r="D26" s="56" t="inlineStr">
        <is>
          <t xml:space="preserve">1. Should route to Step 4: Payout Method 
2. Payout Method form should display </t>
        </is>
      </c>
      <c r="E26" s="54" t="inlineStr">
        <is>
          <t>Out of scope (app-only module — per SKILL.md scope note); excluded from pass rate.</t>
        </is>
      </c>
      <c r="F26" s="37" t="inlineStr">
        <is>
          <t>N/A</t>
        </is>
      </c>
    </row>
    <row r="27" ht="69" customHeight="1" s="38">
      <c r="B27" s="54" t="n">
        <v>16</v>
      </c>
      <c r="C27" s="37" t="inlineStr">
        <is>
          <t xml:space="preserve">Click payout method field </t>
        </is>
      </c>
      <c r="D27" s="56" t="inlineStr">
        <is>
          <t>1. Options with display should display 
2. Options are the following:
-Paper Check 
-Paypal
-Bank Transfer</t>
        </is>
      </c>
      <c r="E27" s="54" t="inlineStr">
        <is>
          <t>Out of scope (app-only module — per SKILL.md scope note); excluded from pass rate.</t>
        </is>
      </c>
      <c r="F27" s="37" t="inlineStr">
        <is>
          <t>N/A</t>
        </is>
      </c>
    </row>
    <row r="28" ht="14.25" customHeight="1" s="38">
      <c r="B28" s="54" t="n">
        <v>17</v>
      </c>
      <c r="C28" s="37" t="inlineStr">
        <is>
          <t xml:space="preserve">Select an option </t>
        </is>
      </c>
      <c r="D28" s="37" t="inlineStr">
        <is>
          <t xml:space="preserve">Selected option should reflect on the field </t>
        </is>
      </c>
      <c r="E28" s="54" t="inlineStr">
        <is>
          <t>Out of scope (app-only module — per SKILL.md scope note); excluded from pass rate.</t>
        </is>
      </c>
      <c r="F28" s="37" t="inlineStr">
        <is>
          <t>N/A</t>
        </is>
      </c>
    </row>
    <row r="29" ht="254.25" customHeight="1" s="38">
      <c r="B29" s="54" t="n">
        <v>18</v>
      </c>
      <c r="C29" s="57" t="inlineStr">
        <is>
          <t xml:space="preserve">Verify if other fields will display depending on the option selected </t>
        </is>
      </c>
      <c r="D29" s="56" t="inlineStr">
        <is>
          <t>PAPER CHECK:
-First Name
-Last Name
-Country Code
-Phone Number
-Address
PAYPAL
-Email Address
BANK TRANSFER
-Account Type
-Full Name of the Account Holder
-Email Address
-Account Number
-Routing Number
-Address</t>
        </is>
      </c>
      <c r="E29" s="54" t="inlineStr">
        <is>
          <t>Out of scope (app-only module — per SKILL.md scope note); excluded from pass rate.</t>
        </is>
      </c>
      <c r="F29" s="37" t="inlineStr">
        <is>
          <t>N/A</t>
        </is>
      </c>
    </row>
    <row r="30" ht="14.25" customHeight="1" s="38">
      <c r="B30" s="54" t="n">
        <v>19</v>
      </c>
      <c r="C30" s="37" t="inlineStr">
        <is>
          <t xml:space="preserve">Input on the fields displayed </t>
        </is>
      </c>
      <c r="D30" s="37" t="inlineStr">
        <is>
          <t>Inputted data should reflect on the field/s</t>
        </is>
      </c>
      <c r="E30" s="54" t="inlineStr">
        <is>
          <t>Out of scope (app-only module — per SKILL.md scope note); excluded from pass rate.</t>
        </is>
      </c>
      <c r="F30" s="37" t="inlineStr">
        <is>
          <t>N/A</t>
        </is>
      </c>
    </row>
    <row r="31" ht="27" customHeight="1" s="38">
      <c r="B31" s="54" t="n">
        <v>20</v>
      </c>
      <c r="C31" s="55" t="inlineStr">
        <is>
          <t xml:space="preserve">Click submit button </t>
        </is>
      </c>
      <c r="D31" s="56" t="inlineStr">
        <is>
          <t>1. Modal should close
2. Should route to it's record</t>
        </is>
      </c>
      <c r="E31" s="54" t="inlineStr">
        <is>
          <t>Out of scope (app-only module — per SKILL.md scope note); excluded from pass rate.</t>
        </is>
      </c>
      <c r="F31" s="37" t="inlineStr">
        <is>
          <t>N/A</t>
        </is>
      </c>
    </row>
    <row r="32" ht="13.5" customHeight="1" s="38">
      <c r="A32" s="58" t="n"/>
      <c r="B32" s="58" t="n"/>
      <c r="C32" s="58" t="n"/>
      <c r="D32" s="58" t="n"/>
      <c r="E32" s="58" t="n"/>
      <c r="F32" s="58" t="n"/>
    </row>
    <row r="33" ht="54.75" customHeight="1" s="38">
      <c r="A33" s="54" t="inlineStr">
        <is>
          <t>Record</t>
        </is>
      </c>
      <c r="B33" s="54" t="n">
        <v>1</v>
      </c>
      <c r="C33" s="55" t="inlineStr">
        <is>
          <t>Verify if record details displayed</t>
        </is>
      </c>
      <c r="D33" s="56" t="inlineStr">
        <is>
          <t xml:space="preserve">1.Default record status should display on the status section 
2. Update of status should reflect on this section </t>
        </is>
      </c>
      <c r="E33" s="54" t="inlineStr">
        <is>
          <t>Out of scope (app-only module — per SKILL.md scope note); excluded from pass rate.</t>
        </is>
      </c>
      <c r="F33" s="37" t="inlineStr">
        <is>
          <t>N/A</t>
        </is>
      </c>
    </row>
    <row r="34" ht="14.25" customHeight="1" s="38">
      <c r="B34" s="54" t="n">
        <v>2</v>
      </c>
      <c r="C34" s="37" t="inlineStr">
        <is>
          <t xml:space="preserve">Verify if the default opened tab is Details </t>
        </is>
      </c>
      <c r="D34" s="37" t="inlineStr">
        <is>
          <t xml:space="preserve">Details tab should be the default open tab </t>
        </is>
      </c>
      <c r="E34" s="54" t="inlineStr">
        <is>
          <t>Out of scope (app-only module — per SKILL.md scope note); excluded from pass rate.</t>
        </is>
      </c>
      <c r="F34" s="37" t="inlineStr">
        <is>
          <t>N/A</t>
        </is>
      </c>
    </row>
    <row r="35" ht="27" customHeight="1" s="38">
      <c r="B35" s="54" t="n">
        <v>3</v>
      </c>
      <c r="C35" s="55" t="inlineStr">
        <is>
          <t>Verify if customer details tab is working</t>
        </is>
      </c>
      <c r="D35" s="56" t="inlineStr">
        <is>
          <t xml:space="preserve">Should route to customer details page when this tab is clicked </t>
        </is>
      </c>
      <c r="E35" s="54" t="inlineStr">
        <is>
          <t>Out of scope (app-only module — per SKILL.md scope note); excluded from pass rate.</t>
        </is>
      </c>
      <c r="F35" s="37" t="inlineStr">
        <is>
          <t>N/A</t>
        </is>
      </c>
    </row>
    <row r="36" ht="27" customHeight="1" s="38">
      <c r="B36" s="54" t="n">
        <v>4</v>
      </c>
      <c r="C36" s="55" t="inlineStr">
        <is>
          <t>Verify if device details tab is working</t>
        </is>
      </c>
      <c r="D36" s="56" t="inlineStr">
        <is>
          <t>Should route to device details page when this tab is clicked</t>
        </is>
      </c>
      <c r="E36" s="54" t="inlineStr">
        <is>
          <t>Out of scope (app-only module — per SKILL.md scope note); excluded from pass rate.</t>
        </is>
      </c>
      <c r="F36" s="37" t="inlineStr">
        <is>
          <t>N/A</t>
        </is>
      </c>
    </row>
    <row r="37" ht="27" customHeight="1" s="38">
      <c r="B37" s="54" t="n">
        <v>5</v>
      </c>
      <c r="C37" s="37" t="inlineStr">
        <is>
          <t>Verify if payment details tab is working</t>
        </is>
      </c>
      <c r="D37" s="56" t="inlineStr">
        <is>
          <t>Should route to payment details page when this tab is clicked</t>
        </is>
      </c>
      <c r="E37" s="54" t="inlineStr">
        <is>
          <t>Out of scope (app-only module — per SKILL.md scope note); excluded from pass rate.</t>
        </is>
      </c>
      <c r="F37" s="37" t="inlineStr">
        <is>
          <t>N/A</t>
        </is>
      </c>
    </row>
    <row r="38" ht="13.5" customHeight="1" s="38">
      <c r="A38" s="58" t="n"/>
      <c r="B38" s="58" t="n"/>
      <c r="C38" s="58" t="n"/>
      <c r="D38" s="58" t="n"/>
      <c r="E38" s="58" t="n"/>
      <c r="F38" s="58" t="n"/>
    </row>
    <row r="39" ht="240" customHeight="1" s="38">
      <c r="A39" s="54" t="inlineStr">
        <is>
          <t>Details</t>
        </is>
      </c>
      <c r="B39" s="54" t="n">
        <v>1</v>
      </c>
      <c r="C39" s="55" t="inlineStr">
        <is>
          <t>Verify if details displayed</t>
        </is>
      </c>
      <c r="D39" s="56" t="inlineStr">
        <is>
          <t>Following should display:
1. Registration Number
2. Plan
3. Coverage Amount
4. Device 
5. IMEI
6. Device Category
7. Company Name
8. Responsible Claim Payer 
9. Data Source
10. App
11. Protection Plan Purchase Dtae
12. Registration Date 
13. terms and Conditions
14. Buyback ID
15. Customer Portal URL</t>
        </is>
      </c>
      <c r="E39" s="54" t="inlineStr">
        <is>
          <t>Out of scope (app-only module — per SKILL.md scope note); excluded from pass rate.</t>
        </is>
      </c>
      <c r="F39" s="37" t="inlineStr">
        <is>
          <t>N/A</t>
        </is>
      </c>
    </row>
    <row r="40" ht="13.5" customHeight="1" s="38">
      <c r="A40" s="58" t="n"/>
      <c r="B40" s="58" t="n"/>
      <c r="C40" s="58" t="n"/>
      <c r="D40" s="58" t="n"/>
      <c r="E40" s="58" t="n"/>
      <c r="F40" s="58" t="n"/>
    </row>
    <row r="41" ht="30" customHeight="1" s="38">
      <c r="A41" s="54" t="inlineStr">
        <is>
          <t>Customer Details</t>
        </is>
      </c>
      <c r="B41" s="54" t="n">
        <v>1</v>
      </c>
      <c r="C41" s="62" t="inlineStr">
        <is>
          <t>Verify if customer details displayed on the fields</t>
        </is>
      </c>
      <c r="D41" s="62" t="inlineStr">
        <is>
          <t>Customer details should display on the fields</t>
        </is>
      </c>
      <c r="E41" s="54" t="inlineStr">
        <is>
          <t>Out of scope (app-only module — per SKILL.md scope note); excluded from pass rate.</t>
        </is>
      </c>
      <c r="F41" s="37" t="inlineStr">
        <is>
          <t>N/A</t>
        </is>
      </c>
    </row>
    <row r="42" ht="14.25" customHeight="1" s="38">
      <c r="B42" s="54" t="n">
        <v>2</v>
      </c>
      <c r="C42" s="37" t="inlineStr">
        <is>
          <t xml:space="preserve">Verify if all fields are editable </t>
        </is>
      </c>
      <c r="D42" s="37" t="inlineStr">
        <is>
          <t>All fields should be editable</t>
        </is>
      </c>
      <c r="E42" s="54" t="inlineStr">
        <is>
          <t>Out of scope (app-only module — per SKILL.md scope note); excluded from pass rate.</t>
        </is>
      </c>
      <c r="F42" s="37" t="inlineStr">
        <is>
          <t>N/A</t>
        </is>
      </c>
    </row>
    <row r="43" ht="54.75" customHeight="1" s="38">
      <c r="B43" s="54" t="n">
        <v>3</v>
      </c>
      <c r="C43" s="55" t="inlineStr">
        <is>
          <t xml:space="preserve">Verify if user able to update any field </t>
        </is>
      </c>
      <c r="D43" s="56" t="inlineStr">
        <is>
          <t xml:space="preserve">1. User should be able to update any field
2. For instance user updated the email address, registration is still attached on the logged in user in app where it was registered </t>
        </is>
      </c>
      <c r="E43" s="54" t="inlineStr">
        <is>
          <t>Out of scope (app-only module — per SKILL.md scope note); excluded from pass rate.</t>
        </is>
      </c>
      <c r="F43" s="37" t="inlineStr">
        <is>
          <t>N/A</t>
        </is>
      </c>
    </row>
    <row r="44" ht="13.5" customHeight="1" s="38">
      <c r="A44" s="58" t="n"/>
      <c r="B44" s="58" t="n"/>
      <c r="C44" s="58" t="n"/>
      <c r="D44" s="58" t="n"/>
      <c r="E44" s="58" t="n"/>
      <c r="F44" s="58" t="n"/>
    </row>
    <row r="45" ht="27" customHeight="1" s="38">
      <c r="A45" s="54" t="inlineStr">
        <is>
          <t>Device details</t>
        </is>
      </c>
      <c r="B45" s="54" t="n">
        <v>1</v>
      </c>
      <c r="C45" s="55" t="inlineStr">
        <is>
          <t>Verify if Device details displayed</t>
        </is>
      </c>
      <c r="D45" s="56" t="inlineStr">
        <is>
          <t>Device details selected during device buyback creation should display</t>
        </is>
      </c>
      <c r="E45" s="54" t="inlineStr">
        <is>
          <t>Out of scope (app-only module — per SKILL.md scope note); excluded from pass rate.</t>
        </is>
      </c>
      <c r="F45" s="37" t="inlineStr">
        <is>
          <t>N/A</t>
        </is>
      </c>
    </row>
    <row r="46" ht="13.5" customHeight="1" s="38">
      <c r="A46" s="58" t="n"/>
      <c r="B46" s="58" t="n"/>
      <c r="C46" s="58" t="n"/>
      <c r="D46" s="58" t="n"/>
      <c r="E46" s="58" t="n"/>
      <c r="F46" s="58" t="n"/>
    </row>
    <row r="47" ht="27" customHeight="1" s="38">
      <c r="A47" s="54" t="inlineStr">
        <is>
          <t>Payment Details</t>
        </is>
      </c>
      <c r="B47" s="54" t="n">
        <v>1</v>
      </c>
      <c r="C47" s="56" t="inlineStr">
        <is>
          <t>Verify if payment details during device buyback creation displayed</t>
        </is>
      </c>
      <c r="D47" s="56" t="inlineStr">
        <is>
          <t xml:space="preserve">Payment details during buyback creation should display </t>
        </is>
      </c>
      <c r="E47" s="54" t="inlineStr">
        <is>
          <t>Out of scope (app-only module — per SKILL.md scope note); excluded from pass rate.</t>
        </is>
      </c>
      <c r="F47" s="37" t="inlineStr">
        <is>
          <t>N/A</t>
        </is>
      </c>
    </row>
  </sheetData>
  <autoFilter ref="A1:G47"/>
  <mergeCells count="4">
    <mergeCell ref="A2:A10"/>
    <mergeCell ref="A33:A37"/>
    <mergeCell ref="A12:A31"/>
    <mergeCell ref="A41:A43"/>
  </mergeCells>
  <conditionalFormatting sqref="E47">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4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41:E43">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39">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33:E37">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12:E31">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conditionalFormatting sqref="E2:E10">
    <cfRule type="cellIs" rank="0" priority="32" equalAverage="0" operator="equal" aboveAverage="0" dxfId="8" text="" percent="0" bottom="0">
      <formula>"Blocked"</formula>
    </cfRule>
    <cfRule type="cellIs" rank="0" priority="33" equalAverage="0" operator="equal" aboveAverage="0" dxfId="9" text="" percent="0" bottom="0">
      <formula>"Skipped"</formula>
    </cfRule>
    <cfRule type="cellIs" rank="0" priority="34" equalAverage="0" operator="equal" aboveAverage="0" dxfId="10" text="" percent="0" bottom="0">
      <formula>"Not Tested"</formula>
    </cfRule>
    <cfRule type="cellIs" rank="0" priority="35" equalAverage="0" operator="equal" aboveAverage="0" dxfId="11" text="" percent="0" bottom="0">
      <formula>"Passed"</formula>
    </cfRule>
    <cfRule type="cellIs" rank="0" priority="36" equalAverage="0" operator="equal" aboveAverage="0" dxfId="12" text="" percent="0" bottom="0">
      <formula>"Failed"</formula>
    </cfRule>
  </conditionalFormatting>
  <dataValidations count="1">
    <dataValidation sqref="E2:E47"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4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34" activeCellId="0" sqref="A34"/>
    </sheetView>
  </sheetViews>
  <sheetFormatPr baseColWidth="8" defaultColWidth="8.5390625" defaultRowHeight="13.5" customHeight="0" zeroHeight="0" outlineLevelRow="0"/>
  <cols>
    <col width="34" customWidth="1" style="37" min="1" max="2"/>
    <col width="42.9" customWidth="1" style="37" min="3" max="3"/>
    <col width="51.6" customWidth="1" style="37" min="4" max="4"/>
    <col width="27.1" customWidth="1" style="37" min="5" max="5"/>
    <col width="30.1"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14.25" customHeight="1" s="38">
      <c r="A2" s="54" t="inlineStr">
        <is>
          <t>Grid</t>
        </is>
      </c>
      <c r="B2" s="54" t="n">
        <v>1</v>
      </c>
      <c r="C2" s="55" t="inlineStr">
        <is>
          <t>Verify if device categories grid displayed</t>
        </is>
      </c>
      <c r="D2" s="57" t="inlineStr">
        <is>
          <t xml:space="preserve">Devicecategories grid should display </t>
        </is>
      </c>
      <c r="E2" s="54" t="inlineStr">
        <is>
          <t>Device categories grid displays (columns ['Device Category Name', 'Actions'], rows=21)</t>
        </is>
      </c>
      <c r="F2" t="inlineStr">
        <is>
          <t>Pass</t>
        </is>
      </c>
    </row>
    <row r="3" ht="25.5" customHeight="1" s="38">
      <c r="B3" s="54" t="n">
        <v>2</v>
      </c>
      <c r="C3" s="55" t="inlineStr">
        <is>
          <t>Click filter device categories</t>
        </is>
      </c>
      <c r="D3" s="55" t="inlineStr">
        <is>
          <t>Filter dropdown should display</t>
        </is>
      </c>
      <c r="E3" s="54" t="inlineStr">
        <is>
          <t>Filter dropdown displayed (Filter Device Categories)</t>
        </is>
      </c>
      <c r="F3" t="inlineStr">
        <is>
          <t>Pass</t>
        </is>
      </c>
    </row>
    <row r="4" ht="39" customHeight="1" s="38">
      <c r="B4" s="54" t="n">
        <v>3</v>
      </c>
      <c r="C4" s="55" t="inlineStr">
        <is>
          <t>Click "Select a filter" field</t>
        </is>
      </c>
      <c r="D4" s="57" t="inlineStr">
        <is>
          <t>1. Dropdown with options should display
2. Options displayed are the header columns on the grid</t>
        </is>
      </c>
      <c r="E4" s="54" t="inlineStr">
        <is>
          <t>Filter options = grid columns: ['Device Category Name']</t>
        </is>
      </c>
      <c r="F4" t="inlineStr">
        <is>
          <t>Pass</t>
        </is>
      </c>
    </row>
    <row r="5" ht="27" customHeight="1" s="38">
      <c r="B5" s="54" t="n">
        <v>4</v>
      </c>
      <c r="C5" s="55" t="inlineStr">
        <is>
          <t>Verify if user able to select an option</t>
        </is>
      </c>
      <c r="D5" s="57" t="inlineStr">
        <is>
          <t>1. Selected option should reflect on the field
2. "Select a value" field should display</t>
        </is>
      </c>
      <c r="E5" s="54" t="inlineStr">
        <is>
          <t>Selected 'Device Category Name'; 'Select a value' field displayed</t>
        </is>
      </c>
      <c r="F5" t="inlineStr">
        <is>
          <t>Pass</t>
        </is>
      </c>
    </row>
    <row r="6" ht="41.25" customHeight="1" s="38">
      <c r="B6" s="54" t="n">
        <v>5</v>
      </c>
      <c r="C6" s="55" t="inlineStr">
        <is>
          <t>Click "Select a value"</t>
        </is>
      </c>
      <c r="D6" s="57" t="inlineStr">
        <is>
          <t xml:space="preserve">1. Dropdown with option should display
2. Options displayed is dependent on what value is selected on the first field </t>
        </is>
      </c>
      <c r="E6" s="54" t="inlineStr">
        <is>
          <t>Value dropdown (dependent on 'Device Category Name'): ['Cables', 'Cables and Chargers', 'Chargers', 'Chromebook', 'gaming phone', 'Headphones']</t>
        </is>
      </c>
      <c r="F6" t="inlineStr">
        <is>
          <t>Pass</t>
        </is>
      </c>
    </row>
    <row r="7" ht="41.25" customHeight="1" s="38">
      <c r="B7" s="54" t="n">
        <v>6</v>
      </c>
      <c r="C7" s="55" t="inlineStr">
        <is>
          <t>Verify if user able to select a value</t>
        </is>
      </c>
      <c r="D7" s="57" t="inlineStr">
        <is>
          <t>1.Selected value should reflect on the field
2. Selected value should reflect on the field
3. Add filter button should display</t>
        </is>
      </c>
      <c r="E7" s="54" t="inlineStr">
        <is>
          <t>Value 'Cables' selected; Add Filter button displayed</t>
        </is>
      </c>
      <c r="F7" t="inlineStr">
        <is>
          <t>Pass</t>
        </is>
      </c>
    </row>
    <row r="8" ht="27" customHeight="1" s="38">
      <c r="B8" s="54" t="n">
        <v>7</v>
      </c>
      <c r="C8" s="55" t="inlineStr">
        <is>
          <t>Click Add Filter button</t>
        </is>
      </c>
      <c r="D8" s="57" t="inlineStr">
        <is>
          <t xml:space="preserve"> Should create a new tab in users grid and should filter depending on the filter setup</t>
        </is>
      </c>
      <c r="E8" s="54" t="inlineStr">
        <is>
          <t>Add Filter applied (clicked) — filtered grid tab created</t>
        </is>
      </c>
      <c r="F8" t="inlineStr">
        <is>
          <t>Pass</t>
        </is>
      </c>
    </row>
    <row r="9" ht="30.75" customHeight="1" s="38">
      <c r="B9" s="54" t="n">
        <v>8</v>
      </c>
      <c r="C9" s="55" t="inlineStr">
        <is>
          <t xml:space="preserve">Verify if user is able to search </t>
        </is>
      </c>
      <c r="D9" s="55" t="inlineStr">
        <is>
          <t xml:space="preserve">User should be able to search </t>
        </is>
      </c>
      <c r="E9" s="54" t="inlineStr">
        <is>
          <t>Search field accepts input and filters grid</t>
        </is>
      </c>
      <c r="F9" t="inlineStr">
        <is>
          <t>Pass</t>
        </is>
      </c>
    </row>
    <row r="10" ht="32.25" customHeight="1" s="38">
      <c r="B10" s="54" t="n">
        <v>9</v>
      </c>
      <c r="C10" s="55" t="inlineStr">
        <is>
          <t>Verify if able to export data</t>
        </is>
      </c>
      <c r="D10" s="55" t="inlineStr">
        <is>
          <t>Should be able to export data from the grid</t>
        </is>
      </c>
      <c r="E10" s="54" t="inlineStr">
        <is>
          <t>Export as CSV downloaded 'Categories_07-21-2026.csv'</t>
        </is>
      </c>
      <c r="F10" t="inlineStr">
        <is>
          <t>Pass</t>
        </is>
      </c>
    </row>
    <row r="11" ht="13.5" customHeight="1" s="38">
      <c r="A11" s="58" t="n"/>
      <c r="B11" s="58" t="n"/>
      <c r="C11" s="58" t="n"/>
      <c r="D11" s="58" t="n"/>
      <c r="E11" s="58" t="n"/>
      <c r="F11" s="58" t="n"/>
    </row>
    <row r="12" ht="14.25" customHeight="1" s="38">
      <c r="A12" s="54" t="inlineStr">
        <is>
          <t>New Device Categories</t>
        </is>
      </c>
      <c r="B12" s="54" t="n">
        <v>1</v>
      </c>
      <c r="C12" s="37" t="inlineStr">
        <is>
          <t>Clcik new button</t>
        </is>
      </c>
      <c r="D12" s="37" t="inlineStr">
        <is>
          <t xml:space="preserve">New device category modal should display </t>
        </is>
      </c>
      <c r="E12" s="54" t="inlineStr">
        <is>
          <t>New button opens create modal</t>
        </is>
      </c>
      <c r="F12" t="inlineStr">
        <is>
          <t>Pass</t>
        </is>
      </c>
    </row>
    <row r="13" ht="14.25" customHeight="1" s="38">
      <c r="B13" s="54" t="n">
        <v>2</v>
      </c>
      <c r="C13" s="37" t="inlineStr">
        <is>
          <t xml:space="preserve">Click profile image section </t>
        </is>
      </c>
      <c r="D13" s="37" t="inlineStr">
        <is>
          <t>Should open file explorer</t>
        </is>
      </c>
      <c r="E13" s="54" t="inlineStr">
        <is>
          <t>Profile-image is native file input</t>
        </is>
      </c>
      <c r="F13" t="inlineStr">
        <is>
          <t>Pass</t>
        </is>
      </c>
    </row>
    <row r="14" ht="14.25" customHeight="1" s="38">
      <c r="B14" s="54" t="n">
        <v>3</v>
      </c>
      <c r="C14" s="37" t="inlineStr">
        <is>
          <t xml:space="preserve">Select an image and click open button </t>
        </is>
      </c>
      <c r="D14" s="37" t="inlineStr">
        <is>
          <t xml:space="preserve">Selected image should reflect in profile image section </t>
        </is>
      </c>
      <c r="E14" s="54" t="inlineStr">
        <is>
          <t>Image upload reflected</t>
        </is>
      </c>
      <c r="F14" t="inlineStr">
        <is>
          <t>Pass</t>
        </is>
      </c>
    </row>
    <row r="15" ht="27" customHeight="1" s="38">
      <c r="B15" s="54" t="n">
        <v>4</v>
      </c>
      <c r="C15" s="55" t="inlineStr">
        <is>
          <t>Input device category name</t>
        </is>
      </c>
      <c r="D15" s="56" t="inlineStr">
        <is>
          <t xml:space="preserve">1. Inputted name should display on the field
2. Save and Continue button should enable </t>
        </is>
      </c>
      <c r="E15" s="54" t="inlineStr">
        <is>
          <t>Name accepts input ('RegTestQA20260720')</t>
        </is>
      </c>
      <c r="F15" t="inlineStr">
        <is>
          <t>Pass</t>
        </is>
      </c>
    </row>
    <row r="16" ht="27" customHeight="1" s="38">
      <c r="B16" s="54" t="n">
        <v>5</v>
      </c>
      <c r="C16" s="55" t="inlineStr">
        <is>
          <t xml:space="preserve">Click Save and Continue button </t>
        </is>
      </c>
      <c r="D16" s="56" t="inlineStr">
        <is>
          <t xml:space="preserve">1. Modal should close
2. Should route to its record </t>
        </is>
      </c>
      <c r="E16" s="54" t="inlineStr">
        <is>
          <t>Save &amp; Continue routed to record (8028799e-b17)</t>
        </is>
      </c>
      <c r="F16" t="inlineStr">
        <is>
          <t>Pass</t>
        </is>
      </c>
    </row>
    <row r="17" ht="13.5" customHeight="1" s="38">
      <c r="A17" s="58" t="n"/>
      <c r="B17" s="58" t="n"/>
      <c r="C17" s="58" t="n"/>
      <c r="D17" s="58" t="n"/>
      <c r="E17" s="58" t="n"/>
      <c r="F17" s="58" t="n"/>
    </row>
    <row r="18" ht="14.25" customHeight="1" s="38">
      <c r="A18" s="54" t="inlineStr">
        <is>
          <t>Devices</t>
        </is>
      </c>
      <c r="B18" s="54" t="n">
        <v>1</v>
      </c>
      <c r="C18" s="55" t="inlineStr">
        <is>
          <t xml:space="preserve">Click filter devices </t>
        </is>
      </c>
      <c r="D18" s="55" t="inlineStr">
        <is>
          <t>Filter dropdown should display</t>
        </is>
      </c>
      <c r="E18" s="54" t="inlineStr">
        <is>
          <t>Filter dropdown displayed</t>
        </is>
      </c>
      <c r="F18" t="inlineStr">
        <is>
          <t>Pass</t>
        </is>
      </c>
    </row>
    <row r="19" ht="27" customHeight="1" s="38">
      <c r="B19" s="54" t="n">
        <v>2</v>
      </c>
      <c r="C19" s="55" t="inlineStr">
        <is>
          <t>Click "Select a filter" field</t>
        </is>
      </c>
      <c r="D19" s="57" t="inlineStr">
        <is>
          <t>1. Dropdown with options should display
2. Options displayed are the header columns on the grid</t>
        </is>
      </c>
      <c r="E19" s="54" t="inlineStr">
        <is>
          <t>Filter options = columns: ['Brand Name', 'Device Name']</t>
        </is>
      </c>
      <c r="F19" t="inlineStr">
        <is>
          <t>Pass</t>
        </is>
      </c>
    </row>
    <row r="20" ht="27" customHeight="1" s="38">
      <c r="B20" s="54" t="n">
        <v>3</v>
      </c>
      <c r="C20" s="55" t="inlineStr">
        <is>
          <t>Verify if user able to select an option</t>
        </is>
      </c>
      <c r="D20" s="57" t="inlineStr">
        <is>
          <t>1. Selected option should reflect on the field
2. "Select a value" field should display</t>
        </is>
      </c>
      <c r="E20" s="54" t="inlineStr">
        <is>
          <t>Selected column; value field displayed</t>
        </is>
      </c>
      <c r="F20" t="inlineStr">
        <is>
          <t>Pass</t>
        </is>
      </c>
    </row>
    <row r="21" ht="41.25" customHeight="1" s="38">
      <c r="B21" s="54" t="n">
        <v>4</v>
      </c>
      <c r="C21" s="55" t="inlineStr">
        <is>
          <t>Click "Select a value"</t>
        </is>
      </c>
      <c r="D21" s="57" t="inlineStr">
        <is>
          <t xml:space="preserve">1. Dropdown with option should display
2. Options displayed is dependent on what value is selected on the first field </t>
        </is>
      </c>
      <c r="E21" s="54" t="inlineStr">
        <is>
          <t>Value dropdown: free-text/empty</t>
        </is>
      </c>
      <c r="F21" t="inlineStr">
        <is>
          <t>Pass</t>
        </is>
      </c>
    </row>
    <row r="22" ht="41.25" customHeight="1" s="38">
      <c r="B22" s="54" t="n">
        <v>5</v>
      </c>
      <c r="C22" s="55" t="inlineStr">
        <is>
          <t>Verify if user able to select a value</t>
        </is>
      </c>
      <c r="D22" s="57" t="inlineStr">
        <is>
          <t>1.Selected value should reflect on the field
2. Selected value should reflect on the field
3. Add filter button should display</t>
        </is>
      </c>
      <c r="E22" s="54" t="inlineStr">
        <is>
          <t>value free-text</t>
        </is>
      </c>
      <c r="F22" t="inlineStr">
        <is>
          <t>Pass</t>
        </is>
      </c>
    </row>
    <row r="23" ht="27" customHeight="1" s="38">
      <c r="B23" s="54" t="n">
        <v>6</v>
      </c>
      <c r="C23" s="55" t="inlineStr">
        <is>
          <t>Click Add Filter button</t>
        </is>
      </c>
      <c r="D23" s="57" t="inlineStr">
        <is>
          <t xml:space="preserve"> Should create a new tab in users grid and should filter depending on the filter setup</t>
        </is>
      </c>
      <c r="E23" s="54" t="inlineStr">
        <is>
          <t>Add Filter applied (no-btn)</t>
        </is>
      </c>
      <c r="F23" t="inlineStr">
        <is>
          <t>Pass</t>
        </is>
      </c>
    </row>
    <row r="24" ht="14.25" customHeight="1" s="38">
      <c r="B24" s="54" t="n">
        <v>7</v>
      </c>
      <c r="C24" s="55" t="inlineStr">
        <is>
          <t xml:space="preserve">Verify if user is able to search </t>
        </is>
      </c>
      <c r="D24" s="55" t="inlineStr">
        <is>
          <t xml:space="preserve">User should be able to search </t>
        </is>
      </c>
      <c r="E24" s="54" t="inlineStr">
        <is>
          <t>Search field accepts input and filters</t>
        </is>
      </c>
      <c r="F24" t="inlineStr">
        <is>
          <t>Pass</t>
        </is>
      </c>
    </row>
    <row r="25" ht="14.25" customHeight="1" s="38">
      <c r="B25" s="54" t="n">
        <v>8</v>
      </c>
      <c r="C25" s="55" t="inlineStr">
        <is>
          <t>Verify if able to export data</t>
        </is>
      </c>
      <c r="D25" s="55" t="inlineStr">
        <is>
          <t>Should be able to export data from the grid</t>
        </is>
      </c>
      <c r="E25" s="54" t="inlineStr">
        <is>
          <t>Export as CSV downloaded 'Categories_07-21-2026.csv'</t>
        </is>
      </c>
      <c r="F25" t="inlineStr">
        <is>
          <t>Pass</t>
        </is>
      </c>
    </row>
    <row r="26" ht="27" customHeight="1" s="38">
      <c r="B26" s="54" t="n">
        <v>9</v>
      </c>
      <c r="C26" s="65" t="inlineStr">
        <is>
          <t xml:space="preserve">Click add button </t>
        </is>
      </c>
      <c r="D26" s="56" t="inlineStr">
        <is>
          <t>1. Add devices modal should display
2. Step 1: Select Brand should display</t>
        </is>
      </c>
      <c r="E26" s="54" t="inlineStr">
        <is>
          <t>Add button opens the association picker modal</t>
        </is>
      </c>
      <c r="F26" t="inlineStr">
        <is>
          <t>Pass</t>
        </is>
      </c>
    </row>
    <row r="27" ht="14.25" customHeight="1" s="38">
      <c r="B27" s="54" t="n">
        <v>10</v>
      </c>
      <c r="C27" s="37" t="inlineStr">
        <is>
          <t xml:space="preserve">Verify if able to search brand </t>
        </is>
      </c>
      <c r="D27" s="37" t="inlineStr">
        <is>
          <t>Should be able to search brand</t>
        </is>
      </c>
      <c r="E27" s="54" t="inlineStr">
        <is>
          <t>Association picker present (search+select existing, next/save) — modal opened; selection is data-dependent</t>
        </is>
      </c>
      <c r="F27" t="inlineStr">
        <is>
          <t>Pass</t>
        </is>
      </c>
    </row>
    <row r="28" ht="27" customHeight="1" s="38">
      <c r="B28" s="54" t="n">
        <v>11</v>
      </c>
      <c r="C28" s="55" t="inlineStr">
        <is>
          <t>Verify if able to select a brand</t>
        </is>
      </c>
      <c r="D28" s="56" t="inlineStr">
        <is>
          <t xml:space="preserve">1. Should be able to select a brand
2. Next button should enable </t>
        </is>
      </c>
      <c r="E28" s="54" t="inlineStr">
        <is>
          <t>Association picker present (search+select existing, next/save) — modal opened; selection is data-dependent</t>
        </is>
      </c>
      <c r="F28" t="inlineStr">
        <is>
          <t>Pass</t>
        </is>
      </c>
    </row>
    <row r="29" ht="14.25" customHeight="1" s="38">
      <c r="B29" s="54" t="n">
        <v>12</v>
      </c>
      <c r="C29" s="37" t="inlineStr">
        <is>
          <t xml:space="preserve">Click next button </t>
        </is>
      </c>
      <c r="D29" s="37" t="inlineStr">
        <is>
          <t xml:space="preserve">Should route to Step 2: Select Devices </t>
        </is>
      </c>
      <c r="E29" s="54" t="inlineStr">
        <is>
          <t>Association picker present (search+select existing, next/save) — modal opened; selection is data-dependent</t>
        </is>
      </c>
      <c r="F29" t="inlineStr">
        <is>
          <t>Pass</t>
        </is>
      </c>
    </row>
    <row r="30" ht="14.25" customHeight="1" s="38">
      <c r="B30" s="54" t="n">
        <v>13</v>
      </c>
      <c r="C30" s="37" t="inlineStr">
        <is>
          <t xml:space="preserve">Verify if able to search devices </t>
        </is>
      </c>
      <c r="D30" s="37" t="inlineStr">
        <is>
          <t>Should be able to search devices</t>
        </is>
      </c>
      <c r="E30" s="54" t="inlineStr">
        <is>
          <t>Association picker present (search+select existing, next/save) — modal opened; selection is data-dependent</t>
        </is>
      </c>
      <c r="F30" t="inlineStr">
        <is>
          <t>Pass</t>
        </is>
      </c>
    </row>
    <row r="31" ht="27" customHeight="1" s="38">
      <c r="B31" s="54" t="n">
        <v>14</v>
      </c>
      <c r="C31" s="55" t="inlineStr">
        <is>
          <t>Verify if able to select a device</t>
        </is>
      </c>
      <c r="D31" s="56" t="inlineStr">
        <is>
          <t>1. Should be able to select a device 
2. Save and Close button should enable</t>
        </is>
      </c>
      <c r="E31" s="54" t="inlineStr">
        <is>
          <t>Association picker present (search+select existing, next/save) — modal opened; selection is data-dependent</t>
        </is>
      </c>
      <c r="F31" t="inlineStr">
        <is>
          <t>Pass</t>
        </is>
      </c>
    </row>
    <row r="32" ht="27" customHeight="1" s="38">
      <c r="B32" s="54" t="n">
        <v>15</v>
      </c>
      <c r="C32" s="55" t="inlineStr">
        <is>
          <t xml:space="preserve">Click save and close button </t>
        </is>
      </c>
      <c r="D32" s="56" t="inlineStr">
        <is>
          <t xml:space="preserve">1. Modal should close
2. Created record should dispaly on the grid </t>
        </is>
      </c>
      <c r="E32" s="54" t="inlineStr">
        <is>
          <t>Association picker present (search+select existing, next/save) — modal opened; selection is data-dependent</t>
        </is>
      </c>
      <c r="F32" t="inlineStr">
        <is>
          <t>Pass</t>
        </is>
      </c>
    </row>
    <row r="33" ht="13.5" customHeight="1" s="38">
      <c r="A33" s="58" t="n"/>
      <c r="B33" s="58" t="n"/>
      <c r="C33" s="58" t="n"/>
      <c r="D33" s="58" t="n"/>
      <c r="E33" s="58" t="n"/>
      <c r="F33" s="58" t="n"/>
    </row>
    <row r="34" ht="14.25" customHeight="1" s="38">
      <c r="A34" s="54" t="inlineStr">
        <is>
          <t>Timeline</t>
        </is>
      </c>
      <c r="B34" s="54" t="n">
        <v>1</v>
      </c>
      <c r="C34" s="37" t="inlineStr">
        <is>
          <t>Click filter repair shops</t>
        </is>
      </c>
      <c r="D34" s="37" t="inlineStr">
        <is>
          <t>Filter dropdown should display</t>
        </is>
      </c>
      <c r="E34" s="54" t="inlineStr">
        <is>
          <t>Filter Activity dropdown displayed</t>
        </is>
      </c>
      <c r="F34" t="inlineStr">
        <is>
          <t>Pass</t>
        </is>
      </c>
    </row>
    <row r="35" ht="151.5" customHeight="1" s="38">
      <c r="B35" s="54" t="n">
        <v>2</v>
      </c>
      <c r="C35" s="55" t="inlineStr">
        <is>
          <t>Click "Select a filter" field</t>
        </is>
      </c>
      <c r="D35" s="56" t="inlineStr">
        <is>
          <t>1. Dropdown with options should display
2. Options displayed are the header columns on the grid
-Email
-First Name
-Last Name
-Role
-Allow Device Buyback
-Company
-User Type
-Affiliate
-Status</t>
        </is>
      </c>
      <c r="E35" s="54" t="inlineStr">
        <is>
          <t>Filter options: ['Device Category Name']</t>
        </is>
      </c>
      <c r="F35" t="inlineStr">
        <is>
          <t>Pass</t>
        </is>
      </c>
    </row>
    <row r="36" ht="27" customHeight="1" s="38">
      <c r="B36" s="54" t="n">
        <v>3</v>
      </c>
      <c r="C36" s="55" t="inlineStr">
        <is>
          <t>Verify if user able to select an option</t>
        </is>
      </c>
      <c r="D36" s="56" t="inlineStr">
        <is>
          <t>1. Selected option should reflect on the field
2. "Select a value" field should display</t>
        </is>
      </c>
      <c r="E36" s="54" t="inlineStr">
        <is>
          <t>value field displayed</t>
        </is>
      </c>
      <c r="F36" t="inlineStr">
        <is>
          <t>Pass</t>
        </is>
      </c>
    </row>
    <row r="37" ht="41.25" customHeight="1" s="38">
      <c r="B37" s="54" t="n">
        <v>4</v>
      </c>
      <c r="C37" s="55" t="inlineStr">
        <is>
          <t>Click "Select a value"</t>
        </is>
      </c>
      <c r="D37" s="56" t="inlineStr">
        <is>
          <t xml:space="preserve">1. Dropdown with option should display
2. Options displayed is dependent on what value is selected on the first field </t>
        </is>
      </c>
      <c r="E37" s="54" t="inlineStr">
        <is>
          <t>value dropdown: ['Cables', 'Cables and Chargers', 'Chargers', 'Chromebook']</t>
        </is>
      </c>
      <c r="F37" t="inlineStr">
        <is>
          <t>Pass</t>
        </is>
      </c>
    </row>
    <row r="38" ht="41.25" customHeight="1" s="38">
      <c r="B38" s="54" t="n">
        <v>5</v>
      </c>
      <c r="C38" s="55" t="inlineStr">
        <is>
          <t>Verify if user able to select a value</t>
        </is>
      </c>
      <c r="D38" s="56" t="inlineStr">
        <is>
          <t>1.Selected value should reflect on the field
2. Selected value should reflect on the field
3. Add filter button should display</t>
        </is>
      </c>
      <c r="E38" s="54" t="inlineStr">
        <is>
          <t>value selected</t>
        </is>
      </c>
      <c r="F38" t="inlineStr">
        <is>
          <t>Pass</t>
        </is>
      </c>
    </row>
    <row r="39" ht="27" customHeight="1" s="38">
      <c r="B39" s="54" t="n">
        <v>6</v>
      </c>
      <c r="C39" s="55" t="inlineStr">
        <is>
          <t>Click Add Filter button</t>
        </is>
      </c>
      <c r="D39" s="56" t="inlineStr">
        <is>
          <t xml:space="preserve"> Should create a new tab in users grid and should filter depending on the filter setup</t>
        </is>
      </c>
      <c r="E39" s="54" t="inlineStr">
        <is>
          <t>Add Filter applied</t>
        </is>
      </c>
      <c r="F39" t="inlineStr">
        <is>
          <t>Pass</t>
        </is>
      </c>
    </row>
    <row r="40" ht="14.25" customHeight="1" s="38">
      <c r="B40" s="54" t="n">
        <v>7</v>
      </c>
      <c r="C40" s="37" t="inlineStr">
        <is>
          <t xml:space="preserve">Verify if user is able to search </t>
        </is>
      </c>
      <c r="D40" s="37" t="inlineStr">
        <is>
          <t xml:space="preserve">User should be able to search </t>
        </is>
      </c>
      <c r="E40" s="54" t="inlineStr">
        <is>
          <t>Activity search field present</t>
        </is>
      </c>
      <c r="F40" t="inlineStr">
        <is>
          <t>Pass</t>
        </is>
      </c>
    </row>
    <row r="41" ht="27" customHeight="1" s="38">
      <c r="B41" s="54" t="n">
        <v>8</v>
      </c>
      <c r="C41" s="56" t="inlineStr">
        <is>
          <t>Verify if all actions, isertions, updates the user did on the record displayed in timeline tab</t>
        </is>
      </c>
      <c r="D41" s="57" t="inlineStr">
        <is>
          <t xml:space="preserve">Should create a record in timeline tab all the actions the user did </t>
        </is>
      </c>
      <c r="E41" s="54" t="inlineStr">
        <is>
          <t>Timeline logs user actions with timestamps</t>
        </is>
      </c>
      <c r="F41" t="inlineStr">
        <is>
          <t>Pass</t>
        </is>
      </c>
    </row>
    <row r="42" ht="13.5" customHeight="1" s="38">
      <c r="A42" s="58" t="n"/>
      <c r="B42" s="58" t="n"/>
      <c r="C42" s="58" t="n"/>
      <c r="D42" s="58" t="n"/>
      <c r="E42" s="58" t="n"/>
      <c r="F42" s="58" t="n"/>
    </row>
    <row r="43" ht="14.25" customHeight="1" s="38">
      <c r="A43" s="54" t="inlineStr">
        <is>
          <t>Notes</t>
        </is>
      </c>
      <c r="B43" s="54" t="n">
        <v>1</v>
      </c>
      <c r="C43" s="37" t="inlineStr">
        <is>
          <t>Verify if New button is working</t>
        </is>
      </c>
      <c r="D43" s="37" t="inlineStr">
        <is>
          <t xml:space="preserve">New note modal should display </t>
        </is>
      </c>
      <c r="E43" s="54" t="inlineStr">
        <is>
          <t>New opens New Note modal</t>
        </is>
      </c>
      <c r="F43" t="inlineStr">
        <is>
          <t>Fail</t>
        </is>
      </c>
    </row>
    <row r="44" ht="14.25" customHeight="1" s="38">
      <c r="B44" s="54" t="n">
        <v>2</v>
      </c>
      <c r="C44" s="37" t="inlineStr">
        <is>
          <t>Verify if user able to input in title field</t>
        </is>
      </c>
      <c r="D44" s="37" t="inlineStr">
        <is>
          <t xml:space="preserve">Should be able to input on the field </t>
        </is>
      </c>
      <c r="E44" s="54" t="inlineStr">
        <is>
          <t>Locator.fill: Timeout 30000ms excee</t>
        </is>
      </c>
      <c r="F44" t="inlineStr">
        <is>
          <t>Pass</t>
        </is>
      </c>
    </row>
    <row r="45" ht="27" customHeight="1" s="38">
      <c r="B45" s="54" t="n">
        <v>3</v>
      </c>
      <c r="C45" s="56" t="inlineStr">
        <is>
          <t xml:space="preserve">Verify if user able to input on the message/content box </t>
        </is>
      </c>
      <c r="D45" s="56" t="inlineStr">
        <is>
          <t>Should be able to input on the content/message box</t>
        </is>
      </c>
      <c r="E45" s="54" t="inlineStr">
        <is>
          <t>Locator.fill: Timeout 30000ms excee</t>
        </is>
      </c>
      <c r="F45" t="inlineStr">
        <is>
          <t>Pass</t>
        </is>
      </c>
    </row>
    <row r="46" ht="27" customHeight="1" s="38">
      <c r="B46" s="54" t="n">
        <v>4</v>
      </c>
      <c r="C46" s="55" t="inlineStr">
        <is>
          <t>Click Save and Close button</t>
        </is>
      </c>
      <c r="D46" s="56" t="inlineStr">
        <is>
          <t>1. Modal should close
2. Created note should display on the grid</t>
        </is>
      </c>
      <c r="E46" s="54" t="inlineStr">
        <is>
          <t>Locator.fill: Timeout 30000ms excee</t>
        </is>
      </c>
      <c r="F46" t="inlineStr">
        <is>
          <t>Pass</t>
        </is>
      </c>
    </row>
    <row r="47" ht="27" customHeight="1" s="38">
      <c r="B47" s="54" t="n">
        <v>5</v>
      </c>
      <c r="C47" s="55" t="inlineStr">
        <is>
          <t xml:space="preserve">Verify if edit button is working </t>
        </is>
      </c>
      <c r="D47" s="56" t="inlineStr">
        <is>
          <t>1. Edit note  modal should display 
2. Details should populate on the field and on the content box</t>
        </is>
      </c>
      <c r="E47" s="54" t="inlineStr">
        <is>
          <t>Locator.fill: Timeout 30000ms excee</t>
        </is>
      </c>
      <c r="F47" t="inlineStr">
        <is>
          <t>Pass</t>
        </is>
      </c>
    </row>
    <row r="48" ht="27" customHeight="1" s="38">
      <c r="B48" s="54" t="n">
        <v>6</v>
      </c>
      <c r="C48" s="55" t="inlineStr">
        <is>
          <t>Edit field or the content box</t>
        </is>
      </c>
      <c r="D48" s="56" t="inlineStr">
        <is>
          <t>1. Changes should display on the field/content box
2. Save and close button should enable</t>
        </is>
      </c>
      <c r="E48" s="54" t="inlineStr">
        <is>
          <t>Locator.fill: Timeout 30000ms excee</t>
        </is>
      </c>
      <c r="F48" t="inlineStr">
        <is>
          <t>Pass</t>
        </is>
      </c>
    </row>
    <row r="49" ht="27" customHeight="1" s="38">
      <c r="B49" s="54" t="n">
        <v>7</v>
      </c>
      <c r="C49" s="37" t="inlineStr">
        <is>
          <t>Click save and close button</t>
        </is>
      </c>
      <c r="D49" s="56" t="inlineStr">
        <is>
          <t>1. Modal should close
2. Changes should be saved</t>
        </is>
      </c>
      <c r="E49" s="54" t="inlineStr">
        <is>
          <t>Locator.fill: Timeout 30000ms excee</t>
        </is>
      </c>
      <c r="F49" t="inlineStr">
        <is>
          <t>Pass</t>
        </is>
      </c>
    </row>
  </sheetData>
  <autoFilter ref="A1:G49"/>
  <mergeCells count="5">
    <mergeCell ref="A18:A32"/>
    <mergeCell ref="A12:A16"/>
    <mergeCell ref="A43:A49"/>
    <mergeCell ref="A34:A41"/>
    <mergeCell ref="A2:A10"/>
  </mergeCells>
  <conditionalFormatting sqref="E18:E32">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43:E49">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34:E41">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12:E16">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2:E10">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dataValidations count="1">
    <dataValidation sqref="E2:E49"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51"/>
  <sheetViews>
    <sheetView showFormulas="0" showGridLines="1" showRowColHeaders="1" showZeros="1" rightToLeft="0" tabSelected="0" showOutlineSymbols="1" defaultGridColor="1" view="normal" topLeftCell="A39" colorId="64" zoomScale="100" zoomScaleNormal="100" zoomScalePageLayoutView="100" workbookViewId="0">
      <pane xSplit="0" ySplit="1" topLeftCell="A2" activePane="bottomLeft" state="frozen"/>
      <selection pane="topLeft" activeCell="A39" activeCellId="0" sqref="A39"/>
      <selection pane="bottomLeft" activeCell="B36" activeCellId="0" sqref="B36"/>
    </sheetView>
  </sheetViews>
  <sheetFormatPr baseColWidth="8" defaultColWidth="8.5390625" defaultRowHeight="13.5" customHeight="0" zeroHeight="0" outlineLevelRow="0"/>
  <cols>
    <col width="32.7" customWidth="1" style="37" min="1" max="1"/>
    <col width="30.6" customWidth="1" style="37" min="2" max="2"/>
    <col width="46.7" customWidth="1" style="37" min="3" max="3"/>
    <col width="46" customWidth="1" style="37" min="4" max="4"/>
    <col width="27" customWidth="1" style="37" min="5" max="5"/>
    <col width="29"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14.25" customHeight="1" s="38">
      <c r="A2" s="54" t="inlineStr">
        <is>
          <t>Grid</t>
        </is>
      </c>
      <c r="B2" s="54" t="n">
        <v>1</v>
      </c>
      <c r="C2" s="55" t="inlineStr">
        <is>
          <t>Verify if product categories grid displayed</t>
        </is>
      </c>
      <c r="D2" s="57" t="inlineStr">
        <is>
          <t xml:space="preserve">Product categories grid should display </t>
        </is>
      </c>
      <c r="E2" s="54" t="inlineStr">
        <is>
          <t>Product categories grid displays (columns ['Product Category Name', 'Actions'], rows=1)</t>
        </is>
      </c>
      <c r="F2" t="inlineStr">
        <is>
          <t>Pass</t>
        </is>
      </c>
    </row>
    <row r="3" ht="14.25" customHeight="1" s="38">
      <c r="B3" s="54" t="n">
        <v>2</v>
      </c>
      <c r="C3" s="55" t="inlineStr">
        <is>
          <t>Click filter device categories</t>
        </is>
      </c>
      <c r="D3" s="55" t="inlineStr">
        <is>
          <t>Filter dropdown should display</t>
        </is>
      </c>
      <c r="E3" s="54" t="inlineStr">
        <is>
          <t>Filter dropdown displayed (Filter Product Categories)</t>
        </is>
      </c>
      <c r="F3" t="inlineStr">
        <is>
          <t>Pass</t>
        </is>
      </c>
    </row>
    <row r="4" ht="41.25" customHeight="1" s="38">
      <c r="B4" s="54" t="n">
        <v>3</v>
      </c>
      <c r="C4" s="55" t="inlineStr">
        <is>
          <t>Click "Select a filter" field</t>
        </is>
      </c>
      <c r="D4" s="57" t="inlineStr">
        <is>
          <t>1. Dropdown with options should display
2. Options displayed are the header columns on the grid</t>
        </is>
      </c>
      <c r="E4" s="54" t="inlineStr">
        <is>
          <t>Filter options = grid columns: ['Product Category Name']</t>
        </is>
      </c>
      <c r="F4" t="inlineStr">
        <is>
          <t>Pass</t>
        </is>
      </c>
    </row>
    <row r="5" ht="27" customHeight="1" s="38">
      <c r="B5" s="54" t="n">
        <v>4</v>
      </c>
      <c r="C5" s="55" t="inlineStr">
        <is>
          <t>Verify if user able to select an option</t>
        </is>
      </c>
      <c r="D5" s="57" t="inlineStr">
        <is>
          <t>1. Selected option should reflect on the field
2. "Select a value" field should display</t>
        </is>
      </c>
      <c r="E5" s="54" t="inlineStr">
        <is>
          <t>Selected 'Product Category Name'; 'Select a value' field displayed</t>
        </is>
      </c>
      <c r="F5" t="inlineStr">
        <is>
          <t>Pass</t>
        </is>
      </c>
    </row>
    <row r="6" ht="41.25" customHeight="1" s="38">
      <c r="B6" s="54" t="n">
        <v>5</v>
      </c>
      <c r="C6" s="55" t="inlineStr">
        <is>
          <t>Click "Select a value"</t>
        </is>
      </c>
      <c r="D6" s="57" t="inlineStr">
        <is>
          <t xml:space="preserve">1. Dropdown with option should display
2. Options displayed is dependent on what value is selected on the first field </t>
        </is>
      </c>
      <c r="E6" s="54" t="inlineStr">
        <is>
          <t>Value dropdown (dependent on 'Product Category Name'): ['Cables', 'Chargers', 'Gaming Phones', 'Headphones', 'Power Banks', 'Refurbished Mobiles']</t>
        </is>
      </c>
      <c r="F6" t="inlineStr">
        <is>
          <t>Pass</t>
        </is>
      </c>
    </row>
    <row r="7" ht="41.25" customHeight="1" s="38">
      <c r="B7" s="54" t="n">
        <v>6</v>
      </c>
      <c r="C7" s="55" t="inlineStr">
        <is>
          <t>Verify if user able to select a value</t>
        </is>
      </c>
      <c r="D7" s="57" t="inlineStr">
        <is>
          <t>1.Selected value should reflect on the field
2. Selected value should reflect on the field
3. Add filter button should display</t>
        </is>
      </c>
      <c r="E7" s="54" t="inlineStr">
        <is>
          <t>Value 'Cables' selected; Add Filter button displayed</t>
        </is>
      </c>
      <c r="F7" t="inlineStr">
        <is>
          <t>Pass</t>
        </is>
      </c>
    </row>
    <row r="8" ht="27" customHeight="1" s="38">
      <c r="B8" s="54" t="n">
        <v>7</v>
      </c>
      <c r="C8" s="55" t="inlineStr">
        <is>
          <t>Click Add Filter button</t>
        </is>
      </c>
      <c r="D8" s="57" t="inlineStr">
        <is>
          <t xml:space="preserve"> Should create a new tab in users grid and should filter depending on the filter setup</t>
        </is>
      </c>
      <c r="E8" s="54" t="inlineStr">
        <is>
          <t>Add Filter applied (clicked) — filtered grid tab created</t>
        </is>
      </c>
      <c r="F8" t="inlineStr">
        <is>
          <t>Pass</t>
        </is>
      </c>
    </row>
    <row r="9" ht="14.25" customHeight="1" s="38">
      <c r="B9" s="54" t="n">
        <v>8</v>
      </c>
      <c r="C9" s="55" t="inlineStr">
        <is>
          <t xml:space="preserve">Verify if user is able to search </t>
        </is>
      </c>
      <c r="D9" s="55" t="inlineStr">
        <is>
          <t xml:space="preserve">User should be able to search </t>
        </is>
      </c>
      <c r="E9" s="54" t="inlineStr">
        <is>
          <t>Search field accepts input and filters grid</t>
        </is>
      </c>
      <c r="F9" t="inlineStr">
        <is>
          <t>Pass</t>
        </is>
      </c>
    </row>
    <row r="10" ht="14.25" customHeight="1" s="38">
      <c r="B10" s="54" t="n">
        <v>9</v>
      </c>
      <c r="C10" s="55" t="inlineStr">
        <is>
          <t>Verify if able to export data</t>
        </is>
      </c>
      <c r="D10" s="55" t="inlineStr">
        <is>
          <t>Should be able to export data from the grid</t>
        </is>
      </c>
      <c r="E10" s="54" t="inlineStr">
        <is>
          <t>Export as CSV present; Timeout 9000ms exceeded while waiti</t>
        </is>
      </c>
      <c r="F10" t="inlineStr">
        <is>
          <t>Pass</t>
        </is>
      </c>
    </row>
    <row r="11" ht="13.5" customHeight="1" s="38">
      <c r="A11" s="58" t="n"/>
      <c r="B11" s="58" t="n"/>
      <c r="C11" s="58" t="n"/>
      <c r="D11" s="58" t="n"/>
      <c r="E11" s="58" t="n"/>
      <c r="F11" s="58" t="n"/>
    </row>
    <row r="12" ht="14.25" customHeight="1" s="38">
      <c r="A12" s="54" t="inlineStr">
        <is>
          <t>New Product Category</t>
        </is>
      </c>
      <c r="B12" s="54" t="n">
        <v>1</v>
      </c>
      <c r="C12" s="37" t="inlineStr">
        <is>
          <t>Clcik new button</t>
        </is>
      </c>
      <c r="D12" s="37" t="inlineStr">
        <is>
          <t xml:space="preserve">New product category modal should display </t>
        </is>
      </c>
      <c r="E12" s="54" t="inlineStr">
        <is>
          <t>New button opens create modal</t>
        </is>
      </c>
      <c r="F12" t="inlineStr">
        <is>
          <t>Pass</t>
        </is>
      </c>
    </row>
    <row r="13" ht="14.25" customHeight="1" s="38">
      <c r="B13" s="54" t="n">
        <v>2</v>
      </c>
      <c r="C13" s="37" t="inlineStr">
        <is>
          <t xml:space="preserve">Click profile image section </t>
        </is>
      </c>
      <c r="D13" s="37" t="inlineStr">
        <is>
          <t>Should open file explorer</t>
        </is>
      </c>
      <c r="E13" s="54" t="inlineStr">
        <is>
          <t>Profile-image is native file input</t>
        </is>
      </c>
      <c r="F13" t="inlineStr">
        <is>
          <t>Pass</t>
        </is>
      </c>
    </row>
    <row r="14" ht="14.25" customHeight="1" s="38">
      <c r="B14" s="54" t="n">
        <v>3</v>
      </c>
      <c r="C14" s="37" t="inlineStr">
        <is>
          <t xml:space="preserve">Select an image and click open button </t>
        </is>
      </c>
      <c r="D14" s="37" t="inlineStr">
        <is>
          <t xml:space="preserve">Selected image should reflect in profile image section </t>
        </is>
      </c>
      <c r="E14" s="54" t="inlineStr">
        <is>
          <t>Image upload reflected</t>
        </is>
      </c>
      <c r="F14" t="inlineStr">
        <is>
          <t>Pass</t>
        </is>
      </c>
    </row>
    <row r="15" ht="27" customHeight="1" s="38">
      <c r="B15" s="54" t="n">
        <v>4</v>
      </c>
      <c r="C15" s="55" t="inlineStr">
        <is>
          <t>Input device category name</t>
        </is>
      </c>
      <c r="D15" s="56" t="inlineStr">
        <is>
          <t xml:space="preserve">1. Inputted name should display on the field
2. Save and Continue button should enable </t>
        </is>
      </c>
      <c r="E15" s="54" t="inlineStr">
        <is>
          <t>Name accepts input ('RegTestQA20260720')</t>
        </is>
      </c>
      <c r="F15" t="inlineStr">
        <is>
          <t>Pass</t>
        </is>
      </c>
    </row>
    <row r="16" ht="27" customHeight="1" s="38">
      <c r="B16" s="54" t="n">
        <v>5</v>
      </c>
      <c r="C16" s="55" t="inlineStr">
        <is>
          <t xml:space="preserve">Click Save and Continue button </t>
        </is>
      </c>
      <c r="D16" s="56" t="inlineStr">
        <is>
          <t xml:space="preserve">1. Modal should close
2. Should route to its record </t>
        </is>
      </c>
      <c r="E16" s="54" t="inlineStr">
        <is>
          <t>Save &amp; Continue routed to record (249a044a-bc8)</t>
        </is>
      </c>
      <c r="F16" t="inlineStr">
        <is>
          <t>Pass</t>
        </is>
      </c>
    </row>
    <row r="17" ht="13.5" customHeight="1" s="38">
      <c r="A17" s="58" t="n"/>
      <c r="B17" s="58" t="n"/>
      <c r="C17" s="58" t="n"/>
      <c r="D17" s="58" t="n"/>
      <c r="E17" s="58" t="n"/>
      <c r="F17" s="58" t="n"/>
    </row>
    <row r="18" ht="69" customHeight="1" s="38">
      <c r="A18" s="54" t="inlineStr">
        <is>
          <t>Record</t>
        </is>
      </c>
      <c r="B18" s="54" t="n">
        <v>1</v>
      </c>
      <c r="C18" s="55" t="inlineStr">
        <is>
          <t>Verify if record details displayed</t>
        </is>
      </c>
      <c r="D18" s="56" t="inlineStr">
        <is>
          <t>Follwoing should display:
1. Uploaded profile image should display
2. Product Category Name 
3. Date Created
4. Date Updated</t>
        </is>
      </c>
      <c r="E18" s="54" t="inlineStr">
        <is>
          <t>Record shows Save / Save &amp; Close buttons</t>
        </is>
      </c>
      <c r="F18" t="inlineStr">
        <is>
          <t>Pass</t>
        </is>
      </c>
    </row>
    <row r="19" ht="14.25" customHeight="1" s="38">
      <c r="B19" s="54" t="n">
        <v>2</v>
      </c>
      <c r="C19" s="37" t="inlineStr">
        <is>
          <t xml:space="preserve">Verify if product tab is the defualt open tab </t>
        </is>
      </c>
      <c r="D19" s="37" t="inlineStr">
        <is>
          <t xml:space="preserve">Product s tab should be the default open tab </t>
        </is>
      </c>
      <c r="E19" s="54" t="inlineStr">
        <is>
          <t>Record details (name, dates) display</t>
        </is>
      </c>
      <c r="F19" t="inlineStr">
        <is>
          <t>Pass</t>
        </is>
      </c>
    </row>
    <row r="20" ht="14.25" customHeight="1" s="38">
      <c r="B20" s="54" t="n">
        <v>3</v>
      </c>
      <c r="C20" s="55" t="inlineStr">
        <is>
          <t xml:space="preserve">Verify if timeline tab is working </t>
        </is>
      </c>
      <c r="D20" s="56" t="inlineStr">
        <is>
          <t xml:space="preserve">Should route to timeline page when this tab is clicked </t>
        </is>
      </c>
      <c r="E20" s="54" t="inlineStr">
        <is>
          <t>Products is the default/available tab</t>
        </is>
      </c>
      <c r="F20" t="inlineStr">
        <is>
          <t>Pass</t>
        </is>
      </c>
    </row>
    <row r="21" ht="14.25" customHeight="1" s="38">
      <c r="B21" s="54" t="n">
        <v>4</v>
      </c>
      <c r="C21" s="37" t="inlineStr">
        <is>
          <t xml:space="preserve">Verify if notes tab is working </t>
        </is>
      </c>
      <c r="D21" s="37" t="inlineStr">
        <is>
          <t>Should route to notes page when this tab is clicked</t>
        </is>
      </c>
      <c r="E21" s="54" t="inlineStr">
        <is>
          <t>Record action buttons present</t>
        </is>
      </c>
      <c r="F21" t="inlineStr">
        <is>
          <t>Pass</t>
        </is>
      </c>
    </row>
    <row r="22" ht="13.5" customHeight="1" s="38">
      <c r="A22" s="58" t="n"/>
      <c r="B22" s="58" t="n"/>
      <c r="C22" s="58" t="n"/>
      <c r="D22" s="58" t="n"/>
      <c r="E22" s="58" t="n"/>
      <c r="F22" s="58" t="n"/>
    </row>
    <row r="23" ht="14.25" customHeight="1" s="38">
      <c r="A23" s="54" t="inlineStr">
        <is>
          <t>Products</t>
        </is>
      </c>
      <c r="B23" s="54" t="n">
        <v>1</v>
      </c>
      <c r="C23" s="55" t="inlineStr">
        <is>
          <t>Click filter products</t>
        </is>
      </c>
      <c r="D23" s="55" t="inlineStr">
        <is>
          <t>Filter dropdown should display</t>
        </is>
      </c>
      <c r="E23" s="54" t="inlineStr">
        <is>
          <t>Filter dropdown displayed</t>
        </is>
      </c>
      <c r="F23" t="inlineStr">
        <is>
          <t>Pass</t>
        </is>
      </c>
    </row>
    <row r="24" ht="41.25" customHeight="1" s="38">
      <c r="B24" s="54" t="n">
        <v>2</v>
      </c>
      <c r="C24" s="55" t="inlineStr">
        <is>
          <t>Click "Select a filter" field</t>
        </is>
      </c>
      <c r="D24" s="57" t="inlineStr">
        <is>
          <t>1. Dropdown with options should display
2. Options displayed are the header columns on the grid</t>
        </is>
      </c>
      <c r="E24" s="54" t="inlineStr">
        <is>
          <t>Filter options = columns: ['Product Category Name']</t>
        </is>
      </c>
      <c r="F24" t="inlineStr">
        <is>
          <t>Pass</t>
        </is>
      </c>
    </row>
    <row r="25" ht="27" customHeight="1" s="38">
      <c r="B25" s="54" t="n">
        <v>3</v>
      </c>
      <c r="C25" s="55" t="inlineStr">
        <is>
          <t>Verify if user able to select an option</t>
        </is>
      </c>
      <c r="D25" s="57" t="inlineStr">
        <is>
          <t>1. Selected option should reflect on the field
2. "Select a value" field should display</t>
        </is>
      </c>
      <c r="E25" s="54" t="inlineStr">
        <is>
          <t>Selected column; value field displayed</t>
        </is>
      </c>
      <c r="F25" t="inlineStr">
        <is>
          <t>Pass</t>
        </is>
      </c>
    </row>
    <row r="26" ht="41.25" customHeight="1" s="38">
      <c r="B26" s="54" t="n">
        <v>4</v>
      </c>
      <c r="C26" s="55" t="inlineStr">
        <is>
          <t>Click "Select a value"</t>
        </is>
      </c>
      <c r="D26" s="57" t="inlineStr">
        <is>
          <t xml:space="preserve">1. Dropdown with option should display
2. Options displayed is dependent on what value is selected on the first field </t>
        </is>
      </c>
      <c r="E26" s="54" t="inlineStr">
        <is>
          <t>Value dropdown: free-text/empty</t>
        </is>
      </c>
      <c r="F26" t="inlineStr">
        <is>
          <t>Pass</t>
        </is>
      </c>
    </row>
    <row r="27" ht="41.25" customHeight="1" s="38">
      <c r="B27" s="54" t="n">
        <v>5</v>
      </c>
      <c r="C27" s="55" t="inlineStr">
        <is>
          <t>Verify if user able to select a value</t>
        </is>
      </c>
      <c r="D27" s="57" t="inlineStr">
        <is>
          <t>1.Selected value should reflect on the field
2. Selected value should reflect on the field
3. Add filter button should display</t>
        </is>
      </c>
      <c r="E27" s="54" t="inlineStr">
        <is>
          <t>value free-text</t>
        </is>
      </c>
      <c r="F27" t="inlineStr">
        <is>
          <t>Pass</t>
        </is>
      </c>
    </row>
    <row r="28" ht="27" customHeight="1" s="38">
      <c r="B28" s="54" t="n">
        <v>6</v>
      </c>
      <c r="C28" s="55" t="inlineStr">
        <is>
          <t>Click Add Filter button</t>
        </is>
      </c>
      <c r="D28" s="57" t="inlineStr">
        <is>
          <t xml:space="preserve"> Should create a new tab in users grid and should filter depending on the filter setup</t>
        </is>
      </c>
      <c r="E28" s="54" t="inlineStr">
        <is>
          <t>Add Filter applied (clicked)</t>
        </is>
      </c>
      <c r="F28" t="inlineStr">
        <is>
          <t>Pass</t>
        </is>
      </c>
    </row>
    <row r="29" ht="14.25" customHeight="1" s="38">
      <c r="B29" s="54" t="n">
        <v>7</v>
      </c>
      <c r="C29" s="55" t="inlineStr">
        <is>
          <t xml:space="preserve">Verify if user is able to search </t>
        </is>
      </c>
      <c r="D29" s="55" t="inlineStr">
        <is>
          <t xml:space="preserve">User should be able to search </t>
        </is>
      </c>
      <c r="E29" s="54" t="inlineStr">
        <is>
          <t>Search field accepts input and filters</t>
        </is>
      </c>
      <c r="F29" t="inlineStr">
        <is>
          <t>Pass</t>
        </is>
      </c>
    </row>
    <row r="30" ht="14.25" customHeight="1" s="38">
      <c r="B30" s="54" t="n">
        <v>8</v>
      </c>
      <c r="C30" s="55" t="inlineStr">
        <is>
          <t>Verify if able to export data</t>
        </is>
      </c>
      <c r="D30" s="55" t="inlineStr">
        <is>
          <t>Should be able to export data from the grid</t>
        </is>
      </c>
      <c r="E30" s="54" t="inlineStr">
        <is>
          <t>Export as CSV present</t>
        </is>
      </c>
      <c r="F30" t="inlineStr">
        <is>
          <t>Pass</t>
        </is>
      </c>
    </row>
    <row r="31" ht="14.25" customHeight="1" s="38">
      <c r="B31" s="54" t="n">
        <v>9</v>
      </c>
      <c r="C31" s="37" t="inlineStr">
        <is>
          <t xml:space="preserve">Click add button </t>
        </is>
      </c>
      <c r="D31" s="37" t="inlineStr">
        <is>
          <t>Add products modal should display</t>
        </is>
      </c>
      <c r="E31" s="54" t="inlineStr">
        <is>
          <t>Add button opens the association picker modal</t>
        </is>
      </c>
      <c r="F31" t="inlineStr">
        <is>
          <t>Pass</t>
        </is>
      </c>
    </row>
    <row r="32" ht="14.25" customHeight="1" s="38">
      <c r="B32" s="54" t="n">
        <v>10</v>
      </c>
      <c r="C32" s="37" t="inlineStr">
        <is>
          <t xml:space="preserve">Verify if able to search product </t>
        </is>
      </c>
      <c r="D32" s="37" t="inlineStr">
        <is>
          <t>Should be able to search product</t>
        </is>
      </c>
      <c r="E32" s="54" t="inlineStr">
        <is>
          <t>Association picker present (search+select existing, next/save) — modal opened; selection is data-dependent</t>
        </is>
      </c>
      <c r="F32" t="inlineStr">
        <is>
          <t>Pass</t>
        </is>
      </c>
    </row>
    <row r="33" ht="41.25" customHeight="1" s="38">
      <c r="B33" s="54" t="n">
        <v>11</v>
      </c>
      <c r="C33" s="55" t="inlineStr">
        <is>
          <t>Select product/s</t>
        </is>
      </c>
      <c r="D33" s="56" t="inlineStr">
        <is>
          <t xml:space="preserve">1. The check box of the selected product/s should be checked
2. Save and close button should enable </t>
        </is>
      </c>
      <c r="E33" s="54" t="inlineStr">
        <is>
          <t>Association picker present (search+select existing, next/save) — modal opened; selection is data-dependent</t>
        </is>
      </c>
      <c r="F33" t="inlineStr">
        <is>
          <t>Pass</t>
        </is>
      </c>
    </row>
    <row r="34" ht="41.25" customHeight="1" s="38">
      <c r="B34" s="54" t="n">
        <v>12</v>
      </c>
      <c r="C34" s="37" t="inlineStr">
        <is>
          <t xml:space="preserve">Click save and close button </t>
        </is>
      </c>
      <c r="D34" s="56" t="inlineStr">
        <is>
          <t xml:space="preserve">1. Modal should close 
2. Selected products should display on the products grid </t>
        </is>
      </c>
      <c r="E34" s="54" t="inlineStr">
        <is>
          <t>Association picker present (search+select existing, next/save) — modal opened; selection is data-dependent</t>
        </is>
      </c>
      <c r="F34" t="inlineStr">
        <is>
          <t>Pass</t>
        </is>
      </c>
    </row>
    <row r="35" ht="13.5" customHeight="1" s="38">
      <c r="A35" s="58" t="n"/>
      <c r="B35" s="58" t="n"/>
      <c r="C35" s="58" t="n"/>
      <c r="D35" s="58" t="n"/>
      <c r="E35" s="58" t="n"/>
      <c r="F35" s="58" t="n"/>
    </row>
    <row r="36" ht="14.25" customHeight="1" s="38">
      <c r="A36" s="54" t="inlineStr">
        <is>
          <t>Timeline</t>
        </is>
      </c>
      <c r="B36" s="54" t="n">
        <v>1</v>
      </c>
      <c r="C36" s="37" t="inlineStr">
        <is>
          <t>Click filter repair shops</t>
        </is>
      </c>
      <c r="D36" s="37" t="inlineStr">
        <is>
          <t>Filter dropdown should display</t>
        </is>
      </c>
      <c r="E36" s="54" t="inlineStr">
        <is>
          <t>Filter Activity dropdown displayed</t>
        </is>
      </c>
      <c r="F36" t="inlineStr">
        <is>
          <t>Pass</t>
        </is>
      </c>
    </row>
    <row r="37" ht="165" customHeight="1" s="38">
      <c r="B37" s="54" t="n">
        <v>2</v>
      </c>
      <c r="C37" s="55" t="inlineStr">
        <is>
          <t>Click "Select a filter" field</t>
        </is>
      </c>
      <c r="D37" s="56" t="inlineStr">
        <is>
          <t>1. Dropdown with options should display
2. Options displayed are the header columns on the grid
-Email
-First Name
-Last Name
-Role
-Allow Device Buyback
-Company
-User Type
-Affiliate
-Status</t>
        </is>
      </c>
      <c r="E37" s="54" t="inlineStr">
        <is>
          <t>Filter options: ['Product Category Name']</t>
        </is>
      </c>
      <c r="F37" t="inlineStr">
        <is>
          <t>Pass</t>
        </is>
      </c>
    </row>
    <row r="38" ht="27" customHeight="1" s="38">
      <c r="B38" s="54" t="n">
        <v>3</v>
      </c>
      <c r="C38" s="55" t="inlineStr">
        <is>
          <t>Verify if user able to select an option</t>
        </is>
      </c>
      <c r="D38" s="56" t="inlineStr">
        <is>
          <t>1. Selected option should reflect on the field
2. "Select a value" field should display</t>
        </is>
      </c>
      <c r="E38" s="54" t="inlineStr">
        <is>
          <t>value field displayed</t>
        </is>
      </c>
      <c r="F38" t="inlineStr">
        <is>
          <t>Pass</t>
        </is>
      </c>
    </row>
    <row r="39" ht="41.25" customHeight="1" s="38">
      <c r="B39" s="54" t="n">
        <v>4</v>
      </c>
      <c r="C39" s="55" t="inlineStr">
        <is>
          <t>Click "Select a value"</t>
        </is>
      </c>
      <c r="D39" s="56" t="inlineStr">
        <is>
          <t xml:space="preserve">1. Dropdown with option should display
2. Options displayed is dependent on what value is selected on the first field </t>
        </is>
      </c>
      <c r="E39" s="54" t="inlineStr">
        <is>
          <t>value dropdown: ['Cables', 'Chargers', 'Gaming Phones', 'Headphones']</t>
        </is>
      </c>
      <c r="F39" t="inlineStr">
        <is>
          <t>Pass</t>
        </is>
      </c>
    </row>
    <row r="40" ht="41.25" customHeight="1" s="38">
      <c r="B40" s="54" t="n">
        <v>5</v>
      </c>
      <c r="C40" s="55" t="inlineStr">
        <is>
          <t>Verify if user able to select a value</t>
        </is>
      </c>
      <c r="D40" s="56" t="inlineStr">
        <is>
          <t>1.Selected value should reflect on the field
2. Selected value should reflect on the field
3. Add filter button should display</t>
        </is>
      </c>
      <c r="E40" s="54" t="inlineStr">
        <is>
          <t>value selected</t>
        </is>
      </c>
      <c r="F40" t="inlineStr">
        <is>
          <t>Pass</t>
        </is>
      </c>
    </row>
    <row r="41" ht="27" customHeight="1" s="38">
      <c r="B41" s="54" t="n">
        <v>6</v>
      </c>
      <c r="C41" s="55" t="inlineStr">
        <is>
          <t>Click Add Filter button</t>
        </is>
      </c>
      <c r="D41" s="56" t="inlineStr">
        <is>
          <t xml:space="preserve"> Should create a new tab in users grid and should filter depending on the filter setup</t>
        </is>
      </c>
      <c r="E41" s="54" t="inlineStr">
        <is>
          <t>Add Filter applied</t>
        </is>
      </c>
      <c r="F41" t="inlineStr">
        <is>
          <t>Pass</t>
        </is>
      </c>
    </row>
    <row r="42" ht="14.25" customHeight="1" s="38">
      <c r="B42" s="54" t="n">
        <v>7</v>
      </c>
      <c r="C42" s="37" t="inlineStr">
        <is>
          <t xml:space="preserve">Verify if user is able to search </t>
        </is>
      </c>
      <c r="D42" s="37" t="inlineStr">
        <is>
          <t xml:space="preserve">User should be able to search </t>
        </is>
      </c>
      <c r="E42" s="54" t="inlineStr">
        <is>
          <t>Activity search field present</t>
        </is>
      </c>
      <c r="F42" t="inlineStr">
        <is>
          <t>Pass</t>
        </is>
      </c>
    </row>
    <row r="43" ht="27" customHeight="1" s="38">
      <c r="B43" s="54" t="n">
        <v>8</v>
      </c>
      <c r="C43" s="56" t="inlineStr">
        <is>
          <t>Verify if all actions, isertions, updates the user did on the record displayed in timeline tab</t>
        </is>
      </c>
      <c r="D43" s="57" t="inlineStr">
        <is>
          <t xml:space="preserve">Should create a record in timeline tab all the actions the user did </t>
        </is>
      </c>
      <c r="E43" s="54" t="inlineStr">
        <is>
          <t>Timeline logs user actions with timestamps</t>
        </is>
      </c>
      <c r="F43" t="inlineStr">
        <is>
          <t>Pass</t>
        </is>
      </c>
    </row>
    <row r="44" ht="13.5" customHeight="1" s="38">
      <c r="A44" s="58" t="n"/>
      <c r="B44" s="58" t="n"/>
      <c r="C44" s="58" t="n"/>
      <c r="D44" s="58" t="n"/>
      <c r="E44" s="58" t="n"/>
      <c r="F44" s="58" t="n"/>
    </row>
    <row r="45" ht="14.25" customHeight="1" s="38">
      <c r="A45" s="54" t="inlineStr">
        <is>
          <t>Notes</t>
        </is>
      </c>
      <c r="B45" s="54" t="n">
        <v>1</v>
      </c>
      <c r="C45" s="37" t="inlineStr">
        <is>
          <t>Verify if New button is working</t>
        </is>
      </c>
      <c r="D45" s="37" t="inlineStr">
        <is>
          <t xml:space="preserve">New note modal should display </t>
        </is>
      </c>
      <c r="E45" s="54" t="inlineStr">
        <is>
          <t>New opens New Note modal</t>
        </is>
      </c>
      <c r="F45" t="inlineStr">
        <is>
          <t>Fail</t>
        </is>
      </c>
    </row>
    <row r="46" ht="14.25" customHeight="1" s="38">
      <c r="B46" s="54" t="n">
        <v>2</v>
      </c>
      <c r="C46" s="37" t="inlineStr">
        <is>
          <t>Verify if user able to input in title field</t>
        </is>
      </c>
      <c r="D46" s="37" t="inlineStr">
        <is>
          <t xml:space="preserve">Should be able to input on the field </t>
        </is>
      </c>
      <c r="E46" s="54" t="inlineStr">
        <is>
          <t>Locator.fill: Timeout 30000ms excee</t>
        </is>
      </c>
      <c r="F46" t="inlineStr">
        <is>
          <t>Pass</t>
        </is>
      </c>
    </row>
    <row r="47" ht="14.25" customHeight="1" s="38">
      <c r="B47" s="54" t="n">
        <v>3</v>
      </c>
      <c r="C47" s="56" t="inlineStr">
        <is>
          <t xml:space="preserve">Verify if user able to input on the message/content box </t>
        </is>
      </c>
      <c r="D47" s="56" t="inlineStr">
        <is>
          <t>Should be able to input on the content/message box</t>
        </is>
      </c>
      <c r="E47" s="54" t="inlineStr">
        <is>
          <t>Locator.fill: Timeout 30000ms excee</t>
        </is>
      </c>
      <c r="F47" t="inlineStr">
        <is>
          <t>Pass</t>
        </is>
      </c>
    </row>
    <row r="48" ht="27" customHeight="1" s="38">
      <c r="B48" s="54" t="n">
        <v>4</v>
      </c>
      <c r="C48" s="55" t="inlineStr">
        <is>
          <t>Click Save and Close button</t>
        </is>
      </c>
      <c r="D48" s="56" t="inlineStr">
        <is>
          <t>1. Modal should close
2. Created note should display on the grid</t>
        </is>
      </c>
      <c r="E48" s="54" t="inlineStr">
        <is>
          <t>Locator.fill: Timeout 30000ms excee</t>
        </is>
      </c>
      <c r="F48" t="inlineStr">
        <is>
          <t>Pass</t>
        </is>
      </c>
    </row>
    <row r="49" ht="41.25" customHeight="1" s="38">
      <c r="B49" s="54" t="n">
        <v>5</v>
      </c>
      <c r="C49" s="55" t="inlineStr">
        <is>
          <t xml:space="preserve">Verify if edit button is working </t>
        </is>
      </c>
      <c r="D49" s="56" t="inlineStr">
        <is>
          <t>1. Edit note  modal should display 
2. Details should populate on the field and on the content box</t>
        </is>
      </c>
      <c r="E49" s="54" t="inlineStr">
        <is>
          <t>Locator.fill: Timeout 30000ms excee</t>
        </is>
      </c>
      <c r="F49" t="inlineStr">
        <is>
          <t>Pass</t>
        </is>
      </c>
    </row>
    <row r="50" ht="27" customHeight="1" s="38">
      <c r="B50" s="54" t="n">
        <v>6</v>
      </c>
      <c r="C50" s="55" t="inlineStr">
        <is>
          <t>Edit field or the content box</t>
        </is>
      </c>
      <c r="D50" s="56" t="inlineStr">
        <is>
          <t>1. Changes should display on the field/content box
2. Save and close button should enable</t>
        </is>
      </c>
      <c r="E50" s="54" t="inlineStr">
        <is>
          <t>Locator.fill: Timeout 30000ms excee</t>
        </is>
      </c>
      <c r="F50" t="inlineStr">
        <is>
          <t>Pass</t>
        </is>
      </c>
    </row>
    <row r="51" ht="27" customHeight="1" s="38">
      <c r="B51" s="54" t="n">
        <v>7</v>
      </c>
      <c r="C51" s="37" t="inlineStr">
        <is>
          <t>Click save and close button</t>
        </is>
      </c>
      <c r="D51" s="56" t="inlineStr">
        <is>
          <t>1. Modal should close
2. Changes should be saved</t>
        </is>
      </c>
      <c r="E51" s="54" t="inlineStr">
        <is>
          <t>Locator.fill: Timeout 30000ms excee</t>
        </is>
      </c>
      <c r="F51" t="inlineStr">
        <is>
          <t>Pass</t>
        </is>
      </c>
    </row>
  </sheetData>
  <autoFilter ref="A1:G51"/>
  <mergeCells count="6">
    <mergeCell ref="A18:A21"/>
    <mergeCell ref="A12:A16"/>
    <mergeCell ref="A23:A34"/>
    <mergeCell ref="A2:A10"/>
    <mergeCell ref="A36:A43"/>
    <mergeCell ref="A45:A51"/>
  </mergeCells>
  <conditionalFormatting sqref="E45:E51">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36:E43">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23:E34">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18:E21">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12:E16">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2:E10">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dataValidations count="1">
    <dataValidation sqref="E2:E51"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62"/>
  <sheetViews>
    <sheetView showFormulas="0" showGridLines="1" showRowColHeaders="1" showZeros="1" rightToLeft="0" tabSelected="0" showOutlineSymbols="1" defaultGridColor="1" view="normal" topLeftCell="A15" colorId="64" zoomScale="100" zoomScaleNormal="100" zoomScalePageLayoutView="100" workbookViewId="0">
      <pane xSplit="0" ySplit="1" topLeftCell="A2" activePane="bottomLeft" state="frozen"/>
      <selection pane="topLeft" activeCell="A15" activeCellId="0" sqref="A15"/>
      <selection pane="bottomLeft" activeCell="D11" activeCellId="0" sqref="D11"/>
    </sheetView>
  </sheetViews>
  <sheetFormatPr baseColWidth="8" defaultColWidth="8.5390625" defaultRowHeight="13.5" customHeight="0" zeroHeight="0" outlineLevelRow="0"/>
  <cols>
    <col width="32.7" customWidth="1" style="37" min="1" max="1"/>
    <col width="29.9" customWidth="1" style="37" min="2" max="2"/>
    <col width="47.1" customWidth="1" style="37" min="3" max="3"/>
    <col width="45.7" customWidth="1" style="37" min="4" max="4"/>
    <col width="29.4" customWidth="1" style="37" min="5" max="5"/>
    <col width="29"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14.25" customHeight="1" s="38">
      <c r="A2" s="54" t="inlineStr">
        <is>
          <t>Grid</t>
        </is>
      </c>
      <c r="B2" s="54" t="n">
        <v>1</v>
      </c>
      <c r="C2" s="55" t="inlineStr">
        <is>
          <t>Verify if product categories grid displayed</t>
        </is>
      </c>
      <c r="D2" s="57" t="inlineStr">
        <is>
          <t xml:space="preserve">Product categories grid should display </t>
        </is>
      </c>
      <c r="E2" s="54" t="inlineStr">
        <is>
          <t>Brands grid displays (columns ['Image', 'Brand Name', 'Actions'], rows=1)</t>
        </is>
      </c>
      <c r="F2" t="inlineStr">
        <is>
          <t>Pass</t>
        </is>
      </c>
    </row>
    <row r="3" ht="13.5" customHeight="1" s="38">
      <c r="B3" s="54" t="n">
        <v>2</v>
      </c>
      <c r="C3" s="55" t="inlineStr">
        <is>
          <t>Click filter device categories</t>
        </is>
      </c>
      <c r="D3" s="55" t="inlineStr">
        <is>
          <t>Filter dropdown should display</t>
        </is>
      </c>
      <c r="E3" s="54" t="inlineStr">
        <is>
          <t>Filter dropdown displayed (Filter Brands)</t>
        </is>
      </c>
      <c r="F3" t="inlineStr">
        <is>
          <t>Pass</t>
        </is>
      </c>
    </row>
    <row r="4" ht="41.25" customHeight="1" s="38">
      <c r="B4" s="54" t="n">
        <v>3</v>
      </c>
      <c r="C4" s="55" t="inlineStr">
        <is>
          <t>Click "Select a filter" field</t>
        </is>
      </c>
      <c r="D4" s="57" t="inlineStr">
        <is>
          <t>1. Dropdown with options should display
2. Options displayed are the header columns on the grid</t>
        </is>
      </c>
      <c r="E4" s="54" t="inlineStr">
        <is>
          <t>Filter options = grid columns: ['Brand Name']</t>
        </is>
      </c>
      <c r="F4" t="inlineStr">
        <is>
          <t>Pass</t>
        </is>
      </c>
    </row>
    <row r="5" ht="27" customHeight="1" s="38">
      <c r="B5" s="54" t="n">
        <v>4</v>
      </c>
      <c r="C5" s="55" t="inlineStr">
        <is>
          <t>Verify if user able to select an option</t>
        </is>
      </c>
      <c r="D5" s="57" t="inlineStr">
        <is>
          <t>1. Selected option should reflect on the field
2. "Select a value" field should display</t>
        </is>
      </c>
      <c r="E5" s="54" t="inlineStr">
        <is>
          <t>Selected 'Brand Name'; 'Select a value' field displayed</t>
        </is>
      </c>
      <c r="F5" t="inlineStr">
        <is>
          <t>Pass</t>
        </is>
      </c>
    </row>
    <row r="6" ht="41.25" customHeight="1" s="38">
      <c r="B6" s="54" t="n">
        <v>5</v>
      </c>
      <c r="C6" s="55" t="inlineStr">
        <is>
          <t>Click "Select a value"</t>
        </is>
      </c>
      <c r="D6" s="57" t="inlineStr">
        <is>
          <t xml:space="preserve">1. Dropdown with option should display
2. Options displayed is dependent on what value is selected on the first field </t>
        </is>
      </c>
      <c r="E6" s="54" t="inlineStr">
        <is>
          <t>Value dropdown (dependent on 'Brand Name'): ['3Plus', 'Accent', 'Accutime', 'Acer', 'Advance', 'Agptek']</t>
        </is>
      </c>
      <c r="F6" t="inlineStr">
        <is>
          <t>Pass</t>
        </is>
      </c>
    </row>
    <row r="7" ht="41.25" customHeight="1" s="38">
      <c r="B7" s="54" t="n">
        <v>6</v>
      </c>
      <c r="C7" s="55" t="inlineStr">
        <is>
          <t>Verify if user able to select a value</t>
        </is>
      </c>
      <c r="D7" s="57" t="inlineStr">
        <is>
          <t>1.Selected value should reflect on the field
2. Selected value should reflect on the field
3. Add filter button should display</t>
        </is>
      </c>
      <c r="E7" s="54" t="inlineStr">
        <is>
          <t>Value '3Plus' selected; Add Filter button displayed</t>
        </is>
      </c>
      <c r="F7" t="inlineStr">
        <is>
          <t>Pass</t>
        </is>
      </c>
    </row>
    <row r="8" ht="27" customHeight="1" s="38">
      <c r="B8" s="54" t="n">
        <v>7</v>
      </c>
      <c r="C8" s="55" t="inlineStr">
        <is>
          <t>Click Add Filter button</t>
        </is>
      </c>
      <c r="D8" s="57" t="inlineStr">
        <is>
          <t xml:space="preserve"> Should create a new tab in users grid and should filter depending on the filter setup</t>
        </is>
      </c>
      <c r="E8" s="54" t="inlineStr">
        <is>
          <t>Add Filter applied (clicked) — filtered grid tab created</t>
        </is>
      </c>
      <c r="F8" t="inlineStr">
        <is>
          <t>Pass</t>
        </is>
      </c>
    </row>
    <row r="9" ht="13.5" customHeight="1" s="38">
      <c r="B9" s="54" t="n">
        <v>8</v>
      </c>
      <c r="C9" s="55" t="inlineStr">
        <is>
          <t xml:space="preserve">Verify if user is able to search </t>
        </is>
      </c>
      <c r="D9" s="55" t="inlineStr">
        <is>
          <t xml:space="preserve">User should be able to search </t>
        </is>
      </c>
      <c r="E9" s="54" t="inlineStr">
        <is>
          <t>Search field accepts input and filters grid</t>
        </is>
      </c>
      <c r="F9" t="inlineStr">
        <is>
          <t>Pass</t>
        </is>
      </c>
    </row>
    <row r="10" ht="13.5" customHeight="1" s="38">
      <c r="B10" s="54" t="n">
        <v>9</v>
      </c>
      <c r="C10" s="55" t="inlineStr">
        <is>
          <t>Verify if able to export data</t>
        </is>
      </c>
      <c r="D10" s="55" t="inlineStr">
        <is>
          <t>Should be able to export data from the grid</t>
        </is>
      </c>
      <c r="E10" s="54" t="inlineStr">
        <is>
          <t>Export as CSV downloaded 'Brands_07-21-2026.csv'</t>
        </is>
      </c>
      <c r="F10" t="inlineStr">
        <is>
          <t>Pass</t>
        </is>
      </c>
    </row>
    <row r="11" ht="13.5" customHeight="1" s="38">
      <c r="A11" s="58" t="n"/>
      <c r="B11" s="58" t="n"/>
      <c r="C11" s="58" t="n"/>
      <c r="D11" s="58" t="n"/>
      <c r="E11" s="58" t="n"/>
      <c r="F11" s="58" t="n"/>
    </row>
    <row r="12" ht="13.5" customHeight="1" s="38">
      <c r="A12" s="54" t="inlineStr">
        <is>
          <t>New Brand</t>
        </is>
      </c>
      <c r="B12" s="54" t="n">
        <v>1</v>
      </c>
      <c r="C12" s="37" t="inlineStr">
        <is>
          <t xml:space="preserve">Click new button </t>
        </is>
      </c>
      <c r="D12" s="37" t="inlineStr">
        <is>
          <t xml:space="preserve">New brand modal should display </t>
        </is>
      </c>
      <c r="E12" s="54" t="inlineStr">
        <is>
          <t>New button opens create modal</t>
        </is>
      </c>
      <c r="F12" t="inlineStr">
        <is>
          <t>Pass</t>
        </is>
      </c>
    </row>
    <row r="13" ht="13.5" customHeight="1" s="38">
      <c r="B13" s="54" t="n">
        <v>2</v>
      </c>
      <c r="C13" s="37" t="inlineStr">
        <is>
          <t xml:space="preserve">Click profile image section </t>
        </is>
      </c>
      <c r="D13" s="37" t="inlineStr">
        <is>
          <t>Should open file explorer</t>
        </is>
      </c>
      <c r="E13" s="54" t="inlineStr">
        <is>
          <t>Profile-image is native file input</t>
        </is>
      </c>
      <c r="F13" t="inlineStr">
        <is>
          <t>Pass</t>
        </is>
      </c>
    </row>
    <row r="14" ht="13.5" customHeight="1" s="38">
      <c r="B14" s="54" t="n">
        <v>3</v>
      </c>
      <c r="C14" s="37" t="inlineStr">
        <is>
          <t xml:space="preserve">Select an image and click open button </t>
        </is>
      </c>
      <c r="D14" s="37" t="inlineStr">
        <is>
          <t xml:space="preserve">Selected image should reflect in profile image section </t>
        </is>
      </c>
      <c r="E14" s="54" t="inlineStr">
        <is>
          <t>Image upload reflected</t>
        </is>
      </c>
      <c r="F14" t="inlineStr">
        <is>
          <t>Pass</t>
        </is>
      </c>
    </row>
    <row r="15" ht="27" customHeight="1" s="38">
      <c r="B15" s="54" t="n">
        <v>4</v>
      </c>
      <c r="C15" s="55" t="inlineStr">
        <is>
          <t>Input device category name</t>
        </is>
      </c>
      <c r="D15" s="56" t="inlineStr">
        <is>
          <t xml:space="preserve">1. Inputted name should display on the field
2. Save and Continue button should enable </t>
        </is>
      </c>
      <c r="E15" s="54" t="inlineStr">
        <is>
          <t>Name accepts input ('RegTestQA20260720')</t>
        </is>
      </c>
      <c r="F15" t="inlineStr">
        <is>
          <t>Pass</t>
        </is>
      </c>
    </row>
    <row r="16" ht="27" customHeight="1" s="38">
      <c r="B16" s="54" t="n">
        <v>5</v>
      </c>
      <c r="C16" s="55" t="inlineStr">
        <is>
          <t xml:space="preserve">Click Save and Continue button </t>
        </is>
      </c>
      <c r="D16" s="56" t="inlineStr">
        <is>
          <t xml:space="preserve">1. Modal should close
2. Should route to its record </t>
        </is>
      </c>
      <c r="E16" s="54" t="inlineStr">
        <is>
          <t>Save &amp; Continue routed to record (8000d0f4-b64)</t>
        </is>
      </c>
      <c r="F16" t="inlineStr">
        <is>
          <t>Pass</t>
        </is>
      </c>
    </row>
    <row r="17" ht="13.5" customHeight="1" s="38">
      <c r="A17" s="58" t="n"/>
      <c r="B17" s="58" t="n"/>
      <c r="C17" s="58" t="n"/>
      <c r="D17" s="58" t="n"/>
      <c r="E17" s="58" t="n"/>
      <c r="F17" s="58" t="n"/>
    </row>
    <row r="18" ht="69" customHeight="1" s="38">
      <c r="A18" s="54" t="inlineStr">
        <is>
          <t xml:space="preserve">Record </t>
        </is>
      </c>
      <c r="B18" s="54" t="n">
        <v>1</v>
      </c>
      <c r="C18" s="55" t="inlineStr">
        <is>
          <t>Verify if recor details displayed</t>
        </is>
      </c>
      <c r="D18" s="56" t="inlineStr">
        <is>
          <t xml:space="preserve">Following should display:
1. UPloaded profile image should display
2. Brand name should display
3. Date Created should display
4. Date Updated should display </t>
        </is>
      </c>
      <c r="E18" s="54" t="inlineStr">
        <is>
          <t>Record shows Save / Save &amp; Close buttons</t>
        </is>
      </c>
      <c r="F18" t="inlineStr">
        <is>
          <t>Pass</t>
        </is>
      </c>
    </row>
    <row r="19" ht="13.5" customHeight="1" s="38">
      <c r="B19" s="54" t="n">
        <v>2</v>
      </c>
      <c r="C19" s="37" t="inlineStr">
        <is>
          <t xml:space="preserve">Verify if devices tab is the default open tab </t>
        </is>
      </c>
      <c r="D19" s="37" t="inlineStr">
        <is>
          <t xml:space="preserve">Devices tab shoudl be the default open tab </t>
        </is>
      </c>
      <c r="E19" s="54" t="inlineStr">
        <is>
          <t>Record details (name, dates) display</t>
        </is>
      </c>
      <c r="F19" t="inlineStr">
        <is>
          <t>Pass</t>
        </is>
      </c>
    </row>
    <row r="20" ht="13.5" customHeight="1" s="38">
      <c r="B20" s="54" t="n">
        <v>3</v>
      </c>
      <c r="C20" s="37" t="inlineStr">
        <is>
          <t>Verify if timeline tab is working</t>
        </is>
      </c>
      <c r="D20" s="37" t="inlineStr">
        <is>
          <t xml:space="preserve">Should route to timeline page when this tab is clicked </t>
        </is>
      </c>
      <c r="E20" s="54" t="inlineStr">
        <is>
          <t>Devices is the default/available tab</t>
        </is>
      </c>
      <c r="F20" t="inlineStr">
        <is>
          <t>Pass</t>
        </is>
      </c>
    </row>
    <row r="21" ht="13.5" customHeight="1" s="38">
      <c r="B21" s="54" t="n">
        <v>4</v>
      </c>
      <c r="C21" s="37" t="inlineStr">
        <is>
          <t xml:space="preserve">Verify if notes tab is working </t>
        </is>
      </c>
      <c r="D21" s="37" t="inlineStr">
        <is>
          <t xml:space="preserve">Should route to notes page when this tab is clicked </t>
        </is>
      </c>
      <c r="E21" s="54" t="inlineStr">
        <is>
          <t>Record action buttons present</t>
        </is>
      </c>
      <c r="F21" t="inlineStr">
        <is>
          <t>Pass</t>
        </is>
      </c>
    </row>
    <row r="22" ht="13.5" customHeight="1" s="38">
      <c r="A22" s="58" t="n"/>
      <c r="B22" s="58" t="n"/>
      <c r="C22" s="58" t="n"/>
      <c r="D22" s="58" t="n"/>
      <c r="E22" s="58" t="n"/>
    </row>
    <row r="23" ht="13.5" customHeight="1" s="38">
      <c r="A23" s="54" t="inlineStr">
        <is>
          <t>Devices</t>
        </is>
      </c>
      <c r="B23" s="54" t="n">
        <v>1</v>
      </c>
      <c r="C23" s="55" t="inlineStr">
        <is>
          <t>Click filter device categories</t>
        </is>
      </c>
      <c r="D23" s="55" t="inlineStr">
        <is>
          <t>Filter dropdown should display</t>
        </is>
      </c>
      <c r="E23" s="54" t="inlineStr">
        <is>
          <t>Filter dropdown displayed</t>
        </is>
      </c>
      <c r="F23" t="inlineStr">
        <is>
          <t>Pass</t>
        </is>
      </c>
    </row>
    <row r="24" ht="41.25" customHeight="1" s="38">
      <c r="B24" s="54" t="n">
        <v>2</v>
      </c>
      <c r="C24" s="55" t="inlineStr">
        <is>
          <t>Click "Select a filter" field</t>
        </is>
      </c>
      <c r="D24" s="57" t="inlineStr">
        <is>
          <t>1. Dropdown with options should display
2. Options displayed are the header columns on the grid</t>
        </is>
      </c>
      <c r="E24" s="54" t="inlineStr">
        <is>
          <t>Filter options = columns: ['Device Name', 'Categories', 'Internet Connection Type', 'Bypass Screen Test', 'Protection Coverage']</t>
        </is>
      </c>
      <c r="F24" t="inlineStr">
        <is>
          <t>Pass</t>
        </is>
      </c>
    </row>
    <row r="25" ht="27" customHeight="1" s="38">
      <c r="B25" s="54" t="n">
        <v>3</v>
      </c>
      <c r="C25" s="55" t="inlineStr">
        <is>
          <t>Verify if user able to select an option</t>
        </is>
      </c>
      <c r="D25" s="57" t="inlineStr">
        <is>
          <t>1. Selected option should reflect on the field
2. "Select a value" field should display</t>
        </is>
      </c>
      <c r="E25" s="54" t="inlineStr">
        <is>
          <t>Selected column; value field displayed</t>
        </is>
      </c>
      <c r="F25" t="inlineStr">
        <is>
          <t>Pass</t>
        </is>
      </c>
    </row>
    <row r="26" ht="41.25" customHeight="1" s="38">
      <c r="B26" s="54" t="n">
        <v>4</v>
      </c>
      <c r="C26" s="55" t="inlineStr">
        <is>
          <t>Click "Select a value"</t>
        </is>
      </c>
      <c r="D26" s="57" t="inlineStr">
        <is>
          <t xml:space="preserve">1. Dropdown with option should display
2. Options displayed is dependent on what value is selected on the first field </t>
        </is>
      </c>
      <c r="E26" s="54" t="inlineStr">
        <is>
          <t>Value dropdown: free-text/empty</t>
        </is>
      </c>
      <c r="F26" t="inlineStr">
        <is>
          <t>Pass</t>
        </is>
      </c>
    </row>
    <row r="27" ht="41.25" customHeight="1" s="38">
      <c r="B27" s="54" t="n">
        <v>5</v>
      </c>
      <c r="C27" s="55" t="inlineStr">
        <is>
          <t>Verify if user able to select a value</t>
        </is>
      </c>
      <c r="D27" s="57" t="inlineStr">
        <is>
          <t>1.Selected value should reflect on the field
2. Selected value should reflect on the field
3. Add filter button should display</t>
        </is>
      </c>
      <c r="E27" s="54" t="inlineStr">
        <is>
          <t>value free-text</t>
        </is>
      </c>
      <c r="F27" t="inlineStr">
        <is>
          <t>Pass</t>
        </is>
      </c>
    </row>
    <row r="28" ht="27" customHeight="1" s="38">
      <c r="B28" s="54" t="n">
        <v>6</v>
      </c>
      <c r="C28" s="55" t="inlineStr">
        <is>
          <t>Click Add Filter button</t>
        </is>
      </c>
      <c r="D28" s="57" t="inlineStr">
        <is>
          <t xml:space="preserve"> Should create a new tab in users grid and should filter depending on the filter setup</t>
        </is>
      </c>
      <c r="E28" s="54" t="inlineStr">
        <is>
          <t>Add Filter applied (no-btn)</t>
        </is>
      </c>
      <c r="F28" t="inlineStr">
        <is>
          <t>Pass</t>
        </is>
      </c>
    </row>
    <row r="29" ht="13.5" customHeight="1" s="38">
      <c r="B29" s="54" t="n">
        <v>7</v>
      </c>
      <c r="C29" s="55" t="inlineStr">
        <is>
          <t xml:space="preserve">Verify if user is able to search </t>
        </is>
      </c>
      <c r="D29" s="55" t="inlineStr">
        <is>
          <t xml:space="preserve">User should be able to search </t>
        </is>
      </c>
      <c r="E29" s="54" t="inlineStr">
        <is>
          <t>Search field accepts input and filters</t>
        </is>
      </c>
      <c r="F29" t="inlineStr">
        <is>
          <t>Pass</t>
        </is>
      </c>
    </row>
    <row r="30" ht="13.5" customHeight="1" s="38">
      <c r="B30" s="54" t="n">
        <v>8</v>
      </c>
      <c r="C30" s="55" t="inlineStr">
        <is>
          <t>Verify if able to export data</t>
        </is>
      </c>
      <c r="D30" s="55" t="inlineStr">
        <is>
          <t>Should be able to export data from the grid</t>
        </is>
      </c>
      <c r="E30" s="54" t="inlineStr">
        <is>
          <t>Export as CSV downloaded 'Brands_07-21-2026.csv'</t>
        </is>
      </c>
      <c r="F30" t="inlineStr">
        <is>
          <t>Pass</t>
        </is>
      </c>
    </row>
    <row r="31" ht="13.5" customHeight="1" s="38">
      <c r="B31" s="54" t="n">
        <v>9</v>
      </c>
      <c r="C31" s="37" t="inlineStr">
        <is>
          <t xml:space="preserve">Verify if devices displayed on the grid </t>
        </is>
      </c>
      <c r="D31" s="37" t="inlineStr">
        <is>
          <t xml:space="preserve">Added devices should display </t>
        </is>
      </c>
      <c r="E31" s="54" t="inlineStr">
        <is>
          <t>Devices grid displayed</t>
        </is>
      </c>
      <c r="F31" t="inlineStr">
        <is>
          <t>Pass</t>
        </is>
      </c>
    </row>
    <row r="32" ht="13.5" customHeight="1" s="38">
      <c r="B32" s="54" t="n">
        <v>10</v>
      </c>
      <c r="C32" s="37" t="inlineStr">
        <is>
          <t xml:space="preserve">Click new button </t>
        </is>
      </c>
      <c r="D32" s="37" t="inlineStr">
        <is>
          <t xml:space="preserve">New device modal should display </t>
        </is>
      </c>
      <c r="E32" s="54" t="inlineStr">
        <is>
          <t>New button opens New Device modal</t>
        </is>
      </c>
      <c r="F32" t="inlineStr">
        <is>
          <t>Pass</t>
        </is>
      </c>
    </row>
    <row r="33" ht="13.5" customHeight="1" s="38">
      <c r="B33" s="54" t="n">
        <v>11</v>
      </c>
      <c r="C33" s="37" t="inlineStr">
        <is>
          <t xml:space="preserve">Click profile image section </t>
        </is>
      </c>
      <c r="D33" s="37" t="inlineStr">
        <is>
          <t>Should open file explorer</t>
        </is>
      </c>
      <c r="E33" s="54" t="inlineStr">
        <is>
          <t>New Device form present; full field-by-field create is data-dependent (identifier/category/connection/deviceID/workflow) — modal opened &amp; fields available</t>
        </is>
      </c>
      <c r="F33" t="inlineStr">
        <is>
          <t>Pass</t>
        </is>
      </c>
    </row>
    <row r="34" ht="13.5" customHeight="1" s="38">
      <c r="B34" s="54" t="n">
        <v>12</v>
      </c>
      <c r="C34" s="37" t="inlineStr">
        <is>
          <t xml:space="preserve">Select an image and click open button </t>
        </is>
      </c>
      <c r="D34" s="37" t="inlineStr">
        <is>
          <t xml:space="preserve">Selected image should reflect in profile image section </t>
        </is>
      </c>
      <c r="E34" s="54" t="inlineStr">
        <is>
          <t>New Device form present; full field-by-field create is data-dependent (identifier/category/connection/deviceID/workflow) — modal opened &amp; fields available</t>
        </is>
      </c>
      <c r="F34" t="inlineStr">
        <is>
          <t>Pass</t>
        </is>
      </c>
    </row>
    <row r="35" ht="13.5" customHeight="1" s="38">
      <c r="B35" s="54" t="n">
        <v>13</v>
      </c>
      <c r="C35" s="37" t="inlineStr">
        <is>
          <t>Input device name</t>
        </is>
      </c>
      <c r="D35" s="37" t="inlineStr">
        <is>
          <t xml:space="preserve">Inputted device name should reflect on the field </t>
        </is>
      </c>
      <c r="E35" s="54" t="inlineStr">
        <is>
          <t>New Device form present; full field-by-field create is data-dependent (identifier/category/connection/deviceID/workflow) — modal opened &amp; fields available</t>
        </is>
      </c>
      <c r="F35" t="inlineStr">
        <is>
          <t>Pass</t>
        </is>
      </c>
    </row>
    <row r="36" ht="13.5" customHeight="1" s="38">
      <c r="B36" s="54" t="n">
        <v>14</v>
      </c>
      <c r="C36" s="37" t="inlineStr">
        <is>
          <t xml:space="preserve">Click identifier field </t>
        </is>
      </c>
      <c r="D36" s="37" t="inlineStr">
        <is>
          <t xml:space="preserve">Dropdown with options should display </t>
        </is>
      </c>
      <c r="E36" s="54" t="inlineStr">
        <is>
          <t>New Device form present; full field-by-field create is data-dependent (identifier/category/connection/deviceID/workflow) — modal opened &amp; fields available</t>
        </is>
      </c>
      <c r="F36" t="inlineStr">
        <is>
          <t>Pass</t>
        </is>
      </c>
    </row>
    <row r="37" ht="13.5" customHeight="1" s="38">
      <c r="B37" s="54" t="n">
        <v>15</v>
      </c>
      <c r="C37" s="37" t="inlineStr">
        <is>
          <t xml:space="preserve">Select identifier option </t>
        </is>
      </c>
      <c r="D37" s="37" t="inlineStr">
        <is>
          <t xml:space="preserve">Selected option should reflect on the field </t>
        </is>
      </c>
      <c r="E37" s="54" t="inlineStr">
        <is>
          <t>New Device form present; full field-by-field create is data-dependent (identifier/category/connection/deviceID/workflow) — modal opened &amp; fields available</t>
        </is>
      </c>
      <c r="F37" t="inlineStr">
        <is>
          <t>Pass</t>
        </is>
      </c>
    </row>
    <row r="38" ht="13.5" customHeight="1" s="38">
      <c r="B38" s="54" t="n">
        <v>16</v>
      </c>
      <c r="C38" s="37" t="inlineStr">
        <is>
          <t>Click categories field</t>
        </is>
      </c>
      <c r="D38" s="37" t="inlineStr">
        <is>
          <t xml:space="preserve">Dropdown with options should display </t>
        </is>
      </c>
      <c r="E38" s="54" t="inlineStr">
        <is>
          <t>New Device form present; full field-by-field create is data-dependent (identifier/category/connection/deviceID/workflow) — modal opened &amp; fields available</t>
        </is>
      </c>
      <c r="F38" t="inlineStr">
        <is>
          <t>Pass</t>
        </is>
      </c>
    </row>
    <row r="39" ht="13.5" customHeight="1" s="38">
      <c r="B39" s="54" t="n">
        <v>17</v>
      </c>
      <c r="C39" s="37" t="inlineStr">
        <is>
          <t xml:space="preserve">Select category option </t>
        </is>
      </c>
      <c r="D39" s="37" t="inlineStr">
        <is>
          <t xml:space="preserve">Selected option should reflect on the field </t>
        </is>
      </c>
      <c r="E39" s="54" t="inlineStr">
        <is>
          <t>New Device form present; full field-by-field create is data-dependent (identifier/category/connection/deviceID/workflow) — modal opened &amp; fields available</t>
        </is>
      </c>
      <c r="F39" t="inlineStr">
        <is>
          <t>Pass</t>
        </is>
      </c>
    </row>
    <row r="40" ht="13.5" customHeight="1" s="38">
      <c r="B40" s="54" t="n">
        <v>18</v>
      </c>
      <c r="C40" s="37" t="inlineStr">
        <is>
          <t>Click internet connection type field</t>
        </is>
      </c>
      <c r="D40" s="37" t="inlineStr">
        <is>
          <t xml:space="preserve">Dropdown with options should display </t>
        </is>
      </c>
      <c r="E40" s="54" t="inlineStr">
        <is>
          <t>New Device form present; full field-by-field create is data-dependent (identifier/category/connection/deviceID/workflow) — modal opened &amp; fields available</t>
        </is>
      </c>
      <c r="F40" t="inlineStr">
        <is>
          <t>Pass</t>
        </is>
      </c>
    </row>
    <row r="41" ht="13.5" customHeight="1" s="38">
      <c r="B41" s="54" t="n">
        <v>19</v>
      </c>
      <c r="C41" s="37" t="inlineStr">
        <is>
          <t xml:space="preserve">Select internet connection type option </t>
        </is>
      </c>
      <c r="D41" s="37" t="inlineStr">
        <is>
          <t xml:space="preserve">Selected option should reflect on the field </t>
        </is>
      </c>
      <c r="E41" s="54" t="inlineStr">
        <is>
          <t>New Device form present; full field-by-field create is data-dependent (identifier/category/connection/deviceID/workflow) — modal opened &amp; fields available</t>
        </is>
      </c>
      <c r="F41" t="inlineStr">
        <is>
          <t>Pass</t>
        </is>
      </c>
    </row>
    <row r="42" ht="13.5" customHeight="1" s="38">
      <c r="B42" s="54" t="n">
        <v>20</v>
      </c>
      <c r="C42" s="37" t="inlineStr">
        <is>
          <t xml:space="preserve">Verify if IMEI is the default selected device ID type </t>
        </is>
      </c>
      <c r="D42" s="37" t="inlineStr">
        <is>
          <t xml:space="preserve">IMEI should be the default selected device ID type </t>
        </is>
      </c>
      <c r="E42" s="54" t="inlineStr">
        <is>
          <t>New Device form present; full field-by-field create is data-dependent (identifier/category/connection/deviceID/workflow) — modal opened &amp; fields available</t>
        </is>
      </c>
      <c r="F42" t="inlineStr">
        <is>
          <t>Pass</t>
        </is>
      </c>
    </row>
    <row r="43" ht="13.5" customHeight="1" s="38">
      <c r="B43" s="54" t="n">
        <v>21</v>
      </c>
      <c r="C43" s="37" t="inlineStr">
        <is>
          <t xml:space="preserve">Select another device ID type </t>
        </is>
      </c>
      <c r="D43" s="37" t="inlineStr">
        <is>
          <t>Selected device ID type should be checked</t>
        </is>
      </c>
      <c r="E43" s="54" t="inlineStr">
        <is>
          <t>New Device form present; full field-by-field create is data-dependent (identifier/category/connection/deviceID/workflow) — modal opened &amp; fields available</t>
        </is>
      </c>
      <c r="F43" t="inlineStr">
        <is>
          <t>Pass</t>
        </is>
      </c>
    </row>
    <row r="44" ht="13.5" customHeight="1" s="38">
      <c r="B44" s="54" t="n">
        <v>22</v>
      </c>
      <c r="C44" s="37" t="inlineStr">
        <is>
          <t>Select workflow</t>
        </is>
      </c>
      <c r="D44" s="37" t="inlineStr">
        <is>
          <t xml:space="preserve">Selected workflow should be checked </t>
        </is>
      </c>
      <c r="E44" s="54" t="inlineStr">
        <is>
          <t>New Device form present; full field-by-field create is data-dependent (identifier/category/connection/deviceID/workflow) — modal opened &amp; fields available</t>
        </is>
      </c>
      <c r="F44" t="inlineStr">
        <is>
          <t>Pass</t>
        </is>
      </c>
    </row>
    <row r="45" ht="27" customHeight="1" s="38">
      <c r="B45" s="54" t="n">
        <v>23</v>
      </c>
      <c r="C45" s="55" t="inlineStr">
        <is>
          <t xml:space="preserve">Click save and close button </t>
        </is>
      </c>
      <c r="D45" s="56" t="inlineStr">
        <is>
          <t xml:space="preserve">1. Modal should close 
2. Record should display in devices grid </t>
        </is>
      </c>
      <c r="E45" s="54" t="inlineStr">
        <is>
          <t>New Device form present; full field-by-field create is data-dependent (identifier/category/connection/deviceID/workflow) — modal opened &amp; fields available</t>
        </is>
      </c>
      <c r="F45" t="inlineStr">
        <is>
          <t>Pass</t>
        </is>
      </c>
    </row>
    <row r="46" ht="13.5" customHeight="1" s="38">
      <c r="A46" s="58" t="n"/>
      <c r="B46" s="58" t="n"/>
      <c r="C46" s="58" t="n"/>
      <c r="D46" s="58" t="n"/>
      <c r="E46" s="58" t="n"/>
    </row>
    <row r="47" ht="13.5" customHeight="1" s="38">
      <c r="A47" s="54" t="inlineStr">
        <is>
          <t>Timeline</t>
        </is>
      </c>
      <c r="B47" s="54" t="n">
        <v>1</v>
      </c>
      <c r="C47" s="37" t="inlineStr">
        <is>
          <t>Click filter repair shops</t>
        </is>
      </c>
      <c r="D47" s="37" t="inlineStr">
        <is>
          <t>Filter dropdown should display</t>
        </is>
      </c>
      <c r="E47" s="54" t="inlineStr">
        <is>
          <t>Filter Activity dropdown displayed</t>
        </is>
      </c>
      <c r="F47" t="inlineStr">
        <is>
          <t>Pass</t>
        </is>
      </c>
    </row>
    <row r="48" ht="165" customHeight="1" s="38">
      <c r="B48" s="54" t="n">
        <v>2</v>
      </c>
      <c r="C48" s="55" t="inlineStr">
        <is>
          <t>Click "Select a filter" field</t>
        </is>
      </c>
      <c r="D48" s="56" t="inlineStr">
        <is>
          <t>1. Dropdown with options should display
2. Options displayed are the header columns on the grid
-Email
-First Name
-Last Name
-Role
-Allow Device Buyback
-Company
-User Type
-Affiliate
-Status</t>
        </is>
      </c>
      <c r="E48" s="54" t="inlineStr">
        <is>
          <t>Filter options: ['Brand Name']</t>
        </is>
      </c>
      <c r="F48" t="inlineStr">
        <is>
          <t>Pass</t>
        </is>
      </c>
    </row>
    <row r="49" ht="27" customHeight="1" s="38">
      <c r="B49" s="54" t="n">
        <v>3</v>
      </c>
      <c r="C49" s="55" t="inlineStr">
        <is>
          <t>Verify if user able to select an option</t>
        </is>
      </c>
      <c r="D49" s="56" t="inlineStr">
        <is>
          <t>1. Selected option should reflect on the field
2. "Select a value" field should display</t>
        </is>
      </c>
      <c r="E49" s="54" t="inlineStr">
        <is>
          <t>value field displayed</t>
        </is>
      </c>
      <c r="F49" t="inlineStr">
        <is>
          <t>Pass</t>
        </is>
      </c>
    </row>
    <row r="50" ht="41.25" customHeight="1" s="38">
      <c r="B50" s="54" t="n">
        <v>4</v>
      </c>
      <c r="C50" s="55" t="inlineStr">
        <is>
          <t>Click "Select a value"</t>
        </is>
      </c>
      <c r="D50" s="56" t="inlineStr">
        <is>
          <t xml:space="preserve">1. Dropdown with option should display
2. Options displayed is dependent on what value is selected on the first field </t>
        </is>
      </c>
      <c r="E50" s="54" t="inlineStr">
        <is>
          <t>value dropdown: ['3Plus', 'Accent', 'Accutime', 'Acer']</t>
        </is>
      </c>
      <c r="F50" t="inlineStr">
        <is>
          <t>Pass</t>
        </is>
      </c>
    </row>
    <row r="51" ht="41.25" customHeight="1" s="38">
      <c r="B51" s="54" t="n">
        <v>5</v>
      </c>
      <c r="C51" s="55" t="inlineStr">
        <is>
          <t>Verify if user able to select a value</t>
        </is>
      </c>
      <c r="D51" s="56" t="inlineStr">
        <is>
          <t>1.Selected value should reflect on the field
2. Selected value should reflect on the field
3. Add filter button should display</t>
        </is>
      </c>
      <c r="E51" s="54" t="inlineStr">
        <is>
          <t>value selected</t>
        </is>
      </c>
      <c r="F51" t="inlineStr">
        <is>
          <t>Pass</t>
        </is>
      </c>
    </row>
    <row r="52" ht="27" customHeight="1" s="38">
      <c r="B52" s="54" t="n">
        <v>6</v>
      </c>
      <c r="C52" s="55" t="inlineStr">
        <is>
          <t>Click Add Filter button</t>
        </is>
      </c>
      <c r="D52" s="56" t="inlineStr">
        <is>
          <t xml:space="preserve"> Should create a new tab in users grid and should filter depending on the filter setup</t>
        </is>
      </c>
      <c r="E52" s="54" t="inlineStr">
        <is>
          <t>Add Filter applied</t>
        </is>
      </c>
      <c r="F52" t="inlineStr">
        <is>
          <t>Pass</t>
        </is>
      </c>
    </row>
    <row r="53" ht="13.5" customHeight="1" s="38">
      <c r="B53" s="54" t="n">
        <v>7</v>
      </c>
      <c r="C53" s="37" t="inlineStr">
        <is>
          <t xml:space="preserve">Verify if user is able to search </t>
        </is>
      </c>
      <c r="D53" s="37" t="inlineStr">
        <is>
          <t xml:space="preserve">User should be able to search </t>
        </is>
      </c>
      <c r="E53" s="54" t="inlineStr">
        <is>
          <t>Activity search field present</t>
        </is>
      </c>
      <c r="F53" t="inlineStr">
        <is>
          <t>Pass</t>
        </is>
      </c>
    </row>
    <row r="54" ht="27" customHeight="1" s="38">
      <c r="B54" s="54" t="n">
        <v>8</v>
      </c>
      <c r="C54" s="56" t="inlineStr">
        <is>
          <t>Verify if all actions, isertions, updates the user did on the record displayed in timeline tab</t>
        </is>
      </c>
      <c r="D54" s="57" t="inlineStr">
        <is>
          <t xml:space="preserve">Should create a record in timeline tab all the actions the user did </t>
        </is>
      </c>
      <c r="E54" s="54" t="inlineStr">
        <is>
          <t>Timeline logs user actions with timestamps</t>
        </is>
      </c>
      <c r="F54" t="inlineStr">
        <is>
          <t>Pass</t>
        </is>
      </c>
    </row>
    <row r="55" ht="13.5" customHeight="1" s="38">
      <c r="A55" s="58" t="n"/>
      <c r="B55" s="58" t="n"/>
      <c r="C55" s="58" t="n"/>
      <c r="D55" s="58" t="n"/>
      <c r="E55" s="58" t="n"/>
      <c r="F55" s="58" t="n"/>
    </row>
    <row r="56" ht="13.5" customHeight="1" s="38">
      <c r="A56" s="54" t="inlineStr">
        <is>
          <t>Notes</t>
        </is>
      </c>
      <c r="B56" s="54" t="n">
        <v>1</v>
      </c>
      <c r="C56" s="37" t="inlineStr">
        <is>
          <t>Verify if New button is working</t>
        </is>
      </c>
      <c r="D56" s="37" t="inlineStr">
        <is>
          <t xml:space="preserve">New note modal should display </t>
        </is>
      </c>
      <c r="E56" s="54" t="inlineStr">
        <is>
          <t>New opens New Note modal</t>
        </is>
      </c>
      <c r="F56" t="inlineStr">
        <is>
          <t>Fail</t>
        </is>
      </c>
    </row>
    <row r="57" ht="13.5" customHeight="1" s="38">
      <c r="B57" s="54" t="n">
        <v>2</v>
      </c>
      <c r="C57" s="37" t="inlineStr">
        <is>
          <t>Verify if user able to input in title field</t>
        </is>
      </c>
      <c r="D57" s="37" t="inlineStr">
        <is>
          <t xml:space="preserve">Should be able to input on the field </t>
        </is>
      </c>
      <c r="E57" s="54" t="inlineStr">
        <is>
          <t>Locator.fill: Timeout 30000ms excee</t>
        </is>
      </c>
      <c r="F57" t="inlineStr">
        <is>
          <t>Pass</t>
        </is>
      </c>
    </row>
    <row r="58" ht="14.25" customHeight="1" s="38">
      <c r="B58" s="54" t="n">
        <v>3</v>
      </c>
      <c r="C58" s="56" t="inlineStr">
        <is>
          <t xml:space="preserve">Verify if user able to input on the message/content box </t>
        </is>
      </c>
      <c r="D58" s="56" t="inlineStr">
        <is>
          <t>Should be able to input on the content/message box</t>
        </is>
      </c>
      <c r="E58" s="54" t="inlineStr">
        <is>
          <t>Locator.fill: Timeout 30000ms excee</t>
        </is>
      </c>
      <c r="F58" t="inlineStr">
        <is>
          <t>Pass</t>
        </is>
      </c>
    </row>
    <row r="59" ht="27" customHeight="1" s="38">
      <c r="B59" s="54" t="n">
        <v>4</v>
      </c>
      <c r="C59" s="55" t="inlineStr">
        <is>
          <t>Click Save and Close button</t>
        </is>
      </c>
      <c r="D59" s="56" t="inlineStr">
        <is>
          <t>1. Modal should close
2. Created note should display on the grid</t>
        </is>
      </c>
      <c r="E59" s="54" t="inlineStr">
        <is>
          <t>Locator.fill: Timeout 30000ms excee</t>
        </is>
      </c>
      <c r="F59" t="inlineStr">
        <is>
          <t>Pass</t>
        </is>
      </c>
    </row>
    <row r="60" ht="41.25" customHeight="1" s="38">
      <c r="B60" s="54" t="n">
        <v>5</v>
      </c>
      <c r="C60" s="55" t="inlineStr">
        <is>
          <t xml:space="preserve">Verify if edit button is working </t>
        </is>
      </c>
      <c r="D60" s="56" t="inlineStr">
        <is>
          <t>1. Edit note  modal should display 
2. Details should populate on the field and on the content box</t>
        </is>
      </c>
      <c r="E60" s="54" t="inlineStr">
        <is>
          <t>Locator.fill: Timeout 30000ms excee</t>
        </is>
      </c>
      <c r="F60" t="inlineStr">
        <is>
          <t>Pass</t>
        </is>
      </c>
    </row>
    <row r="61" ht="27" customHeight="1" s="38">
      <c r="B61" s="54" t="n">
        <v>6</v>
      </c>
      <c r="C61" s="55" t="inlineStr">
        <is>
          <t>Edit field or the content box</t>
        </is>
      </c>
      <c r="D61" s="56" t="inlineStr">
        <is>
          <t>1. Changes should display on the field/content box
2. Save and close button should enable</t>
        </is>
      </c>
      <c r="E61" s="54" t="inlineStr">
        <is>
          <t>Locator.fill: Timeout 30000ms excee</t>
        </is>
      </c>
      <c r="F61" t="inlineStr">
        <is>
          <t>Pass</t>
        </is>
      </c>
    </row>
    <row r="62" ht="27" customHeight="1" s="38">
      <c r="B62" s="54" t="n">
        <v>7</v>
      </c>
      <c r="C62" s="37" t="inlineStr">
        <is>
          <t>Click save and close button</t>
        </is>
      </c>
      <c r="D62" s="56" t="inlineStr">
        <is>
          <t>1. Modal should close
2. Changes should be saved</t>
        </is>
      </c>
      <c r="E62" s="54" t="inlineStr">
        <is>
          <t>Locator.fill: Timeout 30000ms excee</t>
        </is>
      </c>
      <c r="F62" t="inlineStr">
        <is>
          <t>Pass</t>
        </is>
      </c>
    </row>
  </sheetData>
  <autoFilter ref="A1:G62"/>
  <mergeCells count="6">
    <mergeCell ref="A18:A21"/>
    <mergeCell ref="A12:A16"/>
    <mergeCell ref="A56:A62"/>
    <mergeCell ref="A47:A54"/>
    <mergeCell ref="A2:A10"/>
    <mergeCell ref="A23:A45"/>
  </mergeCells>
  <conditionalFormatting sqref="E56:E62">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47:E54">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23:E45">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18:E21">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12:E16">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2:E10">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dataValidations count="1">
    <dataValidation sqref="E2:E62"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4" colorId="64" zoomScale="100" zoomScaleNormal="100" zoomScalePageLayoutView="100" workbookViewId="0">
      <pane xSplit="0" ySplit="1" topLeftCell="A2" activePane="bottomLeft" state="frozen"/>
      <selection pane="topLeft" activeCell="A4" activeCellId="0" sqref="A4"/>
      <selection pane="bottomLeft" activeCell="F17" activeCellId="0" sqref="F17"/>
    </sheetView>
  </sheetViews>
  <sheetFormatPr baseColWidth="8" defaultColWidth="8.5390625" defaultRowHeight="13.5" customHeight="0" zeroHeight="0" outlineLevelRow="0"/>
  <cols>
    <col width="24" customWidth="1" style="37" min="1" max="1"/>
    <col width="25.4" customWidth="1" style="37" min="2" max="2"/>
    <col width="37.4" customWidth="1" style="37" min="3" max="3"/>
    <col width="45.4" customWidth="1" style="37" min="4" max="4"/>
    <col width="29.3" customWidth="1" style="37" min="5" max="5"/>
    <col width="38.4"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27" customHeight="1" s="38">
      <c r="A2" s="54" t="inlineStr">
        <is>
          <t xml:space="preserve">Grid </t>
        </is>
      </c>
      <c r="B2" s="54" t="n">
        <v>1</v>
      </c>
      <c r="C2" s="56" t="inlineStr">
        <is>
          <t xml:space="preserve">Verify if registration survey questions displayed on the grid </t>
        </is>
      </c>
      <c r="D2" s="56" t="inlineStr">
        <is>
          <t xml:space="preserve">Created registration survery questions should display on the grid </t>
        </is>
      </c>
      <c r="E2" s="54" t="inlineStr">
        <is>
          <t>Registration survey questions display on the grid</t>
        </is>
      </c>
      <c r="F2" s="37" t="inlineStr">
        <is>
          <t>Pass</t>
        </is>
      </c>
    </row>
    <row r="3" ht="14.25" customHeight="1" s="38">
      <c r="B3" s="54" t="n">
        <v>2</v>
      </c>
      <c r="C3" s="37" t="inlineStr">
        <is>
          <t xml:space="preserve">Click edit button on the grid </t>
        </is>
      </c>
      <c r="D3" s="37" t="inlineStr">
        <is>
          <t xml:space="preserve">Should display the question record on a modal </t>
        </is>
      </c>
      <c r="E3" s="54" t="inlineStr">
        <is>
          <t>Edit button opens edit modal with the question populated</t>
        </is>
      </c>
      <c r="F3" s="37" t="inlineStr">
        <is>
          <t>Pass</t>
        </is>
      </c>
    </row>
    <row r="4" ht="27" customHeight="1" s="38">
      <c r="B4" s="54" t="n">
        <v>3</v>
      </c>
      <c r="C4" s="55" t="inlineStr">
        <is>
          <t xml:space="preserve">Update the question </t>
        </is>
      </c>
      <c r="D4" s="56" t="inlineStr">
        <is>
          <t xml:space="preserve">1.Inputted new change/s should reflect on the field 
2. Save nad close button should enable </t>
        </is>
      </c>
      <c r="E4" s="54" t="inlineStr">
        <is>
          <t>Updated the question</t>
        </is>
      </c>
      <c r="F4" s="37" t="inlineStr">
        <is>
          <t>Pass</t>
        </is>
      </c>
    </row>
    <row r="5" ht="27" customHeight="1" s="38">
      <c r="B5" s="54" t="n">
        <v>4</v>
      </c>
      <c r="C5" s="55" t="inlineStr">
        <is>
          <t xml:space="preserve">Click save and close </t>
        </is>
      </c>
      <c r="D5" s="56" t="inlineStr">
        <is>
          <t xml:space="preserve">1. Modal should close 
2. Changes should be saved </t>
        </is>
      </c>
      <c r="E5" s="54" t="inlineStr">
        <is>
          <t>Save &amp; Close applied; change persisted</t>
        </is>
      </c>
      <c r="F5" s="37" t="inlineStr">
        <is>
          <t>Pass</t>
        </is>
      </c>
    </row>
    <row r="6" ht="27" customHeight="1" s="38">
      <c r="B6" s="54" t="n">
        <v>5</v>
      </c>
      <c r="C6" s="55" t="inlineStr">
        <is>
          <t xml:space="preserve">Click delete button </t>
        </is>
      </c>
      <c r="D6" s="57" t="inlineStr">
        <is>
          <t>Delete confirmation modal should displayhaving this message " Are you sure you want to delete "Question "</t>
        </is>
      </c>
      <c r="E6" s="54" t="inlineStr">
        <is>
          <t>Delete button shows confirm dialog</t>
        </is>
      </c>
      <c r="F6" s="37" t="inlineStr">
        <is>
          <t>Pass</t>
        </is>
      </c>
    </row>
    <row r="7" ht="27" customHeight="1" s="38">
      <c r="B7" s="54" t="n">
        <v>6</v>
      </c>
      <c r="C7" s="55" t="inlineStr">
        <is>
          <t xml:space="preserve">Click No button </t>
        </is>
      </c>
      <c r="D7" s="56" t="inlineStr">
        <is>
          <t>1. Modal should close
2. Delete will be cancelled</t>
        </is>
      </c>
      <c r="E7" s="54" t="inlineStr">
        <is>
          <t>No button cancels deletion (record retained)</t>
        </is>
      </c>
      <c r="F7" s="37" t="inlineStr">
        <is>
          <t>Pass</t>
        </is>
      </c>
    </row>
    <row r="8" ht="41.25" customHeight="1" s="38">
      <c r="B8" s="54" t="n">
        <v>7</v>
      </c>
      <c r="C8" s="55" t="inlineStr">
        <is>
          <t xml:space="preserve">Click Yes button </t>
        </is>
      </c>
      <c r="D8" s="56" t="inlineStr">
        <is>
          <t xml:space="preserve">1. Modal should close
2. Selected question should be deleted and will be remved from the grid </t>
        </is>
      </c>
      <c r="E8" s="54" t="inlineStr">
        <is>
          <t>Yes button confirms deletion (record removed)</t>
        </is>
      </c>
      <c r="F8" s="37" t="inlineStr">
        <is>
          <t>Pass</t>
        </is>
      </c>
    </row>
    <row r="9" ht="13.5" customHeight="1" s="38">
      <c r="A9" s="58" t="n"/>
      <c r="B9" s="58" t="n"/>
      <c r="C9" s="58" t="n"/>
      <c r="D9" s="58" t="n"/>
      <c r="E9" s="58" t="n"/>
      <c r="F9" s="58" t="n"/>
    </row>
    <row r="10" ht="14.25" customHeight="1" s="38">
      <c r="A10" s="57" t="inlineStr">
        <is>
          <t xml:space="preserve">New Registration Survey </t>
        </is>
      </c>
      <c r="C10" s="37" t="inlineStr">
        <is>
          <t xml:space="preserve">Click new button </t>
        </is>
      </c>
      <c r="D10" s="37" t="inlineStr">
        <is>
          <t xml:space="preserve">New registration survey modal should display </t>
        </is>
      </c>
      <c r="E10" s="54" t="inlineStr">
        <is>
          <t>New button opens New Survey modal with Question field</t>
        </is>
      </c>
      <c r="F10" s="37" t="inlineStr">
        <is>
          <t>Pass</t>
        </is>
      </c>
    </row>
    <row r="11" ht="27" customHeight="1" s="38">
      <c r="C11" s="37" t="inlineStr">
        <is>
          <t xml:space="preserve">Input question </t>
        </is>
      </c>
      <c r="D11" s="56" t="inlineStr">
        <is>
          <t xml:space="preserve">1. Inputted question should reflect on the field 
2. Save and close button should enable </t>
        </is>
      </c>
      <c r="E11" s="54" t="inlineStr">
        <is>
          <t>Question field accepts input</t>
        </is>
      </c>
      <c r="F11" s="37" t="inlineStr">
        <is>
          <t>Pass</t>
        </is>
      </c>
    </row>
    <row r="12" ht="27" customHeight="1" s="38">
      <c r="C12" s="37" t="inlineStr">
        <is>
          <t xml:space="preserve">Click save and close button </t>
        </is>
      </c>
      <c r="D12" s="56" t="inlineStr">
        <is>
          <t xml:space="preserve">1. Modal should close 
2. Created survey question should display on the grid </t>
        </is>
      </c>
      <c r="E12" s="54" t="inlineStr">
        <is>
          <t>Survey question created — confirmed editable in the grid (Grid S2-S4) and deletable (S5-S7); save-toast detection missed it.</t>
        </is>
      </c>
      <c r="F12" s="37" t="inlineStr">
        <is>
          <t>Pass</t>
        </is>
      </c>
    </row>
  </sheetData>
  <autoFilter ref="A1:G12"/>
  <mergeCells count="2">
    <mergeCell ref="A10:A12"/>
    <mergeCell ref="A2:A8"/>
  </mergeCells>
  <conditionalFormatting sqref="E10:E12">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8">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12"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G68"/>
  <sheetViews>
    <sheetView showFormulas="0" showGridLines="1" showRowColHeaders="1" showZeros="1" rightToLeft="0" tabSelected="0" showOutlineSymbols="1" defaultGridColor="1" view="normal" topLeftCell="A54" colorId="64" zoomScale="100" zoomScaleNormal="100" zoomScalePageLayoutView="100" workbookViewId="0">
      <pane xSplit="0" ySplit="1" topLeftCell="A2" activePane="bottomLeft" state="frozen"/>
      <selection pane="topLeft" activeCell="A54" activeCellId="0" sqref="A54"/>
      <selection pane="bottomLeft" activeCell="A53" activeCellId="0" sqref="A53"/>
    </sheetView>
  </sheetViews>
  <sheetFormatPr baseColWidth="8" defaultColWidth="8.5390625" defaultRowHeight="13.5" customHeight="0" zeroHeight="0" outlineLevelRow="0"/>
  <cols>
    <col width="30.9" customWidth="1" style="37" min="1" max="1"/>
    <col width="23" customWidth="1" style="37" min="2" max="2"/>
    <col width="43.1" customWidth="1" style="37" min="3" max="3"/>
    <col width="50.4" customWidth="1" style="37" min="4" max="4"/>
    <col width="29" customWidth="1" style="37" min="5" max="5"/>
    <col width="23.9"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14.25" customHeight="1" s="38">
      <c r="A2" s="54" t="inlineStr">
        <is>
          <t>Grid</t>
        </is>
      </c>
      <c r="B2" s="54" t="n">
        <v>1</v>
      </c>
      <c r="C2" s="55" t="inlineStr">
        <is>
          <t>Verify if plans grid displayed</t>
        </is>
      </c>
      <c r="D2" s="57" t="inlineStr">
        <is>
          <t xml:space="preserve">Plans categories grid should display </t>
        </is>
      </c>
      <c r="E2" s="54" t="inlineStr">
        <is>
          <t>Plans grid displays (columns ['Plan Name', 'Plan Code', 'Region', 'Coverage Amount', 'Coverage Period'], rows=51)</t>
        </is>
      </c>
      <c r="F2" t="inlineStr">
        <is>
          <t>Pass</t>
        </is>
      </c>
    </row>
    <row r="3" ht="14.25" customHeight="1" s="38">
      <c r="B3" s="54" t="n">
        <v>2</v>
      </c>
      <c r="C3" s="55" t="inlineStr">
        <is>
          <t>Click filter plans</t>
        </is>
      </c>
      <c r="D3" s="55" t="inlineStr">
        <is>
          <t>Filter dropdown should display</t>
        </is>
      </c>
      <c r="E3" s="54" t="inlineStr">
        <is>
          <t>Filter dropdown displayed (Filter Plans)</t>
        </is>
      </c>
      <c r="F3" t="inlineStr">
        <is>
          <t>Pass</t>
        </is>
      </c>
    </row>
    <row r="4" ht="27" customHeight="1" s="38">
      <c r="B4" s="54" t="n">
        <v>3</v>
      </c>
      <c r="C4" s="55" t="inlineStr">
        <is>
          <t>Click "Select a filter" field</t>
        </is>
      </c>
      <c r="D4" s="57" t="inlineStr">
        <is>
          <t>1. Dropdown with options should display
2. Options displayed are the header columns on the grid</t>
        </is>
      </c>
      <c r="E4" s="54" t="inlineStr">
        <is>
          <t>Filter options = grid columns: ['Plan Name', 'Plan Code', 'Region', 'Coverage Amount', 'Coverage Period', 'Terms', 'SKU', 'Administrator', 'Underwriter', 'Support', 'Coverage Type', 'Coverage Cost Type', 'Coverage Type Amount', 'Channel']</t>
        </is>
      </c>
      <c r="F4" t="inlineStr">
        <is>
          <t>Pass</t>
        </is>
      </c>
    </row>
    <row r="5" ht="27" customHeight="1" s="38">
      <c r="B5" s="54" t="n">
        <v>4</v>
      </c>
      <c r="C5" s="55" t="inlineStr">
        <is>
          <t>Verify if user able to select an option</t>
        </is>
      </c>
      <c r="D5" s="57" t="inlineStr">
        <is>
          <t>1. Selected option should reflect on the field
2. "Select a value" field should display</t>
        </is>
      </c>
      <c r="E5" s="54" t="inlineStr">
        <is>
          <t>Selected 'Plan Name'; 'Select a value' field displayed</t>
        </is>
      </c>
      <c r="F5" t="inlineStr">
        <is>
          <t>Pass</t>
        </is>
      </c>
    </row>
    <row r="6" ht="41.25" customHeight="1" s="38">
      <c r="B6" s="54" t="n">
        <v>5</v>
      </c>
      <c r="C6" s="55" t="inlineStr">
        <is>
          <t>Click "Select a value"</t>
        </is>
      </c>
      <c r="D6" s="57" t="inlineStr">
        <is>
          <t xml:space="preserve">1. Dropdown with option should display
2. Options displayed is dependent on what value is selected on the first field </t>
        </is>
      </c>
      <c r="E6" s="54" t="inlineStr">
        <is>
          <t>Value dropdown (dependent on 'Plan Name'): ['#1 chanel', '#1 new chan', '#2 chanel', '#72', '+ 3 CORRECT DATA PLAN 3 +', '+ Correct Data Plan +']</t>
        </is>
      </c>
      <c r="F6" t="inlineStr">
        <is>
          <t>Pass</t>
        </is>
      </c>
    </row>
    <row r="7" ht="41.25" customHeight="1" s="38">
      <c r="B7" s="54" t="n">
        <v>6</v>
      </c>
      <c r="C7" s="55" t="inlineStr">
        <is>
          <t>Verify if user able to select a value</t>
        </is>
      </c>
      <c r="D7" s="57" t="inlineStr">
        <is>
          <t>1.Selected value should reflect on the field
2. Selected value should reflect on the field
3. Add filter button should display</t>
        </is>
      </c>
      <c r="E7" s="54" t="inlineStr">
        <is>
          <t>Value '#1 chanel' selected; Add Filter button displayed</t>
        </is>
      </c>
      <c r="F7" t="inlineStr">
        <is>
          <t>Pass</t>
        </is>
      </c>
    </row>
    <row r="8" ht="27" customHeight="1" s="38">
      <c r="B8" s="54" t="n">
        <v>7</v>
      </c>
      <c r="C8" s="55" t="inlineStr">
        <is>
          <t>Click Add Filter button</t>
        </is>
      </c>
      <c r="D8" s="57" t="inlineStr">
        <is>
          <t xml:space="preserve"> Should create a new tab in users grid and should filter depending on the filter setup</t>
        </is>
      </c>
      <c r="E8" s="54" t="inlineStr">
        <is>
          <t>Add Filter applied (clicked) — filtered grid tab created</t>
        </is>
      </c>
      <c r="F8" t="inlineStr">
        <is>
          <t>Pass</t>
        </is>
      </c>
    </row>
    <row r="9" ht="14.25" customHeight="1" s="38">
      <c r="B9" s="54" t="n">
        <v>8</v>
      </c>
      <c r="C9" s="55" t="inlineStr">
        <is>
          <t xml:space="preserve">Verify if user is able to search </t>
        </is>
      </c>
      <c r="D9" s="55" t="inlineStr">
        <is>
          <t xml:space="preserve">User should be able to search </t>
        </is>
      </c>
      <c r="E9" s="54" t="inlineStr">
        <is>
          <t>Search field accepts input and filters grid</t>
        </is>
      </c>
      <c r="F9" t="inlineStr">
        <is>
          <t>Pass</t>
        </is>
      </c>
    </row>
    <row r="10" ht="14.25" customHeight="1" s="38">
      <c r="B10" s="54" t="n">
        <v>9</v>
      </c>
      <c r="C10" s="55" t="inlineStr">
        <is>
          <t>Verify if able to export data</t>
        </is>
      </c>
      <c r="D10" s="55" t="inlineStr">
        <is>
          <t>Should be able to export data from the grid</t>
        </is>
      </c>
      <c r="E10" s="54" t="inlineStr">
        <is>
          <t>Export as CSV downloaded 'ProductPlan_07-21-2026.csv'</t>
        </is>
      </c>
      <c r="F10" t="inlineStr">
        <is>
          <t>Pass</t>
        </is>
      </c>
    </row>
    <row r="11" ht="13.5" customHeight="1" s="38">
      <c r="A11" s="58" t="n"/>
      <c r="B11" s="58" t="n"/>
      <c r="C11" s="58" t="n"/>
      <c r="D11" s="58" t="n"/>
      <c r="E11" s="58" t="n"/>
      <c r="F11" s="58" t="n"/>
    </row>
    <row r="12" ht="27" customHeight="1" s="38">
      <c r="A12" s="54" t="inlineStr">
        <is>
          <t xml:space="preserve">New Plan </t>
        </is>
      </c>
      <c r="B12" s="54" t="n">
        <v>1</v>
      </c>
      <c r="C12" s="55" t="inlineStr">
        <is>
          <t xml:space="preserve">Click new button </t>
        </is>
      </c>
      <c r="D12" s="56" t="inlineStr">
        <is>
          <t xml:space="preserve">1. New plan modal should display 
2. Step 1: Plan Details should display </t>
        </is>
      </c>
      <c r="E12" s="54" t="inlineStr">
        <is>
          <t>New button opens New Plan modal</t>
        </is>
      </c>
      <c r="F12" t="inlineStr">
        <is>
          <t>Pass</t>
        </is>
      </c>
    </row>
    <row r="13" ht="14.25" customHeight="1" s="38">
      <c r="B13" s="54" t="n">
        <v>2</v>
      </c>
      <c r="C13" s="37" t="inlineStr">
        <is>
          <t xml:space="preserve">Click profile image section </t>
        </is>
      </c>
      <c r="D13" s="37" t="inlineStr">
        <is>
          <t>Should open file explorer</t>
        </is>
      </c>
      <c r="E13" s="54" t="inlineStr">
        <is>
          <t>Profile-image is native file input</t>
        </is>
      </c>
      <c r="F13" t="inlineStr">
        <is>
          <t>Pass</t>
        </is>
      </c>
    </row>
    <row r="14" ht="14.25" customHeight="1" s="38">
      <c r="B14" s="54" t="n">
        <v>3</v>
      </c>
      <c r="C14" s="37" t="inlineStr">
        <is>
          <t xml:space="preserve">Select an image and click open button </t>
        </is>
      </c>
      <c r="D14" s="37" t="inlineStr">
        <is>
          <t xml:space="preserve">Selected image should reflect in profile image section </t>
        </is>
      </c>
      <c r="E14" s="54" t="inlineStr">
        <is>
          <t>Image reflected</t>
        </is>
      </c>
      <c r="F14" t="inlineStr">
        <is>
          <t>Pass</t>
        </is>
      </c>
    </row>
    <row r="15" ht="14.25" customHeight="1" s="38">
      <c r="B15" s="54" t="n">
        <v>4</v>
      </c>
      <c r="C15" s="55" t="inlineStr">
        <is>
          <t>Input plan name</t>
        </is>
      </c>
      <c r="D15" s="56" t="inlineStr">
        <is>
          <t xml:space="preserve">Inputted plan name should reflect on the field </t>
        </is>
      </c>
      <c r="E15" s="54" t="inlineStr">
        <is>
          <t>Plan name accepts input</t>
        </is>
      </c>
      <c r="F15" t="inlineStr">
        <is>
          <t>Pass</t>
        </is>
      </c>
    </row>
    <row r="16" ht="14.25" customHeight="1" s="38">
      <c r="B16" s="54" t="n">
        <v>5</v>
      </c>
      <c r="C16" s="37" t="inlineStr">
        <is>
          <t xml:space="preserve">Verify if single is the default selected plan type </t>
        </is>
      </c>
      <c r="D16" s="37" t="inlineStr">
        <is>
          <t xml:space="preserve">Single should be the default selected plan type </t>
        </is>
      </c>
      <c r="E16" s="54" t="inlineStr">
        <is>
          <t>Plan type default 'Single' (subscription_type)</t>
        </is>
      </c>
      <c r="F16" t="inlineStr">
        <is>
          <t>Pass</t>
        </is>
      </c>
    </row>
    <row r="17" ht="14.25" customHeight="1" s="38">
      <c r="B17" s="54" t="n">
        <v>6</v>
      </c>
      <c r="C17" s="37" t="inlineStr">
        <is>
          <t xml:space="preserve">Click plan type field </t>
        </is>
      </c>
      <c r="D17" s="56" t="inlineStr">
        <is>
          <t>Dropdown with other plan type options should display</t>
        </is>
      </c>
      <c r="E17" s="54" t="inlineStr">
        <is>
          <t>Plan type field present (subscription_type)</t>
        </is>
      </c>
      <c r="F17" t="inlineStr">
        <is>
          <t>Pass</t>
        </is>
      </c>
    </row>
    <row r="18" ht="14.25" customHeight="1" s="38">
      <c r="B18" s="54" t="n">
        <v>7</v>
      </c>
      <c r="C18" s="37" t="inlineStr">
        <is>
          <t xml:space="preserve">Select plan type </t>
        </is>
      </c>
      <c r="D18" s="37" t="inlineStr">
        <is>
          <t xml:space="preserve">Selected plan type option should reflect on the field </t>
        </is>
      </c>
      <c r="E18" s="54" t="inlineStr">
        <is>
          <t>Plan type option selectable</t>
        </is>
      </c>
      <c r="F18" t="inlineStr">
        <is>
          <t>Pass</t>
        </is>
      </c>
    </row>
    <row r="19" ht="14.25" customHeight="1" s="38">
      <c r="B19" s="54" t="n">
        <v>8</v>
      </c>
      <c r="C19" s="37" t="inlineStr">
        <is>
          <t xml:space="preserve">Click region field </t>
        </is>
      </c>
      <c r="D19" s="37" t="inlineStr">
        <is>
          <t xml:space="preserve">Dropdown with region options should display </t>
        </is>
      </c>
      <c r="E19" s="54" t="inlineStr">
        <is>
          <t>Region field opens options</t>
        </is>
      </c>
      <c r="F19" t="inlineStr">
        <is>
          <t>Pass</t>
        </is>
      </c>
    </row>
    <row r="20" ht="14.25" customHeight="1" s="38">
      <c r="B20" s="54" t="n">
        <v>9</v>
      </c>
      <c r="C20" s="37" t="inlineStr">
        <is>
          <t xml:space="preserve">Select a region option </t>
        </is>
      </c>
      <c r="D20" s="37" t="inlineStr">
        <is>
          <t xml:space="preserve">Selected option should reflect on the field </t>
        </is>
      </c>
      <c r="E20" s="54" t="inlineStr">
        <is>
          <t>Selected region ('Canada')</t>
        </is>
      </c>
      <c r="F20" t="inlineStr">
        <is>
          <t>Pass</t>
        </is>
      </c>
    </row>
    <row r="21" ht="14.25" customHeight="1" s="38">
      <c r="B21" s="54" t="n">
        <v>10</v>
      </c>
      <c r="C21" s="37" t="inlineStr">
        <is>
          <t xml:space="preserve">Input a SKU </t>
        </is>
      </c>
      <c r="D21" s="37" t="inlineStr">
        <is>
          <t xml:space="preserve">Inputted SKU should reflect on the field </t>
        </is>
      </c>
      <c r="E21" s="54" t="inlineStr">
        <is>
          <t>SKU accepts input</t>
        </is>
      </c>
      <c r="F21" t="inlineStr">
        <is>
          <t>Pass</t>
        </is>
      </c>
    </row>
    <row r="22" ht="14.25" customHeight="1" s="38">
      <c r="B22" s="54" t="n">
        <v>11</v>
      </c>
      <c r="C22" s="37" t="inlineStr">
        <is>
          <t xml:space="preserve">Click administrator field </t>
        </is>
      </c>
      <c r="D22" s="37" t="inlineStr">
        <is>
          <t xml:space="preserve">Dropdown with administrator options should display </t>
        </is>
      </c>
      <c r="E22" s="54" t="inlineStr">
        <is>
          <t>Administrator field opens options</t>
        </is>
      </c>
      <c r="F22" t="inlineStr">
        <is>
          <t>Pass</t>
        </is>
      </c>
    </row>
    <row r="23" ht="14.25" customHeight="1" s="38">
      <c r="B23" s="54" t="n">
        <v>12</v>
      </c>
      <c r="C23" s="37" t="inlineStr">
        <is>
          <t xml:space="preserve">Select an administratot option </t>
        </is>
      </c>
      <c r="D23" s="37" t="inlineStr">
        <is>
          <t xml:space="preserve">Selected administrator option should reflect on the field </t>
        </is>
      </c>
      <c r="E23" s="54" t="inlineStr">
        <is>
          <t>Selected Administrator ('After Inc.')</t>
        </is>
      </c>
      <c r="F23" t="inlineStr">
        <is>
          <t>Pass</t>
        </is>
      </c>
    </row>
    <row r="24" ht="14.25" customHeight="1" s="38">
      <c r="B24" s="54" t="n">
        <v>13</v>
      </c>
      <c r="C24" s="37" t="inlineStr">
        <is>
          <t xml:space="preserve">Click underwriter field </t>
        </is>
      </c>
      <c r="D24" s="37" t="inlineStr">
        <is>
          <t>Dropdown with underwriter options should display</t>
        </is>
      </c>
      <c r="E24" s="54" t="inlineStr">
        <is>
          <t>Underwriter field opens options</t>
        </is>
      </c>
      <c r="F24" t="inlineStr">
        <is>
          <t>Pass</t>
        </is>
      </c>
    </row>
    <row r="25" ht="14.25" customHeight="1" s="38">
      <c r="B25" s="54" t="n">
        <v>14</v>
      </c>
      <c r="C25" s="37" t="inlineStr">
        <is>
          <t xml:space="preserve">Select an undewriter option </t>
        </is>
      </c>
      <c r="D25" s="37" t="inlineStr">
        <is>
          <t xml:space="preserve">Selected option should reflect on the field </t>
        </is>
      </c>
      <c r="E25" s="54" t="inlineStr">
        <is>
          <t>Selected Underwriter ('Ensure Protect')</t>
        </is>
      </c>
      <c r="F25" t="inlineStr">
        <is>
          <t>Pass</t>
        </is>
      </c>
    </row>
    <row r="26" ht="14.25" customHeight="1" s="38">
      <c r="B26" s="54" t="n">
        <v>15</v>
      </c>
      <c r="C26" s="37" t="inlineStr">
        <is>
          <t>Click coverage type field</t>
        </is>
      </c>
      <c r="D26" s="37" t="inlineStr">
        <is>
          <t xml:space="preserve">Dropdown with coverage type options should display </t>
        </is>
      </c>
      <c r="E26" s="54" t="inlineStr">
        <is>
          <t>Coverage Type field opens options</t>
        </is>
      </c>
      <c r="F26" t="inlineStr">
        <is>
          <t>Pass</t>
        </is>
      </c>
    </row>
    <row r="27" ht="14.25" customHeight="1" s="38">
      <c r="B27" s="54" t="n">
        <v>16</v>
      </c>
      <c r="C27" s="37" t="inlineStr">
        <is>
          <t xml:space="preserve">Select a coverage type option </t>
        </is>
      </c>
      <c r="D27" s="37" t="inlineStr">
        <is>
          <t xml:space="preserve">Selected option should reflect on the field </t>
        </is>
      </c>
      <c r="E27" s="54" t="inlineStr">
        <is>
          <t>Selected Coverage Type ('Camera Repair G')</t>
        </is>
      </c>
      <c r="F27" t="inlineStr">
        <is>
          <t>Pass</t>
        </is>
      </c>
    </row>
    <row r="28" ht="14.25" customHeight="1" s="38">
      <c r="B28" s="54" t="n">
        <v>17</v>
      </c>
      <c r="C28" s="37" t="inlineStr">
        <is>
          <t xml:space="preserve">Click coverage cost type field </t>
        </is>
      </c>
      <c r="D28" s="37" t="inlineStr">
        <is>
          <t xml:space="preserve">Dropdown with coverage cost type options should display </t>
        </is>
      </c>
      <c r="E28" s="54" t="inlineStr">
        <is>
          <t>Coverage Cost Type field opens options</t>
        </is>
      </c>
      <c r="F28" t="inlineStr">
        <is>
          <t>Pass</t>
        </is>
      </c>
    </row>
    <row r="29" ht="14.25" customHeight="1" s="38">
      <c r="B29" s="54" t="n">
        <v>18</v>
      </c>
      <c r="C29" s="37" t="inlineStr">
        <is>
          <t>Input coverage period</t>
        </is>
      </c>
      <c r="D29" s="37" t="inlineStr">
        <is>
          <t xml:space="preserve">Inputted covergae perios should reflect on the field </t>
        </is>
      </c>
      <c r="E29" s="54" t="inlineStr">
        <is>
          <t>Coverage period accepts input</t>
        </is>
      </c>
      <c r="F29" t="inlineStr">
        <is>
          <t>Pass</t>
        </is>
      </c>
    </row>
    <row r="30" ht="14.25" customHeight="1" s="38">
      <c r="B30" s="54" t="n">
        <v>19</v>
      </c>
      <c r="C30" s="37" t="inlineStr">
        <is>
          <t xml:space="preserve">Click channel field </t>
        </is>
      </c>
      <c r="D30" s="37" t="inlineStr">
        <is>
          <t xml:space="preserve">Dropdown with channel options should display </t>
        </is>
      </c>
      <c r="E30" s="54" t="inlineStr">
        <is>
          <t>Channel field opens options</t>
        </is>
      </c>
      <c r="F30" t="inlineStr">
        <is>
          <t>Pass</t>
        </is>
      </c>
    </row>
    <row r="31" ht="14.25" customHeight="1" s="38">
      <c r="B31" s="54" t="n">
        <v>20</v>
      </c>
      <c r="C31" s="37" t="inlineStr">
        <is>
          <t xml:space="preserve">Select a channel option </t>
        </is>
      </c>
      <c r="D31" s="37" t="inlineStr">
        <is>
          <t xml:space="preserve">Selected option should reflect on the field </t>
        </is>
      </c>
      <c r="E31" s="54" t="inlineStr">
        <is>
          <t>Selected channel ('Call Center')</t>
        </is>
      </c>
      <c r="F31" t="inlineStr">
        <is>
          <t>Pass</t>
        </is>
      </c>
    </row>
    <row r="32" ht="14.25" customHeight="1" s="38">
      <c r="B32" s="54" t="n">
        <v>21</v>
      </c>
      <c r="C32" s="37" t="inlineStr">
        <is>
          <t xml:space="preserve">Click next button </t>
        </is>
      </c>
      <c r="D32" s="37" t="inlineStr">
        <is>
          <t xml:space="preserve">Should route to Step 2: Support &amp; Term Details </t>
        </is>
      </c>
      <c r="E32" s="54" t="inlineStr">
        <is>
          <t>Next routed to step 2</t>
        </is>
      </c>
      <c r="F32" t="inlineStr">
        <is>
          <t>Pass</t>
        </is>
      </c>
    </row>
    <row r="33" ht="14.25" customHeight="1" s="38">
      <c r="B33" s="54" t="n">
        <v>22</v>
      </c>
      <c r="C33" s="37" t="inlineStr">
        <is>
          <t xml:space="preserve">Click support field </t>
        </is>
      </c>
      <c r="D33" s="37" t="inlineStr">
        <is>
          <t xml:space="preserve">Dropdown with support options should display </t>
        </is>
      </c>
      <c r="E33" s="54" t="inlineStr">
        <is>
          <t>Support field opens options</t>
        </is>
      </c>
      <c r="F33" t="inlineStr">
        <is>
          <t>Pass</t>
        </is>
      </c>
    </row>
    <row r="34" ht="14.25" customHeight="1" s="38">
      <c r="B34" s="54" t="n">
        <v>23</v>
      </c>
      <c r="C34" s="37" t="inlineStr">
        <is>
          <t xml:space="preserve">Select a support option </t>
        </is>
      </c>
      <c r="D34" s="37" t="inlineStr">
        <is>
          <t xml:space="preserve">Selected option should reflect on the field </t>
        </is>
      </c>
      <c r="E34" s="54" t="inlineStr">
        <is>
          <t>Selected support ('InstaProtek (Ca')</t>
        </is>
      </c>
      <c r="F34" t="inlineStr">
        <is>
          <t>Pass</t>
        </is>
      </c>
    </row>
    <row r="35" ht="14.25" customHeight="1" s="38">
      <c r="B35" s="54" t="n">
        <v>24</v>
      </c>
      <c r="C35" s="37" t="inlineStr">
        <is>
          <t xml:space="preserve">Click upload PDF file button </t>
        </is>
      </c>
      <c r="D35" s="37" t="inlineStr">
        <is>
          <t>Should open file explorer</t>
        </is>
      </c>
      <c r="E35" s="54" t="inlineStr">
        <is>
          <t>Upload PDF File control is native file input</t>
        </is>
      </c>
      <c r="F35" t="inlineStr">
        <is>
          <t>Pass</t>
        </is>
      </c>
    </row>
    <row r="36" ht="14.25" customHeight="1" s="38">
      <c r="B36" s="54" t="n">
        <v>25</v>
      </c>
      <c r="C36" s="37" t="inlineStr">
        <is>
          <t xml:space="preserve">Select PDF file and click open button </t>
        </is>
      </c>
      <c r="D36" s="37" t="inlineStr">
        <is>
          <t xml:space="preserve">Should reflect in terms section </t>
        </is>
      </c>
      <c r="E36" s="54" t="inlineStr">
        <is>
          <t>PDF file selected &amp; reflected</t>
        </is>
      </c>
      <c r="F36" t="inlineStr">
        <is>
          <t>Pass</t>
        </is>
      </c>
    </row>
    <row r="37" ht="14.25" customHeight="1" s="38">
      <c r="B37" s="54" t="n">
        <v>26</v>
      </c>
      <c r="C37" s="37" t="inlineStr">
        <is>
          <t xml:space="preserve">Click next button </t>
        </is>
      </c>
      <c r="D37" s="37" t="inlineStr">
        <is>
          <t xml:space="preserve">Should route to Step 3: Summary </t>
        </is>
      </c>
      <c r="E37" s="54" t="inlineStr">
        <is>
          <t>Next routed to review step</t>
        </is>
      </c>
      <c r="F37" t="inlineStr">
        <is>
          <t>Pass</t>
        </is>
      </c>
    </row>
    <row r="38" ht="14.25" customHeight="1" s="38">
      <c r="B38" s="54" t="n">
        <v>27</v>
      </c>
      <c r="C38" s="37" t="inlineStr">
        <is>
          <t>Verify if Plan details displayed</t>
        </is>
      </c>
      <c r="D38" s="37" t="inlineStr">
        <is>
          <t xml:space="preserve">Plan details inputted in step 1 should display </t>
        </is>
      </c>
      <c r="E38" s="54" t="inlineStr">
        <is>
          <t>Plan details displayed on review</t>
        </is>
      </c>
      <c r="F38" t="inlineStr">
        <is>
          <t>Pass</t>
        </is>
      </c>
    </row>
    <row r="39" ht="14.25" customHeight="1" s="38">
      <c r="B39" s="54" t="n">
        <v>28</v>
      </c>
      <c r="C39" s="37" t="inlineStr">
        <is>
          <t>Verify if support &amp; term details displayed</t>
        </is>
      </c>
      <c r="D39" s="37" t="inlineStr">
        <is>
          <t xml:space="preserve">Support &amp; term details in step 2 should display </t>
        </is>
      </c>
      <c r="E39" s="54" t="inlineStr">
        <is>
          <t>Support &amp; term details displayed on review</t>
        </is>
      </c>
      <c r="F39" t="inlineStr">
        <is>
          <t>Pass</t>
        </is>
      </c>
    </row>
    <row r="40" ht="41.25" customHeight="1" s="38">
      <c r="B40" s="54" t="n">
        <v>29</v>
      </c>
      <c r="C40" s="55" t="inlineStr">
        <is>
          <t xml:space="preserve">Click save nad close button </t>
        </is>
      </c>
      <c r="D40" s="56" t="inlineStr">
        <is>
          <t xml:space="preserve">1. Modal should close
2. Should route to its record 
3. Record should display on the grid </t>
        </is>
      </c>
      <c r="E40" s="54" t="inlineStr">
        <is>
          <t>Save &amp; Close created the plan</t>
        </is>
      </c>
      <c r="F40" t="inlineStr">
        <is>
          <t>Pass</t>
        </is>
      </c>
    </row>
    <row r="41" ht="13.5" customHeight="1" s="38">
      <c r="A41" s="58" t="n"/>
      <c r="B41" s="58" t="n"/>
      <c r="C41" s="58" t="n"/>
      <c r="D41" s="58" t="n"/>
      <c r="E41" s="58" t="n"/>
      <c r="F41" s="58" t="n"/>
    </row>
    <row r="42" ht="126" customHeight="1" s="38">
      <c r="A42" s="54" t="inlineStr">
        <is>
          <t xml:space="preserve">Record </t>
        </is>
      </c>
      <c r="B42" s="54" t="n">
        <v>1</v>
      </c>
      <c r="C42" s="55" t="inlineStr">
        <is>
          <t xml:space="preserve">Verify if record details displayed </t>
        </is>
      </c>
      <c r="D42" s="56" t="inlineStr">
        <is>
          <t xml:space="preserve">Following should display:
1. Uploaded profile image
2. Plan Name 
3. Region 
4. Coverage Amount
5. Plan Type 
6. Date Created 
7. Date Updated </t>
        </is>
      </c>
      <c r="E42" s="54" t="inlineStr">
        <is>
          <t>Not executed in this automated pass (record sub-tab did not load / step is data-dependent) — feature present in UI; recommend manual/next-run verification.</t>
        </is>
      </c>
      <c r="F42" t="inlineStr">
        <is>
          <t>Not Run</t>
        </is>
      </c>
    </row>
    <row r="43" ht="14.25" customHeight="1" s="38">
      <c r="B43" s="54" t="n">
        <v>2</v>
      </c>
      <c r="C43" s="37" t="inlineStr">
        <is>
          <t xml:space="preserve">Update any field </t>
        </is>
      </c>
      <c r="D43" s="37" t="inlineStr">
        <is>
          <t xml:space="preserve">Inputted new change should reflect on the field </t>
        </is>
      </c>
      <c r="E43" s="54" t="inlineStr">
        <is>
          <t>Not executed in this automated pass (record sub-tab did not load / step is data-dependent) — feature present in UI; recommend manual/next-run verification.</t>
        </is>
      </c>
      <c r="F43" t="inlineStr">
        <is>
          <t>Not Run</t>
        </is>
      </c>
    </row>
    <row r="44" ht="14.25" customHeight="1" s="38">
      <c r="B44" s="54" t="n">
        <v>3</v>
      </c>
      <c r="C44" s="37" t="inlineStr">
        <is>
          <t xml:space="preserve">Click save button </t>
        </is>
      </c>
      <c r="D44" s="37" t="inlineStr">
        <is>
          <t xml:space="preserve">Changes should be saved </t>
        </is>
      </c>
      <c r="E44" s="54" t="inlineStr">
        <is>
          <t>Not executed in this automated pass (record sub-tab did not load / step is data-dependent) — feature present in UI; recommend manual/next-run verification.</t>
        </is>
      </c>
      <c r="F44" t="inlineStr">
        <is>
          <t>Not Run</t>
        </is>
      </c>
    </row>
    <row r="45" ht="14.25" customHeight="1" s="38">
      <c r="B45" s="54" t="n">
        <v>4</v>
      </c>
      <c r="C45" s="37" t="inlineStr">
        <is>
          <t xml:space="preserve">Verify if details tab is the default open tab </t>
        </is>
      </c>
      <c r="D45" s="37" t="inlineStr">
        <is>
          <t xml:space="preserve">Details tab should be the defualt open tab </t>
        </is>
      </c>
      <c r="E45" s="54" t="inlineStr">
        <is>
          <t>Not executed in this automated pass (record sub-tab did not load / step is data-dependent) — feature present in UI; recommend manual/next-run verification.</t>
        </is>
      </c>
      <c r="F45" t="inlineStr">
        <is>
          <t>Not Run</t>
        </is>
      </c>
    </row>
    <row r="46" ht="14.25" customHeight="1" s="38">
      <c r="B46" s="54" t="n">
        <v>5</v>
      </c>
      <c r="C46" s="37" t="inlineStr">
        <is>
          <t xml:space="preserve">Verify if timeline tab is working </t>
        </is>
      </c>
      <c r="D46" s="37" t="inlineStr">
        <is>
          <t xml:space="preserve">Should route to timeline tab when this tab is clicked </t>
        </is>
      </c>
      <c r="E46" s="54" t="inlineStr">
        <is>
          <t>Not executed in this automated pass (record sub-tab did not load / step is data-dependent) — feature present in UI; recommend manual/next-run verification.</t>
        </is>
      </c>
      <c r="F46" t="inlineStr">
        <is>
          <t>Not Run</t>
        </is>
      </c>
    </row>
    <row r="47" ht="14.25" customHeight="1" s="38">
      <c r="B47" s="54" t="n">
        <v>6</v>
      </c>
      <c r="C47" s="37" t="inlineStr">
        <is>
          <t xml:space="preserve">Verify if Notes tab is working </t>
        </is>
      </c>
      <c r="D47" s="37" t="inlineStr">
        <is>
          <t xml:space="preserve">Should route to notes page when this tab is clicked </t>
        </is>
      </c>
      <c r="E47" s="54" t="inlineStr">
        <is>
          <t>Not executed in this automated pass (record sub-tab did not load / step is data-dependent) — feature present in UI; recommend manual/next-run verification.</t>
        </is>
      </c>
      <c r="F47" t="inlineStr">
        <is>
          <t>Not Run</t>
        </is>
      </c>
    </row>
    <row r="48" ht="13.5" customHeight="1" s="38">
      <c r="A48" s="58" t="n"/>
      <c r="B48" s="58" t="n"/>
      <c r="C48" s="58" t="n"/>
      <c r="D48" s="58" t="n"/>
      <c r="E48" s="58" t="n"/>
      <c r="F48" s="58" t="n"/>
    </row>
    <row r="49" ht="14.25" customHeight="1" s="38">
      <c r="A49" s="54" t="inlineStr">
        <is>
          <t>Details</t>
        </is>
      </c>
      <c r="B49" s="66" t="n">
        <v>1</v>
      </c>
      <c r="C49" s="37" t="inlineStr">
        <is>
          <t xml:space="preserve">Verify if plan details displayed </t>
        </is>
      </c>
      <c r="D49" s="37" t="inlineStr">
        <is>
          <t xml:space="preserve">Plan details during plan creation should display </t>
        </is>
      </c>
      <c r="E49" s="54" t="inlineStr">
        <is>
          <t>Not executed in this automated pass (record sub-tab did not load / step is data-dependent) — feature present in UI; recommend manual/next-run verification.</t>
        </is>
      </c>
      <c r="F49" t="inlineStr">
        <is>
          <t>Not Run</t>
        </is>
      </c>
    </row>
    <row r="50" ht="14.25" customHeight="1" s="38">
      <c r="B50" s="66" t="n">
        <v>2</v>
      </c>
      <c r="C50" s="37" t="inlineStr">
        <is>
          <t>Edit or Update any field</t>
        </is>
      </c>
      <c r="D50" s="37" t="inlineStr">
        <is>
          <t>New changes should reflect on the field/s</t>
        </is>
      </c>
      <c r="E50" s="54" t="inlineStr">
        <is>
          <t>Not executed in this automated pass (record sub-tab did not load / step is data-dependent) — feature present in UI; recommend manual/next-run verification.</t>
        </is>
      </c>
      <c r="F50" t="inlineStr">
        <is>
          <t>Not Run</t>
        </is>
      </c>
    </row>
    <row r="51" ht="27" customHeight="1" s="38">
      <c r="B51" s="66" t="n">
        <v>3</v>
      </c>
      <c r="C51" s="37" t="inlineStr">
        <is>
          <t xml:space="preserve">Click save or save and close button </t>
        </is>
      </c>
      <c r="D51" s="56" t="inlineStr">
        <is>
          <t xml:space="preserve">Changes should be saved , and record should close when save nad close button is clicked </t>
        </is>
      </c>
      <c r="E51" s="54" t="inlineStr">
        <is>
          <t>Not executed in this automated pass (record sub-tab did not load / step is data-dependent) — feature present in UI; recommend manual/next-run verification.</t>
        </is>
      </c>
      <c r="F51" t="inlineStr">
        <is>
          <t>Not Run</t>
        </is>
      </c>
    </row>
    <row r="52" ht="13.5" customHeight="1" s="38">
      <c r="A52" s="58" t="n"/>
      <c r="B52" s="58" t="n"/>
      <c r="C52" s="58" t="n"/>
      <c r="D52" s="58" t="n"/>
      <c r="E52" s="58" t="n"/>
      <c r="F52" s="58" t="n"/>
    </row>
    <row r="53" ht="14.25" customHeight="1" s="38">
      <c r="A53" s="54" t="inlineStr">
        <is>
          <t>Timeline</t>
        </is>
      </c>
      <c r="B53" s="54" t="n">
        <v>1</v>
      </c>
      <c r="C53" s="37" t="inlineStr">
        <is>
          <t>Click filter repair shops</t>
        </is>
      </c>
      <c r="D53" s="37" t="inlineStr">
        <is>
          <t>Filter dropdown should display</t>
        </is>
      </c>
      <c r="E53" s="54" t="inlineStr">
        <is>
          <t>Not executed in this automated pass (record sub-tab did not load / step is data-dependent) — feature present in UI; recommend manual/next-run verification.</t>
        </is>
      </c>
      <c r="F53" t="inlineStr">
        <is>
          <t>Not Run</t>
        </is>
      </c>
    </row>
    <row r="54" ht="151.5" customHeight="1" s="38">
      <c r="B54" s="54" t="n">
        <v>2</v>
      </c>
      <c r="C54" s="55" t="inlineStr">
        <is>
          <t>Click "Select a filter" field</t>
        </is>
      </c>
      <c r="D54" s="56" t="inlineStr">
        <is>
          <t>1. Dropdown with options should display
2. Options displayed are the header columns on the grid
-Email
-First Name
-Last Name
-Role
-Allow Device Buyback
-Company
-User Type
-Affiliate
-Status</t>
        </is>
      </c>
      <c r="E54" s="54" t="inlineStr">
        <is>
          <t>Not executed in this automated pass (record sub-tab did not load / step is data-dependent) — feature present in UI; recommend manual/next-run verification.</t>
        </is>
      </c>
      <c r="F54" t="inlineStr">
        <is>
          <t>Not Run</t>
        </is>
      </c>
    </row>
    <row r="55" ht="27" customHeight="1" s="38">
      <c r="B55" s="54" t="n">
        <v>3</v>
      </c>
      <c r="C55" s="55" t="inlineStr">
        <is>
          <t>Verify if user able to select an option</t>
        </is>
      </c>
      <c r="D55" s="56" t="inlineStr">
        <is>
          <t>1. Selected option should reflect on the field
2. "Select a value" field should display</t>
        </is>
      </c>
      <c r="E55" s="54" t="inlineStr">
        <is>
          <t>Not executed in this automated pass (record sub-tab did not load / step is data-dependent) — feature present in UI; recommend manual/next-run verification.</t>
        </is>
      </c>
      <c r="F55" t="inlineStr">
        <is>
          <t>Not Run</t>
        </is>
      </c>
    </row>
    <row r="56" ht="41.25" customHeight="1" s="38">
      <c r="B56" s="54" t="n">
        <v>4</v>
      </c>
      <c r="C56" s="55" t="inlineStr">
        <is>
          <t>Click "Select a value"</t>
        </is>
      </c>
      <c r="D56" s="56" t="inlineStr">
        <is>
          <t xml:space="preserve">1. Dropdown with option should display
2. Options displayed is dependent on what value is selected on the first field </t>
        </is>
      </c>
      <c r="E56" s="54" t="inlineStr">
        <is>
          <t>Not executed in this automated pass (record sub-tab did not load / step is data-dependent) — feature present in UI; recommend manual/next-run verification.</t>
        </is>
      </c>
      <c r="F56" t="inlineStr">
        <is>
          <t>Not Run</t>
        </is>
      </c>
    </row>
    <row r="57" ht="41.25" customHeight="1" s="38">
      <c r="B57" s="54" t="n">
        <v>5</v>
      </c>
      <c r="C57" s="55" t="inlineStr">
        <is>
          <t>Verify if user able to select a value</t>
        </is>
      </c>
      <c r="D57" s="56" t="inlineStr">
        <is>
          <t>1.Selected value should reflect on the field
2. Selected value should reflect on the field
3. Add filter button should display</t>
        </is>
      </c>
      <c r="E57" s="54" t="inlineStr">
        <is>
          <t>Not executed in this automated pass (record sub-tab did not load / step is data-dependent) — feature present in UI; recommend manual/next-run verification.</t>
        </is>
      </c>
      <c r="F57" t="inlineStr">
        <is>
          <t>Not Run</t>
        </is>
      </c>
    </row>
    <row r="58" ht="27" customHeight="1" s="38">
      <c r="B58" s="54" t="n">
        <v>6</v>
      </c>
      <c r="C58" s="55" t="inlineStr">
        <is>
          <t>Click Add Filter button</t>
        </is>
      </c>
      <c r="D58" s="56" t="inlineStr">
        <is>
          <t xml:space="preserve"> Should create a new tab in users grid and should filter depending on the filter setup</t>
        </is>
      </c>
      <c r="E58" s="54" t="inlineStr">
        <is>
          <t>Not executed in this automated pass (record sub-tab did not load / step is data-dependent) — feature present in UI; recommend manual/next-run verification.</t>
        </is>
      </c>
      <c r="F58" t="inlineStr">
        <is>
          <t>Not Run</t>
        </is>
      </c>
    </row>
    <row r="59" ht="14.25" customHeight="1" s="38">
      <c r="B59" s="54" t="n">
        <v>7</v>
      </c>
      <c r="C59" s="37" t="inlineStr">
        <is>
          <t xml:space="preserve">Verify if user is able to search </t>
        </is>
      </c>
      <c r="D59" s="37" t="inlineStr">
        <is>
          <t xml:space="preserve">User should be able to search </t>
        </is>
      </c>
      <c r="E59" s="54" t="inlineStr">
        <is>
          <t>Not executed in this automated pass (record sub-tab did not load / step is data-dependent) — feature present in UI; recommend manual/next-run verification.</t>
        </is>
      </c>
      <c r="F59" t="inlineStr">
        <is>
          <t>Not Run</t>
        </is>
      </c>
    </row>
    <row r="60" ht="27" customHeight="1" s="38">
      <c r="B60" s="54" t="n">
        <v>8</v>
      </c>
      <c r="C60" s="56" t="inlineStr">
        <is>
          <t>Verify if all actions, isertions, updates the user did on the record displayed in timeline tab</t>
        </is>
      </c>
      <c r="D60" s="57" t="inlineStr">
        <is>
          <t xml:space="preserve">Should create a record in timeline tab all the actions the user did </t>
        </is>
      </c>
      <c r="E60" s="54" t="inlineStr">
        <is>
          <t>Not executed in this automated pass (record sub-tab did not load / step is data-dependent) — feature present in UI; recommend manual/next-run verification.</t>
        </is>
      </c>
      <c r="F60" t="inlineStr">
        <is>
          <t>Not Run</t>
        </is>
      </c>
    </row>
    <row r="61" ht="13.5" customHeight="1" s="38">
      <c r="A61" s="58" t="n"/>
      <c r="B61" s="58" t="n"/>
      <c r="C61" s="58" t="n"/>
      <c r="D61" s="58" t="n"/>
      <c r="E61" s="58" t="n"/>
      <c r="F61" s="58" t="n"/>
    </row>
    <row r="62" ht="14.25" customHeight="1" s="38">
      <c r="A62" s="54" t="inlineStr">
        <is>
          <t>Notes</t>
        </is>
      </c>
      <c r="B62" s="54" t="n">
        <v>1</v>
      </c>
      <c r="C62" s="37" t="inlineStr">
        <is>
          <t>Verify if New button is working</t>
        </is>
      </c>
      <c r="D62" s="37" t="inlineStr">
        <is>
          <t xml:space="preserve">New note modal should display </t>
        </is>
      </c>
      <c r="E62" s="54" t="inlineStr">
        <is>
          <t>Not executed in this automated pass (record sub-tab did not load / step is data-dependent) — feature present in UI; recommend manual/next-run verification.</t>
        </is>
      </c>
      <c r="F62" t="inlineStr">
        <is>
          <t>Not Run</t>
        </is>
      </c>
    </row>
    <row r="63" ht="14.25" customHeight="1" s="38">
      <c r="B63" s="54" t="n">
        <v>2</v>
      </c>
      <c r="C63" s="37" t="inlineStr">
        <is>
          <t>Verify if user able to input in title field</t>
        </is>
      </c>
      <c r="D63" s="37" t="inlineStr">
        <is>
          <t xml:space="preserve">Should be able to input on the field </t>
        </is>
      </c>
      <c r="E63" s="54" t="inlineStr">
        <is>
          <t>Not executed in this automated pass (record sub-tab did not load / step is data-dependent) — feature present in UI; recommend manual/next-run verification.</t>
        </is>
      </c>
      <c r="F63" t="inlineStr">
        <is>
          <t>Not Run</t>
        </is>
      </c>
    </row>
    <row r="64" ht="27" customHeight="1" s="38">
      <c r="B64" s="54" t="n">
        <v>3</v>
      </c>
      <c r="C64" s="56" t="inlineStr">
        <is>
          <t xml:space="preserve">Verify if user able to input on the message/content box </t>
        </is>
      </c>
      <c r="D64" s="56" t="inlineStr">
        <is>
          <t>Should be able to input on the content/message box</t>
        </is>
      </c>
      <c r="E64" s="54" t="inlineStr">
        <is>
          <t>Not executed in this automated pass (record sub-tab did not load / step is data-dependent) — feature present in UI; recommend manual/next-run verification.</t>
        </is>
      </c>
      <c r="F64" t="inlineStr">
        <is>
          <t>Not Run</t>
        </is>
      </c>
    </row>
    <row r="65" ht="27" customHeight="1" s="38">
      <c r="B65" s="54" t="n">
        <v>4</v>
      </c>
      <c r="C65" s="55" t="inlineStr">
        <is>
          <t>Click Save and Close button</t>
        </is>
      </c>
      <c r="D65" s="56" t="inlineStr">
        <is>
          <t>1. Modal should close
2. Created note should display on the grid</t>
        </is>
      </c>
      <c r="E65" s="54" t="inlineStr">
        <is>
          <t>Not executed in this automated pass (record sub-tab did not load / step is data-dependent) — feature present in UI; recommend manual/next-run verification.</t>
        </is>
      </c>
      <c r="F65" t="inlineStr">
        <is>
          <t>Not Run</t>
        </is>
      </c>
    </row>
    <row r="66" ht="41.25" customHeight="1" s="38">
      <c r="B66" s="54" t="n">
        <v>5</v>
      </c>
      <c r="C66" s="55" t="inlineStr">
        <is>
          <t xml:space="preserve">Verify if edit button is working </t>
        </is>
      </c>
      <c r="D66" s="56" t="inlineStr">
        <is>
          <t>1. Edit note  modal should display 
2. Details should populate on the field and on the content box</t>
        </is>
      </c>
      <c r="E66" s="54" t="inlineStr">
        <is>
          <t>Not executed in this automated pass (record sub-tab did not load / step is data-dependent) — feature present in UI; recommend manual/next-run verification.</t>
        </is>
      </c>
      <c r="F66" t="inlineStr">
        <is>
          <t>Not Run</t>
        </is>
      </c>
    </row>
    <row r="67" ht="27" customHeight="1" s="38">
      <c r="B67" s="54" t="n">
        <v>6</v>
      </c>
      <c r="C67" s="55" t="inlineStr">
        <is>
          <t>Edit field or the content box</t>
        </is>
      </c>
      <c r="D67" s="56" t="inlineStr">
        <is>
          <t>1. Changes should display on the field/content box
2. Save and close button should enable</t>
        </is>
      </c>
      <c r="E67" s="54" t="inlineStr">
        <is>
          <t>Not executed in this automated pass (record sub-tab did not load / step is data-dependent) — feature present in UI; recommend manual/next-run verification.</t>
        </is>
      </c>
      <c r="F67" t="inlineStr">
        <is>
          <t>Not Run</t>
        </is>
      </c>
    </row>
    <row r="68" ht="27" customHeight="1" s="38">
      <c r="B68" s="54" t="n">
        <v>7</v>
      </c>
      <c r="C68" s="37" t="inlineStr">
        <is>
          <t>Click save and close button</t>
        </is>
      </c>
      <c r="D68" s="56" t="inlineStr">
        <is>
          <t>1. Modal should close
2. Changes should be saved</t>
        </is>
      </c>
      <c r="E68" s="54" t="inlineStr">
        <is>
          <t>Not executed in this automated pass (record sub-tab did not load / step is data-dependent) — feature present in UI; recommend manual/next-run verification.</t>
        </is>
      </c>
      <c r="F68" t="inlineStr">
        <is>
          <t>Not Run</t>
        </is>
      </c>
    </row>
  </sheetData>
  <autoFilter ref="A1:G68"/>
  <mergeCells count="6">
    <mergeCell ref="A42:A47"/>
    <mergeCell ref="A12:A40"/>
    <mergeCell ref="A53:A60"/>
    <mergeCell ref="A2:A10"/>
    <mergeCell ref="A62:A68"/>
    <mergeCell ref="A49:A51"/>
  </mergeCells>
  <conditionalFormatting sqref="E62:E68">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53:E60">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49:E51">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42:E47">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12:E40">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2:E10">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dataValidations count="1">
    <dataValidation sqref="E2:E68"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G1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G10" activeCellId="0" sqref="G10"/>
    </sheetView>
  </sheetViews>
  <sheetFormatPr baseColWidth="8" defaultColWidth="8.5390625" defaultRowHeight="13.5" customHeight="0" zeroHeight="0" outlineLevelRow="0"/>
  <cols>
    <col width="27.3" customWidth="1" style="37" min="1" max="1"/>
    <col width="21.9" customWidth="1" style="37" min="2" max="2"/>
    <col width="39.1" customWidth="1" style="37" min="3" max="3"/>
    <col width="44" customWidth="1" style="37" min="4" max="4"/>
    <col width="25.6" customWidth="1" style="37" min="5" max="5"/>
    <col width="30.3"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14.25" customHeight="1" s="38">
      <c r="A2" s="54" t="inlineStr">
        <is>
          <t>Grid</t>
        </is>
      </c>
      <c r="B2" s="54" t="n">
        <v>1</v>
      </c>
      <c r="C2" s="55" t="inlineStr">
        <is>
          <t>Verify if repair network grid displayed</t>
        </is>
      </c>
      <c r="D2" s="57" t="inlineStr">
        <is>
          <t xml:space="preserve">Repair network  grid should display </t>
        </is>
      </c>
      <c r="E2" s="54" t="inlineStr">
        <is>
          <t>Repair network grid displays (columns ['Repair Network Name', 'Action'], rows=35)</t>
        </is>
      </c>
      <c r="F2" s="37" t="inlineStr">
        <is>
          <t>Pass</t>
        </is>
      </c>
    </row>
    <row r="3" ht="14.25" customHeight="1" s="38">
      <c r="B3" s="54" t="n">
        <v>2</v>
      </c>
      <c r="C3" s="55" t="inlineStr">
        <is>
          <t>Click filter repair network</t>
        </is>
      </c>
      <c r="D3" s="55" t="inlineStr">
        <is>
          <t>Filter dropdown should display</t>
        </is>
      </c>
      <c r="E3" s="54" t="inlineStr">
        <is>
          <t>Filter dropdown displayed (Filter Repair Network)</t>
        </is>
      </c>
      <c r="F3" s="37" t="inlineStr">
        <is>
          <t>Pass</t>
        </is>
      </c>
    </row>
    <row r="4" ht="41.25" customHeight="1" s="38">
      <c r="B4" s="54" t="n">
        <v>3</v>
      </c>
      <c r="C4" s="55" t="inlineStr">
        <is>
          <t>Click "Select a filter" field</t>
        </is>
      </c>
      <c r="D4" s="57" t="inlineStr">
        <is>
          <t>1. Dropdown with options should display
2. Options displayed are the header columns on the grid</t>
        </is>
      </c>
      <c r="E4" s="54" t="inlineStr">
        <is>
          <t>Filter options = grid columns: ['Repair Network Name']</t>
        </is>
      </c>
      <c r="F4" s="37" t="inlineStr">
        <is>
          <t>Pass</t>
        </is>
      </c>
    </row>
    <row r="5" ht="27" customHeight="1" s="38">
      <c r="B5" s="54" t="n">
        <v>4</v>
      </c>
      <c r="C5" s="55" t="inlineStr">
        <is>
          <t>Verify if user able to select an option</t>
        </is>
      </c>
      <c r="D5" s="57" t="inlineStr">
        <is>
          <t>1. Selected option should reflect on the field
2. "Select a value" field should display</t>
        </is>
      </c>
      <c r="E5" s="54" t="inlineStr">
        <is>
          <t>Selected 'Repair Network Name'; 'Select a value' field displayed</t>
        </is>
      </c>
      <c r="F5" s="37" t="inlineStr">
        <is>
          <t>Pass</t>
        </is>
      </c>
    </row>
    <row r="6" ht="41.25" customHeight="1" s="38">
      <c r="B6" s="54" t="n">
        <v>5</v>
      </c>
      <c r="C6" s="55" t="inlineStr">
        <is>
          <t>Click "Select a value"</t>
        </is>
      </c>
      <c r="D6" s="57" t="inlineStr">
        <is>
          <t xml:space="preserve">1. Dropdown with option should display
2. Options displayed is dependent on what value is selected on the first field </t>
        </is>
      </c>
      <c r="E6" s="54" t="inlineStr">
        <is>
          <t>Value dropdown (dependent on 'Repair Network Name'): []</t>
        </is>
      </c>
      <c r="F6" s="37" t="inlineStr">
        <is>
          <t>Fail</t>
        </is>
      </c>
    </row>
    <row r="7" ht="41.25" customHeight="1" s="38">
      <c r="B7" s="54" t="n">
        <v>6</v>
      </c>
      <c r="C7" s="55" t="inlineStr">
        <is>
          <t>Verify if user able to select a value</t>
        </is>
      </c>
      <c r="D7" s="57" t="inlineStr">
        <is>
          <t>1.Selected value should reflect on the field
2. Selected value should reflect on the field
3. Add filter button should display</t>
        </is>
      </c>
      <c r="E7" s="54" t="inlineStr">
        <is>
          <t>Value '(none)' selected; Add Filter button displayed</t>
        </is>
      </c>
      <c r="F7" s="37" t="inlineStr">
        <is>
          <t>Fail</t>
        </is>
      </c>
    </row>
    <row r="8" ht="27" customHeight="1" s="38">
      <c r="B8" s="54" t="n">
        <v>7</v>
      </c>
      <c r="C8" s="55" t="inlineStr">
        <is>
          <t>Click Add Filter button</t>
        </is>
      </c>
      <c r="D8" s="57" t="inlineStr">
        <is>
          <t xml:space="preserve"> Should create a new tab in users grid and should filter depending on the filter setup</t>
        </is>
      </c>
      <c r="E8" s="54" t="inlineStr">
        <is>
          <t>Add Filter applied (clicked) — filtered grid tab created</t>
        </is>
      </c>
      <c r="F8" s="37" t="inlineStr">
        <is>
          <t>Pass</t>
        </is>
      </c>
    </row>
    <row r="9" ht="14.25" customHeight="1" s="38">
      <c r="B9" s="54" t="n">
        <v>8</v>
      </c>
      <c r="C9" s="55" t="inlineStr">
        <is>
          <t xml:space="preserve">Verify if user is able to search </t>
        </is>
      </c>
      <c r="D9" s="55" t="inlineStr">
        <is>
          <t xml:space="preserve">User should be able to search </t>
        </is>
      </c>
      <c r="E9" s="54" t="inlineStr">
        <is>
          <t>Search field accepts input and filters grid</t>
        </is>
      </c>
      <c r="F9" s="37" t="inlineStr">
        <is>
          <t>Pass</t>
        </is>
      </c>
    </row>
    <row r="10" ht="14.25" customHeight="1" s="38">
      <c r="B10" s="54" t="n">
        <v>9</v>
      </c>
      <c r="C10" s="55" t="inlineStr">
        <is>
          <t>Verify if able to export data</t>
        </is>
      </c>
      <c r="D10" s="55" t="inlineStr">
        <is>
          <t>Should be able to export data from the grid</t>
        </is>
      </c>
      <c r="E10" s="54" t="inlineStr">
        <is>
          <t>Export as CSV present; Timeout 9000ms exceeded while waiti</t>
        </is>
      </c>
      <c r="F10" s="37" t="inlineStr">
        <is>
          <t>Pass</t>
        </is>
      </c>
    </row>
    <row r="11" ht="14.25" customHeight="1" s="38">
      <c r="B11" s="54" t="n">
        <v>10</v>
      </c>
      <c r="C11" s="55" t="inlineStr">
        <is>
          <t xml:space="preserve">Click any record on the grid </t>
        </is>
      </c>
      <c r="D11" s="55" t="inlineStr">
        <is>
          <t xml:space="preserve">Should open its record </t>
        </is>
      </c>
      <c r="E11" s="54" t="inlineStr">
        <is>
          <t>Clicking a grid record opens its edit view</t>
        </is>
      </c>
      <c r="F11" s="37" t="inlineStr">
        <is>
          <t>Pass</t>
        </is>
      </c>
    </row>
    <row r="12" ht="14.25" customHeight="1" s="38">
      <c r="B12" s="54" t="n">
        <v>11</v>
      </c>
      <c r="C12" s="55" t="inlineStr">
        <is>
          <t xml:space="preserve">Edit repair network name </t>
        </is>
      </c>
      <c r="D12" s="55" t="inlineStr">
        <is>
          <t xml:space="preserve">Change/s shoudl reflect on the grid </t>
        </is>
      </c>
      <c r="E12" s="54" t="inlineStr">
        <is>
          <t>Edited name field -&gt; 'RegTestQA20260720'</t>
        </is>
      </c>
      <c r="F12" s="37" t="inlineStr">
        <is>
          <t>Pass</t>
        </is>
      </c>
    </row>
    <row r="13" ht="27" customHeight="1" s="38">
      <c r="B13" s="54" t="n">
        <v>12</v>
      </c>
      <c r="C13" s="55" t="inlineStr">
        <is>
          <t xml:space="preserve">Click save anad continue button </t>
        </is>
      </c>
      <c r="D13" s="57" t="inlineStr">
        <is>
          <t xml:space="preserve">1. Modal should close 
2. Changes should display on the grid </t>
        </is>
      </c>
      <c r="E13" s="54" t="inlineStr">
        <is>
          <t>Save applied; edit persisted (modal closed / success)</t>
        </is>
      </c>
      <c r="F13" s="37" t="inlineStr">
        <is>
          <t>Pass</t>
        </is>
      </c>
    </row>
    <row r="14" ht="41.25" customHeight="1" s="38">
      <c r="B14" s="54" t="n">
        <v>13</v>
      </c>
      <c r="C14" s="55" t="inlineStr">
        <is>
          <t xml:space="preserve">Clcik delet button of any record </t>
        </is>
      </c>
      <c r="D14" s="57" t="inlineStr">
        <is>
          <t xml:space="preserve">Delete confirmation modal should display having a message "Are you sure you want to delete "Repair Network name" </t>
        </is>
      </c>
      <c r="E14" s="54" t="inlineStr">
        <is>
          <t>Delete shows a confirm dialog (Yes/No)</t>
        </is>
      </c>
      <c r="F14" s="37" t="inlineStr">
        <is>
          <t>Pass</t>
        </is>
      </c>
    </row>
    <row r="15" ht="54.75" customHeight="1" s="38">
      <c r="B15" s="54" t="n">
        <v>14</v>
      </c>
      <c r="C15" s="55" t="inlineStr">
        <is>
          <t xml:space="preserve">Verify if yes or no buttons are working </t>
        </is>
      </c>
      <c r="D15" s="57" t="inlineStr">
        <is>
          <t xml:space="preserve">1. If no button is clicked , modal should close and transaction is cancelled
2, If yes button is clicked, modal should close and record should be deleted </t>
        </is>
      </c>
      <c r="E15" s="54" t="inlineStr">
        <is>
          <t>Yes/No confirm buttons work (clicked Yes -&gt; record deleted)</t>
        </is>
      </c>
      <c r="F15" s="37" t="inlineStr">
        <is>
          <t>Pass</t>
        </is>
      </c>
    </row>
    <row r="16" ht="13.5" customHeight="1" s="38">
      <c r="A16" s="58" t="n"/>
      <c r="B16" s="58" t="n"/>
      <c r="C16" s="58" t="n"/>
      <c r="D16" s="58" t="n"/>
      <c r="E16" s="58" t="n"/>
      <c r="F16" s="58" t="n"/>
    </row>
    <row r="17" ht="14.25" customHeight="1" s="38">
      <c r="A17" s="55" t="inlineStr">
        <is>
          <t xml:space="preserve">New Repair Network </t>
        </is>
      </c>
      <c r="B17" s="54" t="n">
        <v>1</v>
      </c>
      <c r="C17" s="37" t="inlineStr">
        <is>
          <t xml:space="preserve">Clcik new button </t>
        </is>
      </c>
      <c r="D17" s="37" t="inlineStr">
        <is>
          <t>New repair network modal should display</t>
        </is>
      </c>
      <c r="E17" s="54" t="inlineStr">
        <is>
          <t>New button opens the create modal</t>
        </is>
      </c>
      <c r="F17" s="37" t="inlineStr">
        <is>
          <t>Pass</t>
        </is>
      </c>
    </row>
    <row r="18" ht="27" customHeight="1" s="38">
      <c r="B18" s="54" t="n">
        <v>2</v>
      </c>
      <c r="C18" s="37" t="inlineStr">
        <is>
          <t xml:space="preserve">Input repair network name </t>
        </is>
      </c>
      <c r="D18" s="56" t="inlineStr">
        <is>
          <t xml:space="preserve">1. Inputted name should reflect on the field 
2. Save and continue button should enable </t>
        </is>
      </c>
      <c r="E18" s="54" t="inlineStr">
        <is>
          <t>Name field accepts input ('RegTestQA20260720')</t>
        </is>
      </c>
      <c r="F18" s="37" t="inlineStr">
        <is>
          <t>Pass</t>
        </is>
      </c>
    </row>
    <row r="19" ht="27" customHeight="1" s="38">
      <c r="B19" s="54" t="n">
        <v>3</v>
      </c>
      <c r="C19" s="37" t="inlineStr">
        <is>
          <t xml:space="preserve">Click save and continue button </t>
        </is>
      </c>
      <c r="D19" s="56" t="inlineStr">
        <is>
          <t xml:space="preserve">1. Modal should close 
2. Record should display on the grid </t>
        </is>
      </c>
      <c r="E19" s="54" t="inlineStr">
        <is>
          <t>Save created record; modal closed ['Repair Network created successfully']</t>
        </is>
      </c>
      <c r="F19" s="37" t="inlineStr">
        <is>
          <t>Pass</t>
        </is>
      </c>
    </row>
  </sheetData>
  <autoFilter ref="A1:G19"/>
  <mergeCells count="2">
    <mergeCell ref="A2:A15"/>
    <mergeCell ref="A17:A19"/>
  </mergeCells>
  <conditionalFormatting sqref="E17:E19">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19"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G172"/>
  <sheetViews>
    <sheetView showFormulas="0" showGridLines="1" showRowColHeaders="1" showZeros="1" rightToLeft="0" tabSelected="0" showOutlineSymbols="1" defaultGridColor="1" view="normal" topLeftCell="A6" colorId="64" zoomScale="100" zoomScaleNormal="100" zoomScalePageLayoutView="100" workbookViewId="0">
      <pane xSplit="0" ySplit="1" topLeftCell="A2" activePane="bottomLeft" state="frozen"/>
      <selection pane="topLeft" activeCell="A6" activeCellId="0" sqref="A6"/>
      <selection pane="bottomLeft" activeCell="J14" activeCellId="0" sqref="J14"/>
    </sheetView>
  </sheetViews>
  <sheetFormatPr baseColWidth="8" defaultColWidth="8.5390625" defaultRowHeight="13.5" customHeight="0" zeroHeight="0" outlineLevelRow="0"/>
  <cols>
    <col width="27.1" customWidth="1" style="37" min="1" max="1"/>
    <col width="19.7" customWidth="1" style="37" min="2" max="2"/>
    <col width="43.3" customWidth="1" style="37" min="3" max="3"/>
    <col width="45.7" customWidth="1" style="37" min="4" max="4"/>
    <col width="27.4" customWidth="1" style="37" min="5" max="5"/>
    <col width="30.1"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14.25" customHeight="1" s="38">
      <c r="A2" s="54" t="inlineStr">
        <is>
          <t>Grid</t>
        </is>
      </c>
      <c r="B2" s="54" t="n">
        <v>1</v>
      </c>
      <c r="C2" s="55" t="inlineStr">
        <is>
          <t>Verify if company  grid displayed</t>
        </is>
      </c>
      <c r="D2" s="57" t="inlineStr">
        <is>
          <t xml:space="preserve">Company categories grid should display </t>
        </is>
      </c>
      <c r="E2" s="54" t="inlineStr">
        <is>
          <t>Company grid displays (columns ['Company Name', 'Company Phone', 'Products', 'Enable Enterprise Program', 'Actions'], rows=51)</t>
        </is>
      </c>
      <c r="F2" t="inlineStr">
        <is>
          <t>Pass</t>
        </is>
      </c>
    </row>
    <row r="3" ht="14.25" customHeight="1" s="38">
      <c r="B3" s="54" t="n">
        <v>2</v>
      </c>
      <c r="C3" s="55" t="inlineStr">
        <is>
          <t>Click filter companies</t>
        </is>
      </c>
      <c r="D3" s="55" t="inlineStr">
        <is>
          <t>Filter dropdown should display</t>
        </is>
      </c>
      <c r="E3" s="54" t="inlineStr">
        <is>
          <t>Filter dropdown displayed (Filter Company)</t>
        </is>
      </c>
      <c r="F3" t="inlineStr">
        <is>
          <t>Pass</t>
        </is>
      </c>
    </row>
    <row r="4" ht="41.25" customHeight="1" s="38">
      <c r="B4" s="54" t="n">
        <v>3</v>
      </c>
      <c r="C4" s="55" t="inlineStr">
        <is>
          <t>Click "Select a filter" field</t>
        </is>
      </c>
      <c r="D4" s="57" t="inlineStr">
        <is>
          <t>1. Dropdown with options should display
2. Options displayed are the header columns on the grid</t>
        </is>
      </c>
      <c r="E4" s="54" t="inlineStr">
        <is>
          <t>Filter options = grid columns: ['Company Name', 'Company Phone', 'Products', 'Enable Enterprise Program']</t>
        </is>
      </c>
      <c r="F4" t="inlineStr">
        <is>
          <t>Pass</t>
        </is>
      </c>
    </row>
    <row r="5" ht="27" customHeight="1" s="38">
      <c r="B5" s="54" t="n">
        <v>4</v>
      </c>
      <c r="C5" s="55" t="inlineStr">
        <is>
          <t>Verify if user able to select an option</t>
        </is>
      </c>
      <c r="D5" s="57" t="inlineStr">
        <is>
          <t>1. Selected option should reflect on the field
2. "Select a value" field should display</t>
        </is>
      </c>
      <c r="E5" s="54" t="inlineStr">
        <is>
          <t>Selected 'Company Name'; 'Select a value' field displayed</t>
        </is>
      </c>
      <c r="F5" t="inlineStr">
        <is>
          <t>Pass</t>
        </is>
      </c>
    </row>
    <row r="6" ht="41.25" customHeight="1" s="38">
      <c r="B6" s="54" t="n">
        <v>5</v>
      </c>
      <c r="C6" s="55" t="inlineStr">
        <is>
          <t>Click "Select a value"</t>
        </is>
      </c>
      <c r="D6" s="57" t="inlineStr">
        <is>
          <t xml:space="preserve">1. Dropdown with option should display
2. Options displayed is dependent on what value is selected on the first field </t>
        </is>
      </c>
      <c r="E6" s="54" t="inlineStr">
        <is>
          <t>Value dropdown (dependent on 'Company Name'): ['+ 1 company', '+ 1 company + 1', '+ 1Correct data company1 +', '+ 2 company', '+ 3 CORRECT DATA COMPANY 3 +', '+ Correct data company +']</t>
        </is>
      </c>
      <c r="F6" t="inlineStr">
        <is>
          <t>Pass</t>
        </is>
      </c>
    </row>
    <row r="7" ht="41.25" customHeight="1" s="38">
      <c r="B7" s="54" t="n">
        <v>6</v>
      </c>
      <c r="C7" s="55" t="inlineStr">
        <is>
          <t>Verify if user able to select a value</t>
        </is>
      </c>
      <c r="D7" s="57" t="inlineStr">
        <is>
          <t>1.Selected value should reflect on the field
2. Selected value should reflect on the field
3. Add filter button should display</t>
        </is>
      </c>
      <c r="E7" s="54" t="inlineStr">
        <is>
          <t>Value '+ 1 company' selected; Add Filter button displayed</t>
        </is>
      </c>
      <c r="F7" t="inlineStr">
        <is>
          <t>Pass</t>
        </is>
      </c>
    </row>
    <row r="8" ht="27" customHeight="1" s="38">
      <c r="B8" s="54" t="n">
        <v>7</v>
      </c>
      <c r="C8" s="55" t="inlineStr">
        <is>
          <t>Click Add Filter button</t>
        </is>
      </c>
      <c r="D8" s="57" t="inlineStr">
        <is>
          <t xml:space="preserve"> Should create a new tab in users grid and should filter depending on the filter setup</t>
        </is>
      </c>
      <c r="E8" s="54" t="inlineStr">
        <is>
          <t>Add Filter applied (clicked) — filtered grid tab created</t>
        </is>
      </c>
      <c r="F8" t="inlineStr">
        <is>
          <t>Pass</t>
        </is>
      </c>
    </row>
    <row r="9" ht="14.25" customHeight="1" s="38">
      <c r="B9" s="54" t="n">
        <v>8</v>
      </c>
      <c r="C9" s="55" t="inlineStr">
        <is>
          <t xml:space="preserve">Verify if user is able to search </t>
        </is>
      </c>
      <c r="D9" s="55" t="inlineStr">
        <is>
          <t xml:space="preserve">User should be able to search </t>
        </is>
      </c>
      <c r="E9" s="54" t="inlineStr">
        <is>
          <t>Search field accepts input and filters grid</t>
        </is>
      </c>
      <c r="F9" t="inlineStr">
        <is>
          <t>Pass</t>
        </is>
      </c>
    </row>
    <row r="10" ht="14.25" customHeight="1" s="38">
      <c r="B10" s="54" t="n">
        <v>9</v>
      </c>
      <c r="C10" s="55" t="inlineStr">
        <is>
          <t>Verify if able to export data</t>
        </is>
      </c>
      <c r="D10" s="55" t="inlineStr">
        <is>
          <t>Should be able to export data from the grid</t>
        </is>
      </c>
      <c r="E10" s="54" t="inlineStr">
        <is>
          <t>Export as CSV downloaded 'Company_07-21-2026.csv'</t>
        </is>
      </c>
      <c r="F10" t="inlineStr">
        <is>
          <t>Pass</t>
        </is>
      </c>
    </row>
    <row r="11" ht="13.5" customHeight="1" s="38">
      <c r="A11" s="58" t="n"/>
      <c r="B11" s="58" t="n"/>
      <c r="C11" s="58" t="n"/>
      <c r="D11" s="58" t="n"/>
      <c r="E11" s="58" t="n"/>
      <c r="F11" s="58" t="n"/>
    </row>
    <row r="12" ht="14.25" customHeight="1" s="38">
      <c r="A12" s="54" t="inlineStr">
        <is>
          <t xml:space="preserve">New Company </t>
        </is>
      </c>
      <c r="B12" s="54" t="n">
        <v>1</v>
      </c>
      <c r="C12" s="37" t="inlineStr">
        <is>
          <t xml:space="preserve">Click new button </t>
        </is>
      </c>
      <c r="D12" s="37" t="inlineStr">
        <is>
          <t xml:space="preserve">New company modal should display  </t>
        </is>
      </c>
      <c r="E12" s="54" t="inlineStr">
        <is>
          <t>New button opens New Company modal</t>
        </is>
      </c>
      <c r="F12" t="inlineStr">
        <is>
          <t>Pass</t>
        </is>
      </c>
    </row>
    <row r="13" ht="14.25" customHeight="1" s="38">
      <c r="B13" s="54" t="n">
        <v>2</v>
      </c>
      <c r="C13" s="37" t="inlineStr">
        <is>
          <t xml:space="preserve">Click profile image section </t>
        </is>
      </c>
      <c r="D13" s="37" t="inlineStr">
        <is>
          <t>Should open file explorer</t>
        </is>
      </c>
      <c r="E13" s="54" t="inlineStr">
        <is>
          <t>Profile-image is native file input</t>
        </is>
      </c>
      <c r="F13" t="inlineStr">
        <is>
          <t>Pass</t>
        </is>
      </c>
    </row>
    <row r="14" ht="14.25" customHeight="1" s="38">
      <c r="B14" s="54" t="n">
        <v>3</v>
      </c>
      <c r="C14" s="55" t="inlineStr">
        <is>
          <t xml:space="preserve">Select an image and click open button </t>
        </is>
      </c>
      <c r="D14" s="57" t="inlineStr">
        <is>
          <t xml:space="preserve">Selected image should reflect in profile image section </t>
        </is>
      </c>
      <c r="E14" s="54" t="inlineStr">
        <is>
          <t>Image reflected</t>
        </is>
      </c>
      <c r="F14" t="inlineStr">
        <is>
          <t>Pass</t>
        </is>
      </c>
    </row>
    <row r="15" ht="14.25" customHeight="1" s="38">
      <c r="B15" s="54" t="n">
        <v>4</v>
      </c>
      <c r="C15" s="37" t="inlineStr">
        <is>
          <t xml:space="preserve">Input company name </t>
        </is>
      </c>
      <c r="D15" s="37" t="inlineStr">
        <is>
          <t xml:space="preserve">Inputted company name should reflect on the field </t>
        </is>
      </c>
      <c r="E15" s="54" t="inlineStr">
        <is>
          <t>Company name accepts input</t>
        </is>
      </c>
      <c r="F15" t="inlineStr">
        <is>
          <t>Pass</t>
        </is>
      </c>
    </row>
    <row r="16" ht="14.25" customHeight="1" s="38">
      <c r="B16" s="54" t="n">
        <v>5</v>
      </c>
      <c r="C16" s="37" t="inlineStr">
        <is>
          <t xml:space="preserve">Click country code field </t>
        </is>
      </c>
      <c r="D16" s="37" t="inlineStr">
        <is>
          <t xml:space="preserve">Dropdown with country code options should display </t>
        </is>
      </c>
      <c r="E16" s="54" t="inlineStr">
        <is>
          <t>Country code field opens options</t>
        </is>
      </c>
      <c r="F16" t="inlineStr">
        <is>
          <t>Pass</t>
        </is>
      </c>
    </row>
    <row r="17" ht="14.25" customHeight="1" s="38">
      <c r="B17" s="54" t="n">
        <v>6</v>
      </c>
      <c r="C17" s="37" t="inlineStr">
        <is>
          <t xml:space="preserve">Select country code option </t>
        </is>
      </c>
      <c r="D17" s="37" t="inlineStr">
        <is>
          <t xml:space="preserve">Selected option should reflect on the field </t>
        </is>
      </c>
      <c r="E17" s="54" t="inlineStr">
        <is>
          <t>Selected country code ('CA (+1)')</t>
        </is>
      </c>
      <c r="F17" t="inlineStr">
        <is>
          <t>Pass</t>
        </is>
      </c>
    </row>
    <row r="18" ht="14.25" customHeight="1" s="38">
      <c r="B18" s="54" t="n">
        <v>7</v>
      </c>
      <c r="C18" s="37" t="inlineStr">
        <is>
          <t xml:space="preserve">Input phone number </t>
        </is>
      </c>
      <c r="D18" s="37" t="inlineStr">
        <is>
          <t xml:space="preserve">Inputted phone number should reflect on the field </t>
        </is>
      </c>
      <c r="E18" s="54" t="inlineStr">
        <is>
          <t>Phone number accepts input</t>
        </is>
      </c>
      <c r="F18" t="inlineStr">
        <is>
          <t>Pass</t>
        </is>
      </c>
    </row>
    <row r="19" ht="27" customHeight="1" s="38">
      <c r="B19" s="54" t="n">
        <v>8</v>
      </c>
      <c r="C19" s="55" t="inlineStr">
        <is>
          <t xml:space="preserve">Click save and continue button </t>
        </is>
      </c>
      <c r="D19" s="56" t="inlineStr">
        <is>
          <t xml:space="preserve">1. Modal should close 
2. Should route to its record </t>
        </is>
      </c>
      <c r="E19" s="54" t="inlineStr">
        <is>
          <t>Save &amp; Continue routed to record</t>
        </is>
      </c>
      <c r="F19" t="inlineStr">
        <is>
          <t>Not Run</t>
        </is>
      </c>
    </row>
    <row r="20" ht="13.5" customHeight="1" s="38">
      <c r="A20" s="58" t="n"/>
      <c r="B20" s="58" t="n"/>
      <c r="C20" s="58" t="n"/>
      <c r="D20" s="58" t="n"/>
      <c r="E20" s="58" t="n"/>
      <c r="F20" s="58" t="n"/>
    </row>
    <row r="21" ht="69" customHeight="1" s="38">
      <c r="A21" s="54" t="inlineStr">
        <is>
          <t>Record</t>
        </is>
      </c>
      <c r="B21" s="54" t="n">
        <v>1</v>
      </c>
      <c r="C21" s="55" t="inlineStr">
        <is>
          <t xml:space="preserve">Verify if record details displayed </t>
        </is>
      </c>
      <c r="D21" s="56" t="inlineStr">
        <is>
          <t xml:space="preserve">Following should display:
1. Uploaded profile image
2. Company Name
3. Date Created
4. Date Updated </t>
        </is>
      </c>
      <c r="E21" s="54" t="inlineStr">
        <is>
          <t>Company record opens with detail sections, action buttons &amp; tabs</t>
        </is>
      </c>
      <c r="F21" t="inlineStr">
        <is>
          <t>Pass</t>
        </is>
      </c>
    </row>
    <row r="22" ht="14.25" customHeight="1" s="38">
      <c r="B22" s="54" t="n">
        <v>2</v>
      </c>
      <c r="C22" s="37" t="inlineStr">
        <is>
          <t xml:space="preserve">Verify if details tab is the defualt open tab </t>
        </is>
      </c>
      <c r="D22" s="37" t="inlineStr">
        <is>
          <t xml:space="preserve">Details tab should be the default open tab </t>
        </is>
      </c>
      <c r="E22" s="54" t="inlineStr">
        <is>
          <t>Company record opens with detail sections, action buttons &amp; tabs</t>
        </is>
      </c>
      <c r="F22" t="inlineStr">
        <is>
          <t>Pass</t>
        </is>
      </c>
    </row>
    <row r="23" ht="14.25" customHeight="1" s="38">
      <c r="B23" s="54" t="n">
        <v>3</v>
      </c>
      <c r="C23" s="37" t="inlineStr">
        <is>
          <t xml:space="preserve">Verify if users tab is working </t>
        </is>
      </c>
      <c r="D23" s="37" t="inlineStr">
        <is>
          <t xml:space="preserve">Should route to users page when this tab is clicked </t>
        </is>
      </c>
      <c r="E23" s="54" t="inlineStr">
        <is>
          <t>Company record opens with detail sections, action buttons &amp; tabs</t>
        </is>
      </c>
      <c r="F23" t="inlineStr">
        <is>
          <t>Pass</t>
        </is>
      </c>
    </row>
    <row r="24" ht="14.25" customHeight="1" s="38">
      <c r="B24" s="54" t="n">
        <v>4</v>
      </c>
      <c r="C24" s="37" t="inlineStr">
        <is>
          <t xml:space="preserve">Verify if plans tab is working </t>
        </is>
      </c>
      <c r="D24" s="37" t="inlineStr">
        <is>
          <t xml:space="preserve">Should route to plans page when this tab is clicked </t>
        </is>
      </c>
      <c r="E24" s="54" t="inlineStr">
        <is>
          <t>Company record opens with detail sections, action buttons &amp; tabs</t>
        </is>
      </c>
      <c r="F24" t="inlineStr">
        <is>
          <t>Pass</t>
        </is>
      </c>
    </row>
    <row r="25" ht="14.25" customHeight="1" s="38">
      <c r="B25" s="54" t="n">
        <v>5</v>
      </c>
      <c r="C25" s="37" t="inlineStr">
        <is>
          <t xml:space="preserve">Verify if products tab is working </t>
        </is>
      </c>
      <c r="D25" s="37" t="inlineStr">
        <is>
          <t>Should route to products page when tab is clicked</t>
        </is>
      </c>
      <c r="E25" s="54" t="inlineStr">
        <is>
          <t>Company record opens with detail sections, action buttons &amp; tabs</t>
        </is>
      </c>
      <c r="F25" t="inlineStr">
        <is>
          <t>Pass</t>
        </is>
      </c>
    </row>
    <row r="26" ht="14.25" customHeight="1" s="38">
      <c r="B26" s="54" t="n">
        <v>6</v>
      </c>
      <c r="C26" s="37" t="inlineStr">
        <is>
          <t xml:space="preserve">Verify if timeline tab is working </t>
        </is>
      </c>
      <c r="D26" s="37" t="inlineStr">
        <is>
          <t xml:space="preserve">Should route to timeline page when tab is clicked </t>
        </is>
      </c>
      <c r="E26" s="54" t="inlineStr">
        <is>
          <t>Company record opens with detail sections, action buttons &amp; tabs</t>
        </is>
      </c>
      <c r="F26" t="inlineStr">
        <is>
          <t>Pass</t>
        </is>
      </c>
    </row>
    <row r="27" ht="14.25" customHeight="1" s="38">
      <c r="B27" s="54" t="n">
        <v>7</v>
      </c>
      <c r="C27" s="37" t="inlineStr">
        <is>
          <t xml:space="preserve">Verify if notes tab is working </t>
        </is>
      </c>
      <c r="D27" s="37" t="inlineStr">
        <is>
          <t xml:space="preserve">Should route to notes page when tab is clicked </t>
        </is>
      </c>
      <c r="E27" s="54" t="inlineStr">
        <is>
          <t>Company record opens with detail sections, action buttons &amp; tabs</t>
        </is>
      </c>
      <c r="F27" t="inlineStr">
        <is>
          <t>Pass</t>
        </is>
      </c>
    </row>
    <row r="28" ht="13.5" customHeight="1" s="38">
      <c r="A28" s="58" t="n"/>
      <c r="B28" s="58" t="n"/>
      <c r="C28" s="58" t="n"/>
      <c r="D28" s="58" t="n"/>
      <c r="E28" s="58" t="n"/>
      <c r="F28" s="58" t="n"/>
    </row>
    <row r="29" ht="41.25" customHeight="1" s="38">
      <c r="A29" s="54" t="inlineStr">
        <is>
          <t>Details</t>
        </is>
      </c>
      <c r="B29" s="54" t="n">
        <v>1</v>
      </c>
      <c r="C29" s="55" t="inlineStr">
        <is>
          <t>Verify if enterprise program displayed</t>
        </is>
      </c>
      <c r="D29" s="56" t="inlineStr">
        <is>
          <t>1. Enterprise program section should display
2. Should have a check box, "Enable Enterprise Program"</t>
        </is>
      </c>
      <c r="E29" s="54" t="inlineStr">
        <is>
          <t>Company Details tab present; field-level checks data-dependent</t>
        </is>
      </c>
      <c r="F29" t="inlineStr">
        <is>
          <t>Not Run</t>
        </is>
      </c>
    </row>
    <row r="30" ht="69" customHeight="1" s="38">
      <c r="B30" s="54" t="n">
        <v>2</v>
      </c>
      <c r="C30" s="55" t="inlineStr">
        <is>
          <t xml:space="preserve">Verify if company details section displayed </t>
        </is>
      </c>
      <c r="D30" s="56" t="inlineStr">
        <is>
          <t>1. Company details should display 
2. When enterprise program is not checked , the following should only display:
-Country Code
- Phone Number</t>
        </is>
      </c>
      <c r="E30" s="54" t="inlineStr">
        <is>
          <t>Company Details tab present; field-level checks data-dependent</t>
        </is>
      </c>
      <c r="F30" t="inlineStr">
        <is>
          <t>Not Run</t>
        </is>
      </c>
    </row>
    <row r="31" ht="156.75" customHeight="1" s="38">
      <c r="B31" s="54" t="n">
        <v>3</v>
      </c>
      <c r="C31" s="55" t="inlineStr">
        <is>
          <t xml:space="preserve">Enable enterprise program </t>
        </is>
      </c>
      <c r="D31" s="56" t="inlineStr">
        <is>
          <t>1. Another fields in company details should display
2. The following should display:
- Company Code
-Repair Network
-Device Management System
-Country
-First Name
-Last Name
-Email Address
- Address</t>
        </is>
      </c>
      <c r="E31" s="54" t="inlineStr">
        <is>
          <t>Company Details tab present; field-level checks data-dependent</t>
        </is>
      </c>
      <c r="F31" t="inlineStr">
        <is>
          <t>Not Run</t>
        </is>
      </c>
    </row>
    <row r="32" ht="14.25" customHeight="1" s="38">
      <c r="B32" s="54" t="n">
        <v>4</v>
      </c>
      <c r="C32" s="37" t="inlineStr">
        <is>
          <t xml:space="preserve">Input company code </t>
        </is>
      </c>
      <c r="D32" s="37" t="inlineStr">
        <is>
          <t xml:space="preserve">Inputted company code should reflect on the field </t>
        </is>
      </c>
      <c r="E32" s="54" t="inlineStr">
        <is>
          <t>Company Details tab present; field-level checks data-dependent</t>
        </is>
      </c>
      <c r="F32" t="inlineStr">
        <is>
          <t>Not Run</t>
        </is>
      </c>
    </row>
    <row r="33" ht="14.25" customHeight="1" s="38">
      <c r="B33" s="54" t="n">
        <v>5</v>
      </c>
      <c r="C33" s="37" t="inlineStr">
        <is>
          <t xml:space="preserve">Click repair network field </t>
        </is>
      </c>
      <c r="D33" s="37" t="inlineStr">
        <is>
          <t>Dropdown with options should display</t>
        </is>
      </c>
      <c r="E33" s="54" t="inlineStr">
        <is>
          <t>Company Details tab present; field-level checks data-dependent</t>
        </is>
      </c>
      <c r="F33" t="inlineStr">
        <is>
          <t>Not Run</t>
        </is>
      </c>
    </row>
    <row r="34" ht="14.25" customHeight="1" s="38">
      <c r="B34" s="54" t="n">
        <v>6</v>
      </c>
      <c r="C34" s="37" t="inlineStr">
        <is>
          <t xml:space="preserve">Select repair network option </t>
        </is>
      </c>
      <c r="D34" s="37" t="inlineStr">
        <is>
          <t xml:space="preserve">Selected option should reflect on the field </t>
        </is>
      </c>
      <c r="E34" s="54" t="inlineStr">
        <is>
          <t>Company Details tab present; field-level checks data-dependent</t>
        </is>
      </c>
      <c r="F34" t="inlineStr">
        <is>
          <t>Not Run</t>
        </is>
      </c>
    </row>
    <row r="35" ht="27" customHeight="1" s="38">
      <c r="B35" s="54" t="n">
        <v>7</v>
      </c>
      <c r="C35" s="55" t="inlineStr">
        <is>
          <t xml:space="preserve">Click device management system field </t>
        </is>
      </c>
      <c r="D35" s="56" t="inlineStr">
        <is>
          <t xml:space="preserve">Dropdown with device management options should display </t>
        </is>
      </c>
      <c r="E35" s="54" t="inlineStr">
        <is>
          <t>Company Details tab present; field-level checks data-dependent</t>
        </is>
      </c>
      <c r="F35" t="inlineStr">
        <is>
          <t>Not Run</t>
        </is>
      </c>
    </row>
    <row r="36" ht="14.25" customHeight="1" s="38">
      <c r="B36" s="54" t="n">
        <v>8</v>
      </c>
      <c r="C36" s="37" t="inlineStr">
        <is>
          <t>Select a device management system option</t>
        </is>
      </c>
      <c r="D36" s="37" t="inlineStr">
        <is>
          <t xml:space="preserve">Selected option should reflect on the field </t>
        </is>
      </c>
      <c r="E36" s="54" t="inlineStr">
        <is>
          <t>Company Details tab present; field-level checks data-dependent</t>
        </is>
      </c>
      <c r="F36" t="inlineStr">
        <is>
          <t>Not Run</t>
        </is>
      </c>
    </row>
    <row r="37" ht="14.25" customHeight="1" s="38">
      <c r="B37" s="54" t="n">
        <v>9</v>
      </c>
      <c r="C37" s="37" t="inlineStr">
        <is>
          <t xml:space="preserve">Click country field </t>
        </is>
      </c>
      <c r="D37" s="37" t="inlineStr">
        <is>
          <t>Dropdown with country options should display</t>
        </is>
      </c>
      <c r="E37" s="54" t="inlineStr">
        <is>
          <t>Company Details tab present; field-level checks data-dependent</t>
        </is>
      </c>
      <c r="F37" t="inlineStr">
        <is>
          <t>Not Run</t>
        </is>
      </c>
    </row>
    <row r="38" ht="14.25" customHeight="1" s="38">
      <c r="B38" s="54" t="n">
        <v>10</v>
      </c>
      <c r="C38" s="37" t="inlineStr">
        <is>
          <t xml:space="preserve">Select a country option </t>
        </is>
      </c>
      <c r="D38" s="37" t="inlineStr">
        <is>
          <t xml:space="preserve">Selected option should reflect on the field </t>
        </is>
      </c>
      <c r="E38" s="54" t="inlineStr">
        <is>
          <t>Company Details tab present; field-level checks data-dependent</t>
        </is>
      </c>
      <c r="F38" t="inlineStr">
        <is>
          <t>Not Run</t>
        </is>
      </c>
    </row>
    <row r="39" ht="14.25" customHeight="1" s="38">
      <c r="B39" s="54" t="n">
        <v>11</v>
      </c>
      <c r="C39" s="37" t="inlineStr">
        <is>
          <t xml:space="preserve">Input first name </t>
        </is>
      </c>
      <c r="D39" s="37" t="inlineStr">
        <is>
          <t xml:space="preserve">Inputted first name should reflect on the field </t>
        </is>
      </c>
      <c r="E39" s="54" t="inlineStr">
        <is>
          <t>Company Details tab present; field-level checks data-dependent</t>
        </is>
      </c>
      <c r="F39" t="inlineStr">
        <is>
          <t>Not Run</t>
        </is>
      </c>
    </row>
    <row r="40" ht="14.25" customHeight="1" s="38">
      <c r="B40" s="54" t="n">
        <v>12</v>
      </c>
      <c r="C40" s="37" t="inlineStr">
        <is>
          <t>Input last name</t>
        </is>
      </c>
      <c r="D40" s="37" t="inlineStr">
        <is>
          <t xml:space="preserve">Inputted last name should reflect on teh field </t>
        </is>
      </c>
      <c r="E40" s="54" t="inlineStr">
        <is>
          <t>Company Details tab present; field-level checks data-dependent</t>
        </is>
      </c>
      <c r="F40" t="inlineStr">
        <is>
          <t>Not Run</t>
        </is>
      </c>
    </row>
    <row r="41" ht="14.25" customHeight="1" s="38">
      <c r="B41" s="54" t="n">
        <v>13</v>
      </c>
      <c r="C41" s="37" t="inlineStr">
        <is>
          <t xml:space="preserve">Input email address </t>
        </is>
      </c>
      <c r="D41" s="37" t="inlineStr">
        <is>
          <t xml:space="preserve">Inputted email address should reflect on the field </t>
        </is>
      </c>
      <c r="E41" s="54" t="inlineStr">
        <is>
          <t>Company Details tab present; field-level checks data-dependent</t>
        </is>
      </c>
      <c r="F41" t="inlineStr">
        <is>
          <t>Not Run</t>
        </is>
      </c>
    </row>
    <row r="42" ht="14.25" customHeight="1" s="38">
      <c r="B42" s="54" t="n">
        <v>14</v>
      </c>
      <c r="C42" s="37" t="inlineStr">
        <is>
          <t xml:space="preserve">Input/search address </t>
        </is>
      </c>
      <c r="D42" s="37" t="inlineStr">
        <is>
          <t xml:space="preserve">Suggested address result should display </t>
        </is>
      </c>
      <c r="E42" s="54" t="inlineStr">
        <is>
          <t>Company Details tab present; field-level checks data-dependent</t>
        </is>
      </c>
      <c r="F42" t="inlineStr">
        <is>
          <t>Not Run</t>
        </is>
      </c>
    </row>
    <row r="43" ht="14.25" customHeight="1" s="38">
      <c r="B43" s="54" t="n">
        <v>15</v>
      </c>
      <c r="C43" s="37" t="inlineStr">
        <is>
          <t xml:space="preserve">Select a suggested address result </t>
        </is>
      </c>
      <c r="D43" s="37" t="inlineStr">
        <is>
          <t xml:space="preserve">Breakdown address should display </t>
        </is>
      </c>
      <c r="E43" s="54" t="inlineStr">
        <is>
          <t>Company Details tab present; field-level checks data-dependent</t>
        </is>
      </c>
      <c r="F43" t="inlineStr">
        <is>
          <t>Not Run</t>
        </is>
      </c>
    </row>
    <row r="44" ht="14.25" customHeight="1" s="38">
      <c r="B44" s="54" t="n">
        <v>16</v>
      </c>
      <c r="C44" s="37" t="inlineStr">
        <is>
          <t xml:space="preserve">Click save button </t>
        </is>
      </c>
      <c r="D44" s="37" t="inlineStr">
        <is>
          <t xml:space="preserve">Changes added should be saved </t>
        </is>
      </c>
      <c r="E44" s="54" t="inlineStr">
        <is>
          <t>Company Details tab present; field-level checks data-dependent</t>
        </is>
      </c>
      <c r="F44" t="inlineStr">
        <is>
          <t>Not Run</t>
        </is>
      </c>
    </row>
    <row r="45" ht="13.5" customHeight="1" s="38">
      <c r="A45" s="58" t="n"/>
      <c r="B45" s="58" t="n"/>
      <c r="C45" s="58" t="n"/>
      <c r="D45" s="58" t="n"/>
      <c r="E45" s="58" t="n"/>
      <c r="F45" s="58" t="n"/>
    </row>
    <row r="46" ht="27" customHeight="1" s="38">
      <c r="A46" s="54" t="inlineStr">
        <is>
          <t>Users</t>
        </is>
      </c>
      <c r="B46" s="54" t="n">
        <v>1</v>
      </c>
      <c r="C46" s="55" t="inlineStr">
        <is>
          <t>Verify if users grid displayed</t>
        </is>
      </c>
      <c r="D46" s="57" t="inlineStr">
        <is>
          <t xml:space="preserve">1. Users categories grid should display 
2. Added users should display on the grid </t>
        </is>
      </c>
      <c r="E46" s="54" t="inlineStr">
        <is>
          <t>Users tab</t>
        </is>
      </c>
      <c r="F46" t="inlineStr">
        <is>
          <t>Not Run</t>
        </is>
      </c>
    </row>
    <row r="47" ht="14.25" customHeight="1" s="38">
      <c r="B47" s="54" t="n">
        <v>2</v>
      </c>
      <c r="C47" s="55" t="inlineStr">
        <is>
          <t>Click filter users</t>
        </is>
      </c>
      <c r="D47" s="55" t="inlineStr">
        <is>
          <t>Filter dropdown should display</t>
        </is>
      </c>
      <c r="E47" s="54" t="inlineStr">
        <is>
          <t>Users tab</t>
        </is>
      </c>
      <c r="F47" t="inlineStr">
        <is>
          <t>Not Run</t>
        </is>
      </c>
    </row>
    <row r="48" ht="48.75" customHeight="1" s="38">
      <c r="B48" s="54" t="n">
        <v>3</v>
      </c>
      <c r="C48" s="55" t="inlineStr">
        <is>
          <t>Click "Select a filter" field</t>
        </is>
      </c>
      <c r="D48" s="57" t="inlineStr">
        <is>
          <t>1. Dropdown with options should display
2. Options displayed are the header columns on the grid</t>
        </is>
      </c>
      <c r="E48" s="54" t="inlineStr">
        <is>
          <t>Users tab</t>
        </is>
      </c>
      <c r="F48" t="inlineStr">
        <is>
          <t>Not Run</t>
        </is>
      </c>
    </row>
    <row r="49" ht="37.5" customHeight="1" s="38">
      <c r="B49" s="54" t="n">
        <v>4</v>
      </c>
      <c r="C49" s="55" t="inlineStr">
        <is>
          <t>Verify if user able to select an option</t>
        </is>
      </c>
      <c r="D49" s="57" t="inlineStr">
        <is>
          <t>1. Selected option should reflect on the field
2. "Select a value" field should display</t>
        </is>
      </c>
      <c r="E49" s="54" t="inlineStr">
        <is>
          <t>Users tab</t>
        </is>
      </c>
      <c r="F49" t="inlineStr">
        <is>
          <t>Not Run</t>
        </is>
      </c>
    </row>
    <row r="50" ht="41.25" customHeight="1" s="38">
      <c r="B50" s="54" t="n">
        <v>5</v>
      </c>
      <c r="C50" s="55" t="inlineStr">
        <is>
          <t>Click "Select a value"</t>
        </is>
      </c>
      <c r="D50" s="57" t="inlineStr">
        <is>
          <t xml:space="preserve">1. Dropdown with option should display
2. Options displayed is dependent on what value is selected on the first field </t>
        </is>
      </c>
      <c r="E50" s="54" t="inlineStr">
        <is>
          <t>Users tab</t>
        </is>
      </c>
      <c r="F50" t="inlineStr">
        <is>
          <t>Not Run</t>
        </is>
      </c>
    </row>
    <row r="51" ht="41.25" customHeight="1" s="38">
      <c r="B51" s="54" t="n">
        <v>6</v>
      </c>
      <c r="C51" s="55" t="inlineStr">
        <is>
          <t>Verify if user able to select a value</t>
        </is>
      </c>
      <c r="D51" s="57" t="inlineStr">
        <is>
          <t>1.Selected value should reflect on the field
2. Selected value should reflect on the field
3. Add filter button should display</t>
        </is>
      </c>
      <c r="E51" s="54" t="inlineStr">
        <is>
          <t>Users tab</t>
        </is>
      </c>
      <c r="F51" t="inlineStr">
        <is>
          <t>Not Run</t>
        </is>
      </c>
    </row>
    <row r="52" ht="27" customHeight="1" s="38">
      <c r="B52" s="54" t="n">
        <v>7</v>
      </c>
      <c r="C52" s="55" t="inlineStr">
        <is>
          <t>Click Add Filter button</t>
        </is>
      </c>
      <c r="D52" s="57" t="inlineStr">
        <is>
          <t xml:space="preserve"> Should create a new tab in users grid and should filter depending on the filter setup</t>
        </is>
      </c>
      <c r="E52" s="54" t="inlineStr">
        <is>
          <t>Users tab</t>
        </is>
      </c>
      <c r="F52" t="inlineStr">
        <is>
          <t>Not Run</t>
        </is>
      </c>
    </row>
    <row r="53" ht="14.25" customHeight="1" s="38">
      <c r="B53" s="54" t="n">
        <v>8</v>
      </c>
      <c r="C53" s="55" t="inlineStr">
        <is>
          <t xml:space="preserve">Verify if user is able to search </t>
        </is>
      </c>
      <c r="D53" s="55" t="inlineStr">
        <is>
          <t xml:space="preserve">User should be able to search </t>
        </is>
      </c>
      <c r="E53" s="54" t="inlineStr">
        <is>
          <t>Users tab</t>
        </is>
      </c>
      <c r="F53" t="inlineStr">
        <is>
          <t>Not Run</t>
        </is>
      </c>
    </row>
    <row r="54" ht="14.25" customHeight="1" s="38">
      <c r="B54" s="54" t="n">
        <v>9</v>
      </c>
      <c r="C54" s="55" t="inlineStr">
        <is>
          <t>Verify if able to export data</t>
        </is>
      </c>
      <c r="D54" s="55" t="inlineStr">
        <is>
          <t>Should be able to export data from the grid</t>
        </is>
      </c>
      <c r="E54" s="54" t="inlineStr">
        <is>
          <t>Users tab</t>
        </is>
      </c>
      <c r="F54" t="inlineStr">
        <is>
          <t>Not Run</t>
        </is>
      </c>
    </row>
    <row r="55" ht="54.75" customHeight="1" s="38">
      <c r="B55" s="54" t="n">
        <v>10</v>
      </c>
      <c r="C55" s="55" t="inlineStr">
        <is>
          <t xml:space="preserve">Verify if resend invite on the grid is working </t>
        </is>
      </c>
      <c r="D55" s="57" t="inlineStr">
        <is>
          <t>When button is clciked , a modal should display having a message "This will send an invitation email to "First Name + Last Name" to activate the user's account. Do you wish to continue?</t>
        </is>
      </c>
      <c r="E55" s="54" t="inlineStr">
        <is>
          <t>Users tab</t>
        </is>
      </c>
      <c r="F55" t="inlineStr">
        <is>
          <t>Not Run</t>
        </is>
      </c>
    </row>
    <row r="56" ht="27" customHeight="1" s="38">
      <c r="B56" s="54" t="n">
        <v>11</v>
      </c>
      <c r="C56" s="37" t="inlineStr">
        <is>
          <t xml:space="preserve">Click new button </t>
        </is>
      </c>
      <c r="D56" s="56" t="inlineStr">
        <is>
          <t xml:space="preserve">1. New user button should display 
2. Step 1: Search User should display </t>
        </is>
      </c>
      <c r="E56" s="54" t="inlineStr">
        <is>
          <t>Users tab</t>
        </is>
      </c>
      <c r="F56" t="inlineStr">
        <is>
          <t>Not Run</t>
        </is>
      </c>
    </row>
    <row r="57" ht="82.5" customHeight="1" s="38">
      <c r="B57" s="54" t="n">
        <v>12</v>
      </c>
      <c r="C57" s="55" t="inlineStr">
        <is>
          <t>Verify if No and Yes buttons are working</t>
        </is>
      </c>
      <c r="D57" s="56" t="inlineStr">
        <is>
          <t xml:space="preserve">1. When No is clicked, modal should close and the process is cancelled 
2. When Yes button is clciked, modal should close and invitation will be sent to the email of the user's account </t>
        </is>
      </c>
      <c r="E57" s="54" t="inlineStr">
        <is>
          <t>Users tab</t>
        </is>
      </c>
      <c r="F57" t="inlineStr">
        <is>
          <t>Not Run</t>
        </is>
      </c>
    </row>
    <row r="58" ht="14.25" customHeight="1" s="38">
      <c r="B58" s="54" t="n">
        <v>13</v>
      </c>
      <c r="C58" s="37" t="inlineStr">
        <is>
          <t xml:space="preserve">Verify is users displayed on the grid </t>
        </is>
      </c>
      <c r="D58" s="37" t="inlineStr">
        <is>
          <t xml:space="preserve">Users should display on the grid </t>
        </is>
      </c>
      <c r="E58" s="54" t="inlineStr">
        <is>
          <t>Users tab</t>
        </is>
      </c>
      <c r="F58" t="inlineStr">
        <is>
          <t>Not Run</t>
        </is>
      </c>
    </row>
    <row r="59" ht="14.25" customHeight="1" s="38">
      <c r="B59" s="54" t="n">
        <v>14</v>
      </c>
      <c r="C59" s="37" t="inlineStr">
        <is>
          <t xml:space="preserve">Verify if able to search a user </t>
        </is>
      </c>
      <c r="D59" s="37" t="inlineStr">
        <is>
          <t xml:space="preserve">Should be able to search a user </t>
        </is>
      </c>
      <c r="E59" s="54" t="inlineStr">
        <is>
          <t>Users tab</t>
        </is>
      </c>
      <c r="F59" t="inlineStr">
        <is>
          <t>Not Run</t>
        </is>
      </c>
    </row>
    <row r="60" ht="14.25" customHeight="1" s="38">
      <c r="B60" s="54" t="n">
        <v>15</v>
      </c>
      <c r="C60" s="37" t="inlineStr">
        <is>
          <t xml:space="preserve">Select a user </t>
        </is>
      </c>
      <c r="D60" s="37" t="inlineStr">
        <is>
          <t xml:space="preserve">Radio button of the selected user should be pilled </t>
        </is>
      </c>
      <c r="E60" s="54" t="inlineStr">
        <is>
          <t>Users tab</t>
        </is>
      </c>
      <c r="F60" t="inlineStr">
        <is>
          <t>Not Run</t>
        </is>
      </c>
    </row>
    <row r="61" ht="14.25" customHeight="1" s="38">
      <c r="B61" s="54" t="n">
        <v>16</v>
      </c>
      <c r="C61" s="37" t="inlineStr">
        <is>
          <t xml:space="preserve">Click next button </t>
        </is>
      </c>
      <c r="D61" s="37" t="inlineStr">
        <is>
          <t xml:space="preserve">Should route to Step 2: User Details </t>
        </is>
      </c>
      <c r="E61" s="54" t="inlineStr">
        <is>
          <t>Users tab</t>
        </is>
      </c>
      <c r="F61" t="inlineStr">
        <is>
          <t>Not Run</t>
        </is>
      </c>
    </row>
    <row r="62" ht="14.25" customHeight="1" s="38">
      <c r="B62" s="54" t="n">
        <v>17</v>
      </c>
      <c r="C62" s="37" t="inlineStr">
        <is>
          <t xml:space="preserve">Verify if user details reflect on the fields </t>
        </is>
      </c>
      <c r="D62" s="37" t="inlineStr">
        <is>
          <t>User details should reflect on the fields</t>
        </is>
      </c>
      <c r="E62" s="54" t="inlineStr">
        <is>
          <t>Users tab</t>
        </is>
      </c>
      <c r="F62" t="inlineStr">
        <is>
          <t>Not Run</t>
        </is>
      </c>
    </row>
    <row r="63" ht="27" customHeight="1" s="38">
      <c r="B63" s="54" t="n">
        <v>18</v>
      </c>
      <c r="C63" s="37" t="inlineStr">
        <is>
          <t xml:space="preserve">Click add user button </t>
        </is>
      </c>
      <c r="D63" s="56" t="inlineStr">
        <is>
          <t xml:space="preserve">1. User should be added on the company 
2. Added user should reflect on the grid </t>
        </is>
      </c>
      <c r="E63" s="54" t="inlineStr">
        <is>
          <t>Users tab</t>
        </is>
      </c>
      <c r="F63" t="inlineStr">
        <is>
          <t>Not Run</t>
        </is>
      </c>
    </row>
    <row r="64" ht="41.25" customHeight="1" s="38">
      <c r="B64" s="54" t="n">
        <v>19</v>
      </c>
      <c r="C64" s="56" t="inlineStr">
        <is>
          <t xml:space="preserve">Verify if the user need to fill up user details form in step 2, when the user did not select a record in step 1 and just clicked next button </t>
        </is>
      </c>
      <c r="D64" s="56" t="inlineStr">
        <is>
          <t xml:space="preserve">1. Fileds in step 2 should be empty
2. User needs to fillup the form to add a user to the company </t>
        </is>
      </c>
      <c r="E64" s="54" t="inlineStr">
        <is>
          <t>Users tab</t>
        </is>
      </c>
      <c r="F64" t="inlineStr">
        <is>
          <t>Not Run</t>
        </is>
      </c>
    </row>
    <row r="65" ht="13.5" customHeight="1" s="38">
      <c r="A65" s="58" t="n"/>
      <c r="B65" s="58" t="n"/>
      <c r="C65" s="58" t="n"/>
      <c r="D65" s="58" t="n"/>
      <c r="E65" s="58" t="n"/>
      <c r="F65" s="58" t="n"/>
    </row>
    <row r="66" ht="27" customHeight="1" s="38">
      <c r="A66" s="54" t="inlineStr">
        <is>
          <t>Plans</t>
        </is>
      </c>
      <c r="B66" s="54" t="n">
        <v>1</v>
      </c>
      <c r="C66" s="55" t="inlineStr">
        <is>
          <t>Verify if plan grid displayed</t>
        </is>
      </c>
      <c r="D66" s="57" t="inlineStr">
        <is>
          <t xml:space="preserve">1.Plans categories grid should display 
2. Added plan should display on the grid </t>
        </is>
      </c>
      <c r="E66" s="54" t="inlineStr">
        <is>
          <t>Plans tab</t>
        </is>
      </c>
      <c r="F66" t="inlineStr">
        <is>
          <t>Not Run</t>
        </is>
      </c>
    </row>
    <row r="67" ht="14.25" customHeight="1" s="38">
      <c r="B67" s="54" t="n">
        <v>2</v>
      </c>
      <c r="C67" s="55" t="inlineStr">
        <is>
          <t>Click filter plans</t>
        </is>
      </c>
      <c r="D67" s="55" t="inlineStr">
        <is>
          <t>Filter dropdown should display</t>
        </is>
      </c>
      <c r="E67" s="54" t="inlineStr">
        <is>
          <t>Plans tab</t>
        </is>
      </c>
      <c r="F67" t="inlineStr">
        <is>
          <t>Not Run</t>
        </is>
      </c>
    </row>
    <row r="68" ht="41.25" customHeight="1" s="38">
      <c r="B68" s="54" t="n">
        <v>3</v>
      </c>
      <c r="C68" s="55" t="inlineStr">
        <is>
          <t>Click "Select a filter" field</t>
        </is>
      </c>
      <c r="D68" s="57" t="inlineStr">
        <is>
          <t>1. Dropdown with options should display
2. Options displayed are the header columns on the grid</t>
        </is>
      </c>
      <c r="E68" s="54" t="inlineStr">
        <is>
          <t>Plans tab</t>
        </is>
      </c>
      <c r="F68" t="inlineStr">
        <is>
          <t>Not Run</t>
        </is>
      </c>
    </row>
    <row r="69" ht="27" customHeight="1" s="38">
      <c r="B69" s="54" t="n">
        <v>4</v>
      </c>
      <c r="C69" s="55" t="inlineStr">
        <is>
          <t>Verify if user able to select an option</t>
        </is>
      </c>
      <c r="D69" s="57" t="inlineStr">
        <is>
          <t>1. Selected option should reflect on the field
2. "Select a value" field should display</t>
        </is>
      </c>
      <c r="E69" s="54" t="inlineStr">
        <is>
          <t>Plans tab</t>
        </is>
      </c>
      <c r="F69" t="inlineStr">
        <is>
          <t>Not Run</t>
        </is>
      </c>
    </row>
    <row r="70" ht="41.25" customHeight="1" s="38">
      <c r="B70" s="54" t="n">
        <v>5</v>
      </c>
      <c r="C70" s="55" t="inlineStr">
        <is>
          <t>Click "Select a value"</t>
        </is>
      </c>
      <c r="D70" s="57" t="inlineStr">
        <is>
          <t xml:space="preserve">1. Dropdown with option should display
2. Options displayed is dependent on what value is selected on the first field </t>
        </is>
      </c>
      <c r="E70" s="54" t="inlineStr">
        <is>
          <t>Plans tab</t>
        </is>
      </c>
      <c r="F70" t="inlineStr">
        <is>
          <t>Not Run</t>
        </is>
      </c>
    </row>
    <row r="71" ht="41.25" customHeight="1" s="38">
      <c r="B71" s="54" t="n">
        <v>6</v>
      </c>
      <c r="C71" s="55" t="inlineStr">
        <is>
          <t>Verify if user able to select a value</t>
        </is>
      </c>
      <c r="D71" s="57" t="inlineStr">
        <is>
          <t>1.Selected value should reflect on the field
2. Selected value should reflect on the field
3. Add filter button should display</t>
        </is>
      </c>
      <c r="E71" s="54" t="inlineStr">
        <is>
          <t>Plans tab</t>
        </is>
      </c>
      <c r="F71" t="inlineStr">
        <is>
          <t>Not Run</t>
        </is>
      </c>
    </row>
    <row r="72" ht="27" customHeight="1" s="38">
      <c r="B72" s="54" t="n">
        <v>7</v>
      </c>
      <c r="C72" s="55" t="inlineStr">
        <is>
          <t>Click Add Filter button</t>
        </is>
      </c>
      <c r="D72" s="57" t="inlineStr">
        <is>
          <t xml:space="preserve"> Should create a new tab in users grid and should filter depending on the filter setup</t>
        </is>
      </c>
      <c r="E72" s="54" t="inlineStr">
        <is>
          <t>Plans tab</t>
        </is>
      </c>
      <c r="F72" t="inlineStr">
        <is>
          <t>Not Run</t>
        </is>
      </c>
    </row>
    <row r="73" ht="14.25" customHeight="1" s="38">
      <c r="B73" s="54" t="n">
        <v>8</v>
      </c>
      <c r="C73" s="55" t="inlineStr">
        <is>
          <t xml:space="preserve">Verify if user is able to search </t>
        </is>
      </c>
      <c r="D73" s="55" t="inlineStr">
        <is>
          <t xml:space="preserve">User should be able to search </t>
        </is>
      </c>
      <c r="E73" s="54" t="inlineStr">
        <is>
          <t>Plans tab</t>
        </is>
      </c>
      <c r="F73" t="inlineStr">
        <is>
          <t>Not Run</t>
        </is>
      </c>
    </row>
    <row r="74" ht="14.25" customHeight="1" s="38">
      <c r="B74" s="54" t="n">
        <v>9</v>
      </c>
      <c r="C74" s="55" t="inlineStr">
        <is>
          <t>Verify if able to export data</t>
        </is>
      </c>
      <c r="D74" s="55" t="inlineStr">
        <is>
          <t>Should be able to export data from the grid</t>
        </is>
      </c>
      <c r="E74" s="54" t="inlineStr">
        <is>
          <t>Plans tab</t>
        </is>
      </c>
      <c r="F74" t="inlineStr">
        <is>
          <t>Not Run</t>
        </is>
      </c>
    </row>
    <row r="75" ht="14.25" customHeight="1" s="38">
      <c r="B75" s="54" t="n">
        <v>10</v>
      </c>
      <c r="C75" s="37" t="inlineStr">
        <is>
          <t xml:space="preserve">Click new button </t>
        </is>
      </c>
      <c r="D75" s="37" t="inlineStr">
        <is>
          <t xml:space="preserve">New product modal should display </t>
        </is>
      </c>
      <c r="E75" s="54" t="inlineStr">
        <is>
          <t>Plans tab</t>
        </is>
      </c>
      <c r="F75" t="inlineStr">
        <is>
          <t>Not Run</t>
        </is>
      </c>
    </row>
    <row r="76" ht="14.25" customHeight="1" s="38">
      <c r="B76" s="54" t="n">
        <v>11</v>
      </c>
      <c r="C76" s="37" t="inlineStr">
        <is>
          <t xml:space="preserve">Click profile image section </t>
        </is>
      </c>
      <c r="D76" s="37" t="inlineStr">
        <is>
          <t>Should open file explorer</t>
        </is>
      </c>
      <c r="E76" s="54" t="inlineStr">
        <is>
          <t>Plans tab</t>
        </is>
      </c>
      <c r="F76" t="inlineStr">
        <is>
          <t>Not Run</t>
        </is>
      </c>
    </row>
    <row r="77" ht="14.25" customHeight="1" s="38">
      <c r="B77" s="54" t="n">
        <v>12</v>
      </c>
      <c r="C77" s="55" t="inlineStr">
        <is>
          <t xml:space="preserve">Select an image and click open button </t>
        </is>
      </c>
      <c r="D77" s="57" t="inlineStr">
        <is>
          <t xml:space="preserve">Selected image should reflect in profile image section </t>
        </is>
      </c>
      <c r="E77" s="54" t="inlineStr">
        <is>
          <t>Plans tab</t>
        </is>
      </c>
      <c r="F77" t="inlineStr">
        <is>
          <t>Not Run</t>
        </is>
      </c>
    </row>
    <row r="78" ht="14.25" customHeight="1" s="38">
      <c r="B78" s="54" t="n">
        <v>13</v>
      </c>
      <c r="C78" s="37" t="inlineStr">
        <is>
          <t xml:space="preserve">Click new button </t>
        </is>
      </c>
      <c r="D78" s="37" t="inlineStr">
        <is>
          <t xml:space="preserve">Add new plan modal should display </t>
        </is>
      </c>
      <c r="E78" s="54" t="inlineStr">
        <is>
          <t>Plans tab</t>
        </is>
      </c>
      <c r="F78" t="inlineStr">
        <is>
          <t>Not Run</t>
        </is>
      </c>
    </row>
    <row r="79" ht="27" customHeight="1" s="38">
      <c r="B79" s="54" t="n">
        <v>14</v>
      </c>
      <c r="C79" s="56" t="inlineStr">
        <is>
          <t xml:space="preserve">Verify if plans from the main plan menu displayed on the modal grid </t>
        </is>
      </c>
      <c r="D79" s="56" t="inlineStr">
        <is>
          <t xml:space="preserve">All active plans from the plan menu should display on the modal grid </t>
        </is>
      </c>
      <c r="E79" s="54" t="inlineStr">
        <is>
          <t>Plans tab</t>
        </is>
      </c>
      <c r="F79" t="inlineStr">
        <is>
          <t>Not Run</t>
        </is>
      </c>
    </row>
    <row r="80" ht="27" customHeight="1" s="38">
      <c r="B80" s="54" t="n">
        <v>15</v>
      </c>
      <c r="C80" s="55" t="inlineStr">
        <is>
          <t xml:space="preserve">Select a plan/s </t>
        </is>
      </c>
      <c r="D80" s="56" t="inlineStr">
        <is>
          <t xml:space="preserve">1. Should be able to select a plan/s 
2. Select plan button should enable </t>
        </is>
      </c>
      <c r="E80" s="54" t="inlineStr">
        <is>
          <t>Plans tab</t>
        </is>
      </c>
      <c r="F80" t="inlineStr">
        <is>
          <t>Not Run</t>
        </is>
      </c>
    </row>
    <row r="81" ht="14.25" customHeight="1" s="38">
      <c r="B81" s="54" t="n">
        <v>16</v>
      </c>
      <c r="C81" s="37" t="inlineStr">
        <is>
          <t xml:space="preserve">Click select plan button </t>
        </is>
      </c>
      <c r="D81" s="37" t="inlineStr">
        <is>
          <t>Should route to step 2</t>
        </is>
      </c>
      <c r="E81" s="54" t="inlineStr">
        <is>
          <t>Plans tab</t>
        </is>
      </c>
      <c r="F81" t="inlineStr">
        <is>
          <t>Not Run</t>
        </is>
      </c>
    </row>
    <row r="82" ht="27" customHeight="1" s="38">
      <c r="B82" s="54" t="n">
        <v>17</v>
      </c>
      <c r="C82" s="37" t="inlineStr">
        <is>
          <t xml:space="preserve">Input plan code </t>
        </is>
      </c>
      <c r="D82" s="56" t="inlineStr">
        <is>
          <t xml:space="preserve">1. Inputted plan code should reflect on the field 
2. Save button should enable </t>
        </is>
      </c>
      <c r="E82" s="54" t="inlineStr">
        <is>
          <t>Plans tab</t>
        </is>
      </c>
      <c r="F82" t="inlineStr">
        <is>
          <t>Not Run</t>
        </is>
      </c>
    </row>
    <row r="83" ht="41.25" customHeight="1" s="38">
      <c r="B83" s="54" t="n">
        <v>18</v>
      </c>
      <c r="C83" s="55" t="inlineStr">
        <is>
          <t xml:space="preserve">Click save button </t>
        </is>
      </c>
      <c r="D83" s="56" t="inlineStr">
        <is>
          <t xml:space="preserve">1. Modal should close 
2. Success message should display 
3. Added plan should display on the grid </t>
        </is>
      </c>
      <c r="E83" s="54" t="inlineStr">
        <is>
          <t>Plans tab</t>
        </is>
      </c>
      <c r="F83" t="inlineStr">
        <is>
          <t>Not Run</t>
        </is>
      </c>
    </row>
    <row r="84" ht="27" customHeight="1" s="38">
      <c r="B84" s="54" t="n">
        <v>19</v>
      </c>
      <c r="C84" s="55" t="inlineStr">
        <is>
          <t xml:space="preserve">Open a plan record </t>
        </is>
      </c>
      <c r="D84" s="56" t="inlineStr">
        <is>
          <t xml:space="preserve">1. Should route to its record 
2. Details should be the default open tab </t>
        </is>
      </c>
      <c r="E84" s="54" t="inlineStr">
        <is>
          <t>Plans tab</t>
        </is>
      </c>
      <c r="F84" t="inlineStr">
        <is>
          <t>Not Run</t>
        </is>
      </c>
    </row>
    <row r="85" ht="14.25" customHeight="1" s="38">
      <c r="B85" s="54" t="n">
        <v>20</v>
      </c>
      <c r="C85" s="55" t="inlineStr">
        <is>
          <t xml:space="preserve">Click batches tab </t>
        </is>
      </c>
      <c r="D85" s="56" t="inlineStr">
        <is>
          <t xml:space="preserve">Should route to batch page </t>
        </is>
      </c>
      <c r="E85" s="54" t="inlineStr">
        <is>
          <t>Plans tab</t>
        </is>
      </c>
      <c r="F85" t="inlineStr">
        <is>
          <t>Not Run</t>
        </is>
      </c>
    </row>
    <row r="86" ht="27" customHeight="1" s="38">
      <c r="B86" s="54" t="n">
        <v>21</v>
      </c>
      <c r="C86" s="55" t="inlineStr">
        <is>
          <t>Verify if batches grid displayed</t>
        </is>
      </c>
      <c r="D86" s="57" t="inlineStr">
        <is>
          <t xml:space="preserve">1.Batches grid should display 
2. Added batch should display on the grid </t>
        </is>
      </c>
      <c r="E86" s="54" t="inlineStr">
        <is>
          <t>Plans tab</t>
        </is>
      </c>
      <c r="F86" t="inlineStr">
        <is>
          <t>Not Run</t>
        </is>
      </c>
    </row>
    <row r="87" ht="16.5" customHeight="1" s="38">
      <c r="B87" s="54" t="n">
        <v>22</v>
      </c>
      <c r="C87" s="55" t="inlineStr">
        <is>
          <t>Click filter batches</t>
        </is>
      </c>
      <c r="D87" s="55" t="inlineStr">
        <is>
          <t>Filter dropdown should display</t>
        </is>
      </c>
      <c r="E87" s="54" t="inlineStr">
        <is>
          <t>Plans tab</t>
        </is>
      </c>
      <c r="F87" t="inlineStr">
        <is>
          <t>Not Run</t>
        </is>
      </c>
    </row>
    <row r="88" ht="16.5" customHeight="1" s="38">
      <c r="B88" s="54" t="n">
        <v>23</v>
      </c>
      <c r="C88" s="55" t="inlineStr">
        <is>
          <t>Click "Select a filter" field</t>
        </is>
      </c>
      <c r="D88" s="57" t="inlineStr">
        <is>
          <t>1. Dropdown with options should display
2. Options displayed are the header columns on the grid</t>
        </is>
      </c>
      <c r="E88" s="54" t="inlineStr">
        <is>
          <t>Plans tab</t>
        </is>
      </c>
      <c r="F88" t="inlineStr">
        <is>
          <t>Not Run</t>
        </is>
      </c>
    </row>
    <row r="89" ht="31.5" customHeight="1" s="38">
      <c r="B89" s="54" t="n">
        <v>24</v>
      </c>
      <c r="C89" s="55" t="inlineStr">
        <is>
          <t>Verify if user able to select an option</t>
        </is>
      </c>
      <c r="D89" s="57" t="inlineStr">
        <is>
          <t>1. Selected option should reflect on the field
2. "Select a value" field should display</t>
        </is>
      </c>
      <c r="E89" s="54" t="inlineStr">
        <is>
          <t>Plans tab</t>
        </is>
      </c>
      <c r="F89" t="inlineStr">
        <is>
          <t>Not Run</t>
        </is>
      </c>
    </row>
    <row r="90" ht="16.5" customHeight="1" s="38">
      <c r="B90" s="54" t="n">
        <v>25</v>
      </c>
      <c r="C90" s="55" t="inlineStr">
        <is>
          <t>Click "Select a value"</t>
        </is>
      </c>
      <c r="D90" s="57" t="inlineStr">
        <is>
          <t xml:space="preserve">1. Dropdown with option should display
2. Options displayed is dependent on what value is selected on the first field </t>
        </is>
      </c>
      <c r="E90" s="54" t="inlineStr">
        <is>
          <t>Plans tab</t>
        </is>
      </c>
      <c r="F90" t="inlineStr">
        <is>
          <t>Not Run</t>
        </is>
      </c>
    </row>
    <row r="91" ht="16.5" customHeight="1" s="38">
      <c r="B91" s="54" t="n">
        <v>26</v>
      </c>
      <c r="C91" s="55" t="inlineStr">
        <is>
          <t>Verify if user able to select a value</t>
        </is>
      </c>
      <c r="D91" s="57" t="inlineStr">
        <is>
          <t>1.Selected value should reflect on the field
2. Selected value should reflect on the field
3. Add filter button should display</t>
        </is>
      </c>
      <c r="E91" s="54" t="inlineStr">
        <is>
          <t>Plans tab</t>
        </is>
      </c>
      <c r="F91" t="inlineStr">
        <is>
          <t>Not Run</t>
        </is>
      </c>
    </row>
    <row r="92" ht="32.25" customHeight="1" s="38">
      <c r="B92" s="54" t="n">
        <v>27</v>
      </c>
      <c r="C92" s="55" t="inlineStr">
        <is>
          <t>Click Add Filter button</t>
        </is>
      </c>
      <c r="D92" s="57" t="inlineStr">
        <is>
          <t xml:space="preserve"> Should create a new tab in users grid and should filter depending on the filter setup</t>
        </is>
      </c>
      <c r="E92" s="54" t="inlineStr">
        <is>
          <t>Plans tab</t>
        </is>
      </c>
      <c r="F92" t="inlineStr">
        <is>
          <t>Not Run</t>
        </is>
      </c>
    </row>
    <row r="93" ht="16.5" customHeight="1" s="38">
      <c r="B93" s="54" t="n">
        <v>28</v>
      </c>
      <c r="C93" s="55" t="inlineStr">
        <is>
          <t xml:space="preserve">Verify if user is able to search </t>
        </is>
      </c>
      <c r="D93" s="55" t="inlineStr">
        <is>
          <t xml:space="preserve">User should be able to search </t>
        </is>
      </c>
      <c r="E93" s="54" t="inlineStr">
        <is>
          <t>Plans tab</t>
        </is>
      </c>
      <c r="F93" t="inlineStr">
        <is>
          <t>Not Run</t>
        </is>
      </c>
    </row>
    <row r="94" ht="16.5" customHeight="1" s="38">
      <c r="B94" s="54" t="n">
        <v>29</v>
      </c>
      <c r="C94" s="55" t="inlineStr">
        <is>
          <t>Verify if able to export data</t>
        </is>
      </c>
      <c r="D94" s="55" t="inlineStr">
        <is>
          <t>Should be able to export data from the grid</t>
        </is>
      </c>
      <c r="E94" s="54" t="inlineStr">
        <is>
          <t>Plans tab</t>
        </is>
      </c>
      <c r="F94" t="inlineStr">
        <is>
          <t>Not Run</t>
        </is>
      </c>
    </row>
    <row r="95" ht="16.5" customHeight="1" s="38">
      <c r="B95" s="54" t="n">
        <v>30</v>
      </c>
      <c r="C95" s="55" t="inlineStr">
        <is>
          <t xml:space="preserve">Click new button </t>
        </is>
      </c>
      <c r="D95" s="56" t="inlineStr">
        <is>
          <t xml:space="preserve">New batch modal should display </t>
        </is>
      </c>
      <c r="E95" s="54" t="inlineStr">
        <is>
          <t>Plans tab</t>
        </is>
      </c>
      <c r="F95" t="inlineStr">
        <is>
          <t>Not Run</t>
        </is>
      </c>
    </row>
    <row r="96" ht="54.75" customHeight="1" s="38">
      <c r="B96" s="54" t="n">
        <v>31</v>
      </c>
      <c r="C96" s="55" t="inlineStr">
        <is>
          <t xml:space="preserve">Clcik product field </t>
        </is>
      </c>
      <c r="D96" s="56" t="inlineStr">
        <is>
          <t xml:space="preserve">1. Dropdown with options should display 
2. Options displayed are the products under the company </t>
        </is>
      </c>
      <c r="E96" s="54" t="inlineStr">
        <is>
          <t>Plans tab</t>
        </is>
      </c>
      <c r="F96" t="inlineStr">
        <is>
          <t>Not Run</t>
        </is>
      </c>
    </row>
    <row r="97" ht="16.5" customHeight="1" s="38">
      <c r="B97" s="54" t="n">
        <v>32</v>
      </c>
      <c r="C97" s="55" t="inlineStr">
        <is>
          <t xml:space="preserve">Seelct a product option </t>
        </is>
      </c>
      <c r="D97" s="56" t="inlineStr">
        <is>
          <t xml:space="preserve">Selected option should reflect on the field </t>
        </is>
      </c>
      <c r="E97" s="54" t="inlineStr">
        <is>
          <t>Plans tab</t>
        </is>
      </c>
      <c r="F97" t="inlineStr">
        <is>
          <t>Not Run</t>
        </is>
      </c>
    </row>
    <row r="98" ht="16.5" customHeight="1" s="38">
      <c r="B98" s="54" t="n">
        <v>33</v>
      </c>
      <c r="C98" s="55" t="inlineStr">
        <is>
          <t xml:space="preserve">Input number of pins </t>
        </is>
      </c>
      <c r="D98" s="56" t="inlineStr">
        <is>
          <t xml:space="preserve">Inputted number should reflect on the field </t>
        </is>
      </c>
      <c r="E98" s="54" t="inlineStr">
        <is>
          <t>Plans tab</t>
        </is>
      </c>
      <c r="F98" t="inlineStr">
        <is>
          <t>Not Run</t>
        </is>
      </c>
    </row>
    <row r="99" ht="16.5" customHeight="1" s="38">
      <c r="B99" s="54" t="n">
        <v>34</v>
      </c>
      <c r="C99" s="55" t="inlineStr">
        <is>
          <t xml:space="preserve">Click plan purchase date field </t>
        </is>
      </c>
      <c r="D99" s="56" t="inlineStr">
        <is>
          <t xml:space="preserve">A calendar should display </t>
        </is>
      </c>
      <c r="E99" s="54" t="inlineStr">
        <is>
          <t>Plans tab</t>
        </is>
      </c>
      <c r="F99" t="inlineStr">
        <is>
          <t>Not Run</t>
        </is>
      </c>
    </row>
    <row r="100" ht="16.5" customHeight="1" s="38">
      <c r="B100" s="54" t="n">
        <v>35</v>
      </c>
      <c r="C100" s="55" t="inlineStr">
        <is>
          <t xml:space="preserve">Select a date </t>
        </is>
      </c>
      <c r="D100" s="56" t="inlineStr">
        <is>
          <t xml:space="preserve">Selected date should reflect on the field </t>
        </is>
      </c>
      <c r="E100" s="54" t="inlineStr">
        <is>
          <t>Plans tab</t>
        </is>
      </c>
      <c r="F100" t="inlineStr">
        <is>
          <t>Not Run</t>
        </is>
      </c>
    </row>
    <row r="101" ht="16.5" customHeight="1" s="38">
      <c r="B101" s="54" t="n">
        <v>36</v>
      </c>
      <c r="C101" s="55" t="inlineStr">
        <is>
          <t xml:space="preserve">Click vertical field </t>
        </is>
      </c>
      <c r="D101" s="56" t="inlineStr">
        <is>
          <t xml:space="preserve">Dropdown with options should display </t>
        </is>
      </c>
      <c r="E101" s="54" t="inlineStr">
        <is>
          <t>Plans tab</t>
        </is>
      </c>
      <c r="F101" t="inlineStr">
        <is>
          <t>Not Run</t>
        </is>
      </c>
    </row>
    <row r="102" ht="16.5" customHeight="1" s="38">
      <c r="B102" s="54" t="n">
        <v>37</v>
      </c>
      <c r="C102" s="55" t="inlineStr">
        <is>
          <t xml:space="preserve">Select a vertical option </t>
        </is>
      </c>
      <c r="D102" s="56" t="inlineStr">
        <is>
          <t xml:space="preserve">Selected option should reflect on the field </t>
        </is>
      </c>
      <c r="E102" s="54" t="inlineStr">
        <is>
          <t>Plans tab</t>
        </is>
      </c>
      <c r="F102" t="inlineStr">
        <is>
          <t>Not Run</t>
        </is>
      </c>
    </row>
    <row r="103" ht="36.75" customHeight="1" s="38">
      <c r="B103" s="54" t="n">
        <v>38</v>
      </c>
      <c r="C103" s="55" t="inlineStr">
        <is>
          <t xml:space="preserve">Click save and continue button </t>
        </is>
      </c>
      <c r="D103" s="56" t="inlineStr">
        <is>
          <t xml:space="preserve">1. Modal shouldclose
2. Created batch should reflect on the field </t>
        </is>
      </c>
      <c r="E103" s="54" t="inlineStr">
        <is>
          <t>Plans tab</t>
        </is>
      </c>
      <c r="F103" t="inlineStr">
        <is>
          <t>Not Run</t>
        </is>
      </c>
    </row>
    <row r="104" ht="13.5" customHeight="1" s="38">
      <c r="A104" s="58" t="n"/>
      <c r="B104" s="58" t="n"/>
      <c r="C104" s="58" t="n"/>
      <c r="D104" s="58" t="n"/>
      <c r="E104" s="58" t="n"/>
      <c r="F104" s="58" t="n"/>
    </row>
    <row r="105" ht="27" customHeight="1" s="38">
      <c r="A105" s="54" t="inlineStr">
        <is>
          <t xml:space="preserve">Company </t>
        </is>
      </c>
      <c r="B105" s="54" t="n">
        <v>1</v>
      </c>
      <c r="C105" s="55" t="inlineStr">
        <is>
          <t>Verify if plan grid displayed</t>
        </is>
      </c>
      <c r="D105" s="57" t="inlineStr">
        <is>
          <t xml:space="preserve">1.Plans categories grid should display 
2. Added plan should display on the grid </t>
        </is>
      </c>
      <c r="E105" s="54" t="inlineStr">
        <is>
          <t>Company sub-tab</t>
        </is>
      </c>
      <c r="F105" t="inlineStr">
        <is>
          <t>Not Run</t>
        </is>
      </c>
    </row>
    <row r="106" ht="14.25" customHeight="1" s="38">
      <c r="B106" s="54" t="n">
        <v>2</v>
      </c>
      <c r="C106" s="55" t="inlineStr">
        <is>
          <t>Click filter plans</t>
        </is>
      </c>
      <c r="D106" s="55" t="inlineStr">
        <is>
          <t>Filter dropdown should display</t>
        </is>
      </c>
      <c r="E106" s="54" t="inlineStr">
        <is>
          <t>Company sub-tab</t>
        </is>
      </c>
      <c r="F106" t="inlineStr">
        <is>
          <t>Not Run</t>
        </is>
      </c>
    </row>
    <row r="107" ht="41.25" customHeight="1" s="38">
      <c r="B107" s="54" t="n">
        <v>3</v>
      </c>
      <c r="C107" s="55" t="inlineStr">
        <is>
          <t>Click "Select a filter" field</t>
        </is>
      </c>
      <c r="D107" s="57" t="inlineStr">
        <is>
          <t>1. Dropdown with options should display
2. Options displayed are the header columns on the grid</t>
        </is>
      </c>
      <c r="E107" s="54" t="inlineStr">
        <is>
          <t>Company sub-tab</t>
        </is>
      </c>
      <c r="F107" t="inlineStr">
        <is>
          <t>Not Run</t>
        </is>
      </c>
    </row>
    <row r="108" ht="27" customHeight="1" s="38">
      <c r="B108" s="54" t="n">
        <v>4</v>
      </c>
      <c r="C108" s="55" t="inlineStr">
        <is>
          <t>Verify if user able to select an option</t>
        </is>
      </c>
      <c r="D108" s="57" t="inlineStr">
        <is>
          <t>1. Selected option should reflect on the field
2. "Select a value" field should display</t>
        </is>
      </c>
      <c r="E108" s="54" t="inlineStr">
        <is>
          <t>Company sub-tab</t>
        </is>
      </c>
      <c r="F108" t="inlineStr">
        <is>
          <t>Not Run</t>
        </is>
      </c>
    </row>
    <row r="109" ht="41.25" customHeight="1" s="38">
      <c r="B109" s="54" t="n">
        <v>5</v>
      </c>
      <c r="C109" s="55" t="inlineStr">
        <is>
          <t>Click "Select a value"</t>
        </is>
      </c>
      <c r="D109" s="57" t="inlineStr">
        <is>
          <t xml:space="preserve">1. Dropdown with option should display
2. Options displayed is dependent on what value is selected on the first field </t>
        </is>
      </c>
      <c r="E109" s="54" t="inlineStr">
        <is>
          <t>Company sub-tab</t>
        </is>
      </c>
      <c r="F109" t="inlineStr">
        <is>
          <t>Not Run</t>
        </is>
      </c>
    </row>
    <row r="110" ht="41.25" customHeight="1" s="38">
      <c r="B110" s="54" t="n">
        <v>6</v>
      </c>
      <c r="C110" s="55" t="inlineStr">
        <is>
          <t>Verify if user able to select a value</t>
        </is>
      </c>
      <c r="D110" s="57" t="inlineStr">
        <is>
          <t>1.Selected value should reflect on the field
2. Selected value should reflect on the field
3. Add filter button should display</t>
        </is>
      </c>
      <c r="E110" s="54" t="inlineStr">
        <is>
          <t>Company sub-tab</t>
        </is>
      </c>
      <c r="F110" t="inlineStr">
        <is>
          <t>Not Run</t>
        </is>
      </c>
    </row>
    <row r="111" ht="27" customHeight="1" s="38">
      <c r="B111" s="54" t="n">
        <v>7</v>
      </c>
      <c r="C111" s="55" t="inlineStr">
        <is>
          <t>Click Add Filter button</t>
        </is>
      </c>
      <c r="D111" s="57" t="inlineStr">
        <is>
          <t xml:space="preserve"> Should create a new tab in users grid and should filter depending on the filter setup</t>
        </is>
      </c>
      <c r="E111" s="54" t="inlineStr">
        <is>
          <t>Company sub-tab</t>
        </is>
      </c>
      <c r="F111" t="inlineStr">
        <is>
          <t>Not Run</t>
        </is>
      </c>
    </row>
    <row r="112" ht="14.25" customHeight="1" s="38">
      <c r="B112" s="54" t="n">
        <v>8</v>
      </c>
      <c r="C112" s="55" t="inlineStr">
        <is>
          <t xml:space="preserve">Verify if user is able to search </t>
        </is>
      </c>
      <c r="D112" s="55" t="inlineStr">
        <is>
          <t xml:space="preserve">User should be able to search </t>
        </is>
      </c>
      <c r="E112" s="54" t="inlineStr">
        <is>
          <t>Company sub-tab</t>
        </is>
      </c>
      <c r="F112" t="inlineStr">
        <is>
          <t>Not Run</t>
        </is>
      </c>
    </row>
    <row r="113" ht="14.25" customHeight="1" s="38">
      <c r="B113" s="54" t="n">
        <v>9</v>
      </c>
      <c r="C113" s="55" t="inlineStr">
        <is>
          <t>Verify if able to export data</t>
        </is>
      </c>
      <c r="D113" s="55" t="inlineStr">
        <is>
          <t>Should be able to export data from the grid</t>
        </is>
      </c>
      <c r="E113" s="54" t="inlineStr">
        <is>
          <t>Company sub-tab</t>
        </is>
      </c>
      <c r="F113" t="inlineStr">
        <is>
          <t>Not Run</t>
        </is>
      </c>
    </row>
    <row r="114" ht="14.25" customHeight="1" s="38">
      <c r="B114" s="66" t="n">
        <v>10</v>
      </c>
      <c r="C114" s="37" t="inlineStr">
        <is>
          <t xml:space="preserve">Click new button </t>
        </is>
      </c>
      <c r="D114" s="37" t="inlineStr">
        <is>
          <t xml:space="preserve">New product modal should display </t>
        </is>
      </c>
      <c r="E114" s="54" t="inlineStr">
        <is>
          <t>Company sub-tab</t>
        </is>
      </c>
      <c r="F114" t="inlineStr">
        <is>
          <t>Not Run</t>
        </is>
      </c>
    </row>
    <row r="115" ht="14.25" customHeight="1" s="38">
      <c r="B115" s="66" t="n">
        <v>11</v>
      </c>
      <c r="C115" s="37" t="inlineStr">
        <is>
          <t xml:space="preserve">Click profile image section </t>
        </is>
      </c>
      <c r="D115" s="37" t="inlineStr">
        <is>
          <t>Should open file explorer</t>
        </is>
      </c>
      <c r="E115" s="54" t="inlineStr">
        <is>
          <t>Company sub-tab</t>
        </is>
      </c>
      <c r="F115" t="inlineStr">
        <is>
          <t>Not Run</t>
        </is>
      </c>
    </row>
    <row r="116" ht="14.25" customHeight="1" s="38">
      <c r="B116" s="66" t="n">
        <v>12</v>
      </c>
      <c r="C116" s="55" t="inlineStr">
        <is>
          <t xml:space="preserve">Select an image and click open button </t>
        </is>
      </c>
      <c r="D116" s="57" t="inlineStr">
        <is>
          <t xml:space="preserve">Selected image should reflect in profile image section </t>
        </is>
      </c>
      <c r="E116" s="54" t="inlineStr">
        <is>
          <t>Company sub-tab</t>
        </is>
      </c>
      <c r="F116" t="inlineStr">
        <is>
          <t>Not Run</t>
        </is>
      </c>
    </row>
    <row r="117" ht="14.25" customHeight="1" s="38">
      <c r="B117" s="66" t="n">
        <v>13</v>
      </c>
      <c r="C117" s="37" t="inlineStr">
        <is>
          <t>Input product barcode</t>
        </is>
      </c>
      <c r="D117" s="37" t="inlineStr">
        <is>
          <t xml:space="preserve">Inputted barcode should reflect on the field </t>
        </is>
      </c>
      <c r="E117" s="54" t="inlineStr">
        <is>
          <t>Company sub-tab</t>
        </is>
      </c>
      <c r="F117" t="inlineStr">
        <is>
          <t>Not Run</t>
        </is>
      </c>
    </row>
    <row r="118" ht="14.25" customHeight="1" s="38">
      <c r="B118" s="66" t="n">
        <v>14</v>
      </c>
      <c r="C118" s="37" t="inlineStr">
        <is>
          <t xml:space="preserve">Input product name </t>
        </is>
      </c>
      <c r="D118" s="37" t="inlineStr">
        <is>
          <t xml:space="preserve">Inputted name should reflect on the field </t>
        </is>
      </c>
      <c r="E118" s="54" t="inlineStr">
        <is>
          <t>Company sub-tab</t>
        </is>
      </c>
      <c r="F118" t="inlineStr">
        <is>
          <t>Not Run</t>
        </is>
      </c>
    </row>
    <row r="119" ht="41.25" customHeight="1" s="38">
      <c r="B119" s="66" t="n">
        <v>15</v>
      </c>
      <c r="C119" s="55" t="inlineStr">
        <is>
          <t xml:space="preserve">Click plan field </t>
        </is>
      </c>
      <c r="D119" s="56" t="inlineStr">
        <is>
          <t xml:space="preserve">1. Dropdown with plan options should display
2. Displayed options are the plans added to the company </t>
        </is>
      </c>
      <c r="E119" s="54" t="inlineStr">
        <is>
          <t>Company sub-tab</t>
        </is>
      </c>
      <c r="F119" t="inlineStr">
        <is>
          <t>Not Run</t>
        </is>
      </c>
    </row>
    <row r="120" ht="14.25" customHeight="1" s="38">
      <c r="B120" s="66" t="n">
        <v>16</v>
      </c>
      <c r="C120" s="37" t="inlineStr">
        <is>
          <t xml:space="preserve">Select a plan option </t>
        </is>
      </c>
      <c r="D120" s="37" t="inlineStr">
        <is>
          <t xml:space="preserve">Selected option should reflect on the field </t>
        </is>
      </c>
      <c r="E120" s="54" t="inlineStr">
        <is>
          <t>Company sub-tab</t>
        </is>
      </c>
      <c r="F120" t="inlineStr">
        <is>
          <t>Not Run</t>
        </is>
      </c>
    </row>
    <row r="121" ht="54.75" customHeight="1" s="38">
      <c r="B121" s="66" t="n">
        <v>17</v>
      </c>
      <c r="C121" s="55" t="inlineStr">
        <is>
          <t xml:space="preserve">Click device categories field </t>
        </is>
      </c>
      <c r="D121" s="56" t="inlineStr">
        <is>
          <t xml:space="preserve">1. Dropdown with device categories options should display
2. Device categories are the active records from the main menu </t>
        </is>
      </c>
      <c r="E121" s="54" t="inlineStr">
        <is>
          <t>Company sub-tab</t>
        </is>
      </c>
      <c r="F121" t="inlineStr">
        <is>
          <t>Not Run</t>
        </is>
      </c>
    </row>
    <row r="122" ht="14.25" customHeight="1" s="38">
      <c r="B122" s="66" t="n">
        <v>18</v>
      </c>
      <c r="C122" s="37" t="inlineStr">
        <is>
          <t xml:space="preserve">Select a device category option </t>
        </is>
      </c>
      <c r="D122" s="37" t="inlineStr">
        <is>
          <t xml:space="preserve">Selected option should reflect on the field </t>
        </is>
      </c>
      <c r="E122" s="54" t="inlineStr">
        <is>
          <t>Company sub-tab</t>
        </is>
      </c>
      <c r="F122" t="inlineStr">
        <is>
          <t>Not Run</t>
        </is>
      </c>
    </row>
    <row r="123" ht="14.25" customHeight="1" s="38">
      <c r="B123" s="66" t="n">
        <v>19</v>
      </c>
      <c r="C123" s="37" t="inlineStr">
        <is>
          <t xml:space="preserve">Click product category field </t>
        </is>
      </c>
      <c r="D123" s="37" t="inlineStr">
        <is>
          <t>Dropdown with product category options should display</t>
        </is>
      </c>
      <c r="E123" s="54" t="inlineStr">
        <is>
          <t>Company sub-tab</t>
        </is>
      </c>
      <c r="F123" t="inlineStr">
        <is>
          <t>Not Run</t>
        </is>
      </c>
    </row>
    <row r="124" ht="14.25" customHeight="1" s="38">
      <c r="B124" s="66" t="n">
        <v>20</v>
      </c>
      <c r="C124" s="37" t="inlineStr">
        <is>
          <t xml:space="preserve">Select an option </t>
        </is>
      </c>
      <c r="D124" s="37" t="inlineStr">
        <is>
          <t xml:space="preserve">Selected option should reflect on the field </t>
        </is>
      </c>
      <c r="E124" s="54" t="inlineStr">
        <is>
          <t>Company sub-tab</t>
        </is>
      </c>
      <c r="F124" t="inlineStr">
        <is>
          <t>Not Run</t>
        </is>
      </c>
    </row>
    <row r="125" ht="14.25" customHeight="1" s="38">
      <c r="B125" s="66" t="n">
        <v>21</v>
      </c>
      <c r="C125" s="37" t="inlineStr">
        <is>
          <t xml:space="preserve">Input agreement </t>
        </is>
      </c>
      <c r="D125" s="37" t="inlineStr">
        <is>
          <t xml:space="preserve">Inputted agreement should reflect on the field </t>
        </is>
      </c>
      <c r="E125" s="54" t="inlineStr">
        <is>
          <t>Company sub-tab</t>
        </is>
      </c>
      <c r="F125" t="inlineStr">
        <is>
          <t>Not Run</t>
        </is>
      </c>
    </row>
    <row r="126" ht="14.25" customHeight="1" s="38">
      <c r="B126" s="66" t="n">
        <v>22</v>
      </c>
      <c r="C126" s="37" t="inlineStr">
        <is>
          <t>Select a workflow to bypass</t>
        </is>
      </c>
      <c r="D126" s="37" t="inlineStr">
        <is>
          <t>Should be able to seelct a workflow to bypass</t>
        </is>
      </c>
      <c r="E126" s="54" t="inlineStr">
        <is>
          <t>Company sub-tab</t>
        </is>
      </c>
      <c r="F126" t="inlineStr">
        <is>
          <t>Not Run</t>
        </is>
      </c>
    </row>
    <row r="127" ht="27" customHeight="1" s="38">
      <c r="B127" s="54" t="n">
        <v>23</v>
      </c>
      <c r="C127" s="55" t="inlineStr">
        <is>
          <t xml:space="preserve">Clcik save and continue button </t>
        </is>
      </c>
      <c r="D127" s="56" t="inlineStr">
        <is>
          <t xml:space="preserve">1. Modal should close 
2. Added product should display on the product grid </t>
        </is>
      </c>
      <c r="E127" s="54" t="inlineStr">
        <is>
          <t>Company sub-tab</t>
        </is>
      </c>
      <c r="F127" t="inlineStr">
        <is>
          <t>Not Run</t>
        </is>
      </c>
    </row>
    <row r="128" ht="14.25" customHeight="1" s="38">
      <c r="B128" s="54" t="n">
        <v>24</v>
      </c>
      <c r="C128" s="37" t="inlineStr">
        <is>
          <t xml:space="preserve">Clcik a product record </t>
        </is>
      </c>
      <c r="D128" s="37" t="inlineStr">
        <is>
          <t xml:space="preserve">Should route to its record </t>
        </is>
      </c>
      <c r="E128" s="54" t="inlineStr">
        <is>
          <t>Company sub-tab</t>
        </is>
      </c>
      <c r="F128" t="inlineStr">
        <is>
          <t>Not Run</t>
        </is>
      </c>
    </row>
    <row r="129" ht="14.25" customHeight="1" s="38">
      <c r="B129" s="54" t="n">
        <v>25</v>
      </c>
      <c r="C129" s="37" t="inlineStr">
        <is>
          <t>Verify if product details displayed</t>
        </is>
      </c>
      <c r="D129" s="37" t="inlineStr">
        <is>
          <t xml:space="preserve">Product details during its creation should display </t>
        </is>
      </c>
      <c r="E129" s="54" t="inlineStr">
        <is>
          <t>Company sub-tab</t>
        </is>
      </c>
      <c r="F129" t="inlineStr">
        <is>
          <t>Not Run</t>
        </is>
      </c>
    </row>
    <row r="130" ht="14.25" customHeight="1" s="38">
      <c r="B130" s="54" t="n">
        <v>26</v>
      </c>
      <c r="C130" s="37" t="inlineStr">
        <is>
          <t xml:space="preserve">Click batches tab </t>
        </is>
      </c>
      <c r="D130" s="37" t="inlineStr">
        <is>
          <t xml:space="preserve">Should route to batches page </t>
        </is>
      </c>
      <c r="E130" s="54" t="inlineStr">
        <is>
          <t>Company sub-tab</t>
        </is>
      </c>
      <c r="F130" t="inlineStr">
        <is>
          <t>Not Run</t>
        </is>
      </c>
    </row>
    <row r="131" ht="27" customHeight="1" s="38">
      <c r="B131" s="54" t="n">
        <v>27</v>
      </c>
      <c r="C131" s="56" t="inlineStr">
        <is>
          <t>Verify if batches where the product is added displayed on the grid</t>
        </is>
      </c>
      <c r="D131" s="56" t="inlineStr">
        <is>
          <t xml:space="preserve">Batches where the product was added should display on the grid </t>
        </is>
      </c>
      <c r="E131" s="54" t="inlineStr">
        <is>
          <t>Company sub-tab</t>
        </is>
      </c>
      <c r="F131" t="inlineStr">
        <is>
          <t>Not Run</t>
        </is>
      </c>
    </row>
    <row r="132" ht="14.25" customHeight="1" s="38">
      <c r="B132" s="54" t="n">
        <v>28</v>
      </c>
      <c r="C132" s="37" t="inlineStr">
        <is>
          <t xml:space="preserve">Click  review questions </t>
        </is>
      </c>
      <c r="D132" s="37" t="inlineStr">
        <is>
          <t xml:space="preserve">Should route to review questions page </t>
        </is>
      </c>
      <c r="E132" s="54" t="inlineStr">
        <is>
          <t>Company sub-tab</t>
        </is>
      </c>
      <c r="F132" t="inlineStr">
        <is>
          <t>Not Run</t>
        </is>
      </c>
    </row>
    <row r="133" ht="14.25" customHeight="1" s="38">
      <c r="B133" s="54" t="n">
        <v>29</v>
      </c>
      <c r="C133" s="37" t="inlineStr">
        <is>
          <t xml:space="preserve">Clcik add button </t>
        </is>
      </c>
      <c r="D133" s="37" t="inlineStr">
        <is>
          <t xml:space="preserve">Add review question modal should display </t>
        </is>
      </c>
      <c r="E133" s="54" t="inlineStr">
        <is>
          <t>Company sub-tab</t>
        </is>
      </c>
      <c r="F133" t="inlineStr">
        <is>
          <t>Not Run</t>
        </is>
      </c>
    </row>
    <row r="134" ht="27" customHeight="1" s="38">
      <c r="B134" s="54" t="n">
        <v>30</v>
      </c>
      <c r="C134" s="55" t="inlineStr">
        <is>
          <t xml:space="preserve">Select review questions </t>
        </is>
      </c>
      <c r="D134" s="56" t="inlineStr">
        <is>
          <t xml:space="preserve">1. Should be able to select review questions 
2. Add selected button should enable </t>
        </is>
      </c>
      <c r="E134" s="54" t="inlineStr">
        <is>
          <t>Company sub-tab</t>
        </is>
      </c>
      <c r="F134" t="inlineStr">
        <is>
          <t>Not Run</t>
        </is>
      </c>
    </row>
    <row r="135" ht="27" customHeight="1" s="38">
      <c r="B135" s="54" t="n">
        <v>31</v>
      </c>
      <c r="C135" s="37" t="inlineStr">
        <is>
          <t xml:space="preserve">Click add selected button </t>
        </is>
      </c>
      <c r="D135" s="56" t="inlineStr">
        <is>
          <t xml:space="preserve">1. Modal should close 
2. Added review question should display on the grid </t>
        </is>
      </c>
      <c r="E135" s="54" t="inlineStr">
        <is>
          <t>Company sub-tab</t>
        </is>
      </c>
      <c r="F135" t="inlineStr">
        <is>
          <t>Not Run</t>
        </is>
      </c>
    </row>
    <row r="136" ht="27" customHeight="1" s="38">
      <c r="B136" s="54" t="n">
        <v>32</v>
      </c>
      <c r="C136" s="37" t="inlineStr">
        <is>
          <t xml:space="preserve">Click shop set-up tab </t>
        </is>
      </c>
      <c r="D136" s="56" t="inlineStr">
        <is>
          <t xml:space="preserve">Should route to shop set-up page 
NOTE: shop set-up is used in remarketing </t>
        </is>
      </c>
      <c r="E136" s="54" t="inlineStr">
        <is>
          <t>Company sub-tab</t>
        </is>
      </c>
      <c r="F136" t="inlineStr">
        <is>
          <t>Not Run</t>
        </is>
      </c>
    </row>
    <row r="137" ht="69" customHeight="1" s="38">
      <c r="B137" s="54" t="n">
        <v>33</v>
      </c>
      <c r="C137" s="55" t="inlineStr">
        <is>
          <t>Verify if Order flow displayed</t>
        </is>
      </c>
      <c r="D137" s="56" t="inlineStr">
        <is>
          <t>1. Order flow section should display
2. On this section there should be two itesm that should display:
-Claim 
-Remarketing</t>
        </is>
      </c>
      <c r="E137" s="54" t="inlineStr">
        <is>
          <t>Company sub-tab</t>
        </is>
      </c>
      <c r="F137" t="inlineStr">
        <is>
          <t>Not Run</t>
        </is>
      </c>
    </row>
    <row r="138" ht="14.25" customHeight="1" s="38">
      <c r="B138" s="54" t="n">
        <v>34</v>
      </c>
      <c r="C138" s="37" t="inlineStr">
        <is>
          <t>Select order flow</t>
        </is>
      </c>
      <c r="D138" s="37" t="inlineStr">
        <is>
          <t xml:space="preserve">Selected option/s should be checked </t>
        </is>
      </c>
      <c r="E138" s="54" t="inlineStr">
        <is>
          <t>Company sub-tab</t>
        </is>
      </c>
      <c r="F138" t="inlineStr">
        <is>
          <t>Not Run</t>
        </is>
      </c>
    </row>
    <row r="139" ht="14.25" customHeight="1" s="38">
      <c r="B139" s="54" t="n">
        <v>35</v>
      </c>
      <c r="C139" s="37" t="inlineStr">
        <is>
          <t xml:space="preserve">Click select all devices </t>
        </is>
      </c>
      <c r="D139" s="37" t="inlineStr">
        <is>
          <t xml:space="preserve">All devices should display on the device list field </t>
        </is>
      </c>
      <c r="E139" s="54" t="inlineStr">
        <is>
          <t>Company sub-tab</t>
        </is>
      </c>
      <c r="F139" t="inlineStr">
        <is>
          <t>Not Run</t>
        </is>
      </c>
    </row>
    <row r="140" ht="27" customHeight="1" s="38">
      <c r="B140" s="54" t="n">
        <v>36</v>
      </c>
      <c r="C140" s="56" t="inlineStr">
        <is>
          <t xml:space="preserve">When select all device is not checked, and user only selected specific devices from the device list </t>
        </is>
      </c>
      <c r="D140" s="55" t="inlineStr">
        <is>
          <t xml:space="preserve">Selected specific devices should reflect on the field </t>
        </is>
      </c>
      <c r="E140" s="54" t="inlineStr">
        <is>
          <t>Company sub-tab</t>
        </is>
      </c>
      <c r="F140" t="inlineStr">
        <is>
          <t>Not Run</t>
        </is>
      </c>
    </row>
    <row r="141" ht="41.25" customHeight="1" s="38">
      <c r="B141" s="54" t="n">
        <v>37</v>
      </c>
      <c r="C141" s="55" t="inlineStr">
        <is>
          <t xml:space="preserve">Verify if associated products section displayed </t>
        </is>
      </c>
      <c r="D141" s="56" t="inlineStr">
        <is>
          <t>Following fields should display on this section:
1. Product category
2. Products</t>
        </is>
      </c>
      <c r="E141" s="54" t="inlineStr">
        <is>
          <t>Company sub-tab</t>
        </is>
      </c>
      <c r="F141" t="inlineStr">
        <is>
          <t>Not Run</t>
        </is>
      </c>
    </row>
    <row r="142" ht="14.25" customHeight="1" s="38">
      <c r="B142" s="54" t="n">
        <v>38</v>
      </c>
      <c r="C142" s="37" t="inlineStr">
        <is>
          <t xml:space="preserve">Clcik product category field </t>
        </is>
      </c>
      <c r="D142" s="37" t="inlineStr">
        <is>
          <t>Dropdown with product category options should display</t>
        </is>
      </c>
      <c r="E142" s="54" t="inlineStr">
        <is>
          <t>Company sub-tab</t>
        </is>
      </c>
      <c r="F142" t="inlineStr">
        <is>
          <t>Not Run</t>
        </is>
      </c>
    </row>
    <row r="143" ht="14.25" customHeight="1" s="38">
      <c r="B143" s="54" t="n">
        <v>39</v>
      </c>
      <c r="C143" s="37" t="inlineStr">
        <is>
          <t xml:space="preserve">Select an option </t>
        </is>
      </c>
      <c r="D143" s="37" t="inlineStr">
        <is>
          <t xml:space="preserve">Selected option should reflect on the field </t>
        </is>
      </c>
      <c r="E143" s="54" t="inlineStr">
        <is>
          <t>Company sub-tab</t>
        </is>
      </c>
      <c r="F143" t="inlineStr">
        <is>
          <t>Not Run</t>
        </is>
      </c>
    </row>
    <row r="144" ht="69" customHeight="1" s="38">
      <c r="B144" s="54" t="n">
        <v>40</v>
      </c>
      <c r="C144" s="55" t="inlineStr">
        <is>
          <t xml:space="preserve">Click products field </t>
        </is>
      </c>
      <c r="D144" s="56" t="inlineStr">
        <is>
          <t xml:space="preserve">1. Dropdown with options should display 
2. Options displayed will depend on what category was selected 
3. Products that will display are those having a category that was selected in product category field </t>
        </is>
      </c>
      <c r="E144" s="54" t="inlineStr">
        <is>
          <t>Company sub-tab</t>
        </is>
      </c>
      <c r="F144" t="inlineStr">
        <is>
          <t>Not Run</t>
        </is>
      </c>
    </row>
    <row r="145" ht="27" customHeight="1" s="38">
      <c r="B145" s="54" t="n">
        <v>41</v>
      </c>
      <c r="C145" s="55" t="inlineStr">
        <is>
          <t xml:space="preserve">Click add product button </t>
        </is>
      </c>
      <c r="D145" s="56" t="inlineStr">
        <is>
          <t>A new product category and product field should display</t>
        </is>
      </c>
      <c r="E145" s="54" t="inlineStr">
        <is>
          <t>Company sub-tab</t>
        </is>
      </c>
      <c r="F145" t="inlineStr">
        <is>
          <t>Not Run</t>
        </is>
      </c>
    </row>
    <row r="146" ht="14.25" customHeight="1" s="38">
      <c r="B146" s="54" t="n">
        <v>42</v>
      </c>
      <c r="C146" s="37" t="inlineStr">
        <is>
          <t xml:space="preserve">Click remove button </t>
        </is>
      </c>
      <c r="D146" s="37" t="inlineStr">
        <is>
          <t xml:space="preserve">Selected product will be removed </t>
        </is>
      </c>
      <c r="E146" s="54" t="inlineStr">
        <is>
          <t>Company sub-tab</t>
        </is>
      </c>
      <c r="F146" t="inlineStr">
        <is>
          <t>Not Run</t>
        </is>
      </c>
    </row>
    <row r="147" ht="14.25" customHeight="1" s="38">
      <c r="B147" s="54" t="n">
        <v>43</v>
      </c>
      <c r="C147" s="37" t="inlineStr">
        <is>
          <t xml:space="preserve">Verify if product order details section displayed </t>
        </is>
      </c>
      <c r="D147" s="37" t="inlineStr">
        <is>
          <t xml:space="preserve">Product order section should display </t>
        </is>
      </c>
      <c r="E147" s="54" t="inlineStr">
        <is>
          <t>Company sub-tab</t>
        </is>
      </c>
      <c r="F147" t="inlineStr">
        <is>
          <t>Not Run</t>
        </is>
      </c>
    </row>
    <row r="148" ht="14.25" customHeight="1" s="38">
      <c r="B148" s="54" t="n">
        <v>44</v>
      </c>
      <c r="C148" s="37" t="inlineStr">
        <is>
          <t xml:space="preserve">Input original price </t>
        </is>
      </c>
      <c r="D148" s="37" t="inlineStr">
        <is>
          <t xml:space="preserve">Inputted originla price should reflect on the field </t>
        </is>
      </c>
      <c r="E148" s="54" t="inlineStr">
        <is>
          <t>Company sub-tab</t>
        </is>
      </c>
      <c r="F148" t="inlineStr">
        <is>
          <t>Not Run</t>
        </is>
      </c>
    </row>
    <row r="149" ht="27" customHeight="1" s="38">
      <c r="B149" s="54" t="n">
        <v>45</v>
      </c>
      <c r="C149" s="55" t="inlineStr">
        <is>
          <t xml:space="preserve">Click discount type field </t>
        </is>
      </c>
      <c r="D149" s="56" t="inlineStr">
        <is>
          <t xml:space="preserve">Should display fix and percentage options on a dropdown </t>
        </is>
      </c>
      <c r="E149" s="54" t="inlineStr">
        <is>
          <t>Company sub-tab</t>
        </is>
      </c>
      <c r="F149" t="inlineStr">
        <is>
          <t>Not Run</t>
        </is>
      </c>
    </row>
    <row r="150" ht="14.25" customHeight="1" s="38">
      <c r="B150" s="54" t="n">
        <v>46</v>
      </c>
      <c r="C150" s="37" t="inlineStr">
        <is>
          <t xml:space="preserve">Select discount type option </t>
        </is>
      </c>
      <c r="D150" s="37" t="inlineStr">
        <is>
          <t xml:space="preserve">Selected option should reflect on the field </t>
        </is>
      </c>
      <c r="E150" s="54" t="inlineStr">
        <is>
          <t>Company sub-tab</t>
        </is>
      </c>
      <c r="F150" t="inlineStr">
        <is>
          <t>Not Run</t>
        </is>
      </c>
    </row>
    <row r="151" ht="14.25" customHeight="1" s="38">
      <c r="B151" s="54" t="n">
        <v>47</v>
      </c>
      <c r="C151" s="37" t="inlineStr">
        <is>
          <t xml:space="preserve">Input discount value </t>
        </is>
      </c>
      <c r="D151" s="37" t="inlineStr">
        <is>
          <t xml:space="preserve">Inputted discount value should reflect on the field </t>
        </is>
      </c>
      <c r="E151" s="54" t="inlineStr">
        <is>
          <t>Company sub-tab</t>
        </is>
      </c>
      <c r="F151" t="inlineStr">
        <is>
          <t>Not Run</t>
        </is>
      </c>
    </row>
    <row r="152" ht="14.25" customHeight="1" s="38">
      <c r="B152" s="54" t="n">
        <v>48</v>
      </c>
      <c r="C152" s="37" t="inlineStr">
        <is>
          <t xml:space="preserve">Input shipping and handling </t>
        </is>
      </c>
      <c r="D152" s="37" t="inlineStr">
        <is>
          <t xml:space="preserve">Inputted value should reflect on the field </t>
        </is>
      </c>
      <c r="E152" s="54" t="inlineStr">
        <is>
          <t>Company sub-tab</t>
        </is>
      </c>
      <c r="F152" t="inlineStr">
        <is>
          <t>Not Run</t>
        </is>
      </c>
    </row>
    <row r="153" ht="14.25" customHeight="1" s="38">
      <c r="B153" s="54" t="n">
        <v>49</v>
      </c>
      <c r="C153" s="37" t="inlineStr">
        <is>
          <t xml:space="preserve">Input maximum order quantity </t>
        </is>
      </c>
      <c r="D153" s="37" t="inlineStr">
        <is>
          <t xml:space="preserve">Inputted value should reflect on the field </t>
        </is>
      </c>
      <c r="E153" s="54" t="inlineStr">
        <is>
          <t>Company sub-tab</t>
        </is>
      </c>
      <c r="F153" t="inlineStr">
        <is>
          <t>Not Run</t>
        </is>
      </c>
    </row>
    <row r="154" ht="14.25" customHeight="1" s="38">
      <c r="B154" s="54" t="n">
        <v>50</v>
      </c>
      <c r="C154" s="37" t="inlineStr">
        <is>
          <t xml:space="preserve">Input product description </t>
        </is>
      </c>
      <c r="D154" s="37" t="inlineStr">
        <is>
          <t xml:space="preserve">Inputted description should reflect on the editor </t>
        </is>
      </c>
      <c r="E154" s="54" t="inlineStr">
        <is>
          <t>Company sub-tab</t>
        </is>
      </c>
      <c r="F154" t="inlineStr">
        <is>
          <t>Not Run</t>
        </is>
      </c>
    </row>
    <row r="155" ht="13.5" customHeight="1" s="38">
      <c r="B155" s="54" t="n">
        <v>51</v>
      </c>
      <c r="C155" s="37" t="inlineStr">
        <is>
          <t xml:space="preserve">Clcik save button </t>
        </is>
      </c>
      <c r="D155" s="37" t="inlineStr">
        <is>
          <t xml:space="preserve">All inputted data/details should be saved </t>
        </is>
      </c>
      <c r="E155" s="37" t="inlineStr">
        <is>
          <t>Company sub-tab</t>
        </is>
      </c>
      <c r="F155" t="inlineStr">
        <is>
          <t>Not Run</t>
        </is>
      </c>
    </row>
    <row r="156" ht="13.5" customHeight="1" s="38">
      <c r="A156" s="58" t="n"/>
      <c r="B156" s="58" t="n"/>
      <c r="C156" s="58" t="n"/>
      <c r="D156" s="58" t="n"/>
      <c r="E156" s="58" t="n"/>
      <c r="F156" s="58" t="n"/>
    </row>
    <row r="157" ht="14.25" customHeight="1" s="38">
      <c r="A157" s="54" t="inlineStr">
        <is>
          <t>Timeline</t>
        </is>
      </c>
      <c r="B157" s="54" t="n">
        <v>1</v>
      </c>
      <c r="C157" s="37" t="inlineStr">
        <is>
          <t>Click filter repair shops</t>
        </is>
      </c>
      <c r="D157" s="37" t="inlineStr">
        <is>
          <t>Filter dropdown should display</t>
        </is>
      </c>
      <c r="E157" s="54" t="inlineStr">
        <is>
          <t>Not executed in this automated pass (record sub-tab did not load / step is data-dependent) — feature present in UI; recommend manual/next-run verification.</t>
        </is>
      </c>
      <c r="F157" t="inlineStr">
        <is>
          <t>Not Run</t>
        </is>
      </c>
    </row>
    <row r="158" ht="165" customHeight="1" s="38">
      <c r="B158" s="54" t="n">
        <v>2</v>
      </c>
      <c r="C158" s="55" t="inlineStr">
        <is>
          <t>Click "Select a filter" field</t>
        </is>
      </c>
      <c r="D158" s="56" t="inlineStr">
        <is>
          <t>1. Dropdown with options should display
2. Options displayed are the header columns on the grid
-Email
-First Name
-Last Name
-Role
-Allow Device Buyback
-Company
-User Type
-Affiliate
-Status</t>
        </is>
      </c>
      <c r="E158" s="54" t="inlineStr">
        <is>
          <t>Not executed in this automated pass (record sub-tab did not load / step is data-dependent) — feature present in UI; recommend manual/next-run verification.</t>
        </is>
      </c>
      <c r="F158" t="inlineStr">
        <is>
          <t>Not Run</t>
        </is>
      </c>
    </row>
    <row r="159" ht="27" customHeight="1" s="38">
      <c r="B159" s="54" t="n">
        <v>3</v>
      </c>
      <c r="C159" s="55" t="inlineStr">
        <is>
          <t>Verify if user able to select an option</t>
        </is>
      </c>
      <c r="D159" s="56" t="inlineStr">
        <is>
          <t>1. Selected option should reflect on the field
2. "Select a value" field should display</t>
        </is>
      </c>
      <c r="E159" s="54" t="inlineStr">
        <is>
          <t>Not executed in this automated pass (record sub-tab did not load / step is data-dependent) — feature present in UI; recommend manual/next-run verification.</t>
        </is>
      </c>
      <c r="F159" t="inlineStr">
        <is>
          <t>Not Run</t>
        </is>
      </c>
    </row>
    <row r="160" ht="41.25" customHeight="1" s="38">
      <c r="B160" s="54" t="n">
        <v>4</v>
      </c>
      <c r="C160" s="55" t="inlineStr">
        <is>
          <t>Click "Select a value"</t>
        </is>
      </c>
      <c r="D160" s="56" t="inlineStr">
        <is>
          <t xml:space="preserve">1. Dropdown with option should display
2. Options displayed is dependent on what value is selected on the first field </t>
        </is>
      </c>
      <c r="E160" s="54" t="inlineStr">
        <is>
          <t>Not executed in this automated pass (record sub-tab did not load / step is data-dependent) — feature present in UI; recommend manual/next-run verification.</t>
        </is>
      </c>
      <c r="F160" t="inlineStr">
        <is>
          <t>Not Run</t>
        </is>
      </c>
    </row>
    <row r="161" ht="41.25" customHeight="1" s="38">
      <c r="B161" s="54" t="n">
        <v>5</v>
      </c>
      <c r="C161" s="55" t="inlineStr">
        <is>
          <t>Verify if user able to select a value</t>
        </is>
      </c>
      <c r="D161" s="56" t="inlineStr">
        <is>
          <t>1.Selected value should reflect on the field
2. Selected value should reflect on the field
3. Add filter button should display</t>
        </is>
      </c>
      <c r="E161" s="54" t="inlineStr">
        <is>
          <t>Not executed in this automated pass (record sub-tab did not load / step is data-dependent) — feature present in UI; recommend manual/next-run verification.</t>
        </is>
      </c>
      <c r="F161" t="inlineStr">
        <is>
          <t>Not Run</t>
        </is>
      </c>
    </row>
    <row r="162" ht="27" customHeight="1" s="38">
      <c r="B162" s="54" t="n">
        <v>6</v>
      </c>
      <c r="C162" s="55" t="inlineStr">
        <is>
          <t>Click Add Filter button</t>
        </is>
      </c>
      <c r="D162" s="56" t="inlineStr">
        <is>
          <t xml:space="preserve"> Should create a new tab in users grid and should filter depending on the filter setup</t>
        </is>
      </c>
      <c r="E162" s="54" t="inlineStr">
        <is>
          <t>Not executed in this automated pass (record sub-tab did not load / step is data-dependent) — feature present in UI; recommend manual/next-run verification.</t>
        </is>
      </c>
      <c r="F162" t="inlineStr">
        <is>
          <t>Not Run</t>
        </is>
      </c>
    </row>
    <row r="163" ht="14.25" customHeight="1" s="38">
      <c r="B163" s="54" t="n">
        <v>7</v>
      </c>
      <c r="C163" s="37" t="inlineStr">
        <is>
          <t xml:space="preserve">Verify if user is able to search </t>
        </is>
      </c>
      <c r="D163" s="37" t="inlineStr">
        <is>
          <t xml:space="preserve">User should be able to search </t>
        </is>
      </c>
      <c r="E163" s="54" t="inlineStr">
        <is>
          <t>Not executed in this automated pass (record sub-tab did not load / step is data-dependent) — feature present in UI; recommend manual/next-run verification.</t>
        </is>
      </c>
      <c r="F163" t="inlineStr">
        <is>
          <t>Not Run</t>
        </is>
      </c>
    </row>
    <row r="164" ht="27" customHeight="1" s="38">
      <c r="B164" s="54" t="n">
        <v>8</v>
      </c>
      <c r="C164" s="56" t="inlineStr">
        <is>
          <t>Verify if all actions, isertions, updates the user did on the record displayed in timeline tab</t>
        </is>
      </c>
      <c r="D164" s="57" t="inlineStr">
        <is>
          <t xml:space="preserve">Should create a record in timeline tab all the actions the user did </t>
        </is>
      </c>
      <c r="E164" s="54" t="inlineStr">
        <is>
          <t>Not executed in this automated pass (record sub-tab did not load / step is data-dependent) — feature present in UI; recommend manual/next-run verification.</t>
        </is>
      </c>
      <c r="F164" t="inlineStr">
        <is>
          <t>Not Run</t>
        </is>
      </c>
    </row>
    <row r="165" ht="13.5" customHeight="1" s="38">
      <c r="A165" s="58" t="n"/>
      <c r="B165" s="58" t="n"/>
      <c r="C165" s="58" t="n"/>
      <c r="D165" s="58" t="n"/>
      <c r="E165" s="58" t="n"/>
      <c r="F165" s="58" t="n"/>
    </row>
    <row r="166" ht="14.25" customHeight="1" s="38">
      <c r="A166" s="54" t="inlineStr">
        <is>
          <t>Notes</t>
        </is>
      </c>
      <c r="B166" s="54" t="n">
        <v>1</v>
      </c>
      <c r="C166" s="37" t="inlineStr">
        <is>
          <t>Verify if New button is working</t>
        </is>
      </c>
      <c r="D166" s="37" t="inlineStr">
        <is>
          <t xml:space="preserve">New note modal should display </t>
        </is>
      </c>
      <c r="E166" s="54" t="inlineStr">
        <is>
          <t>Not executed in this automated pass (record sub-tab did not load / step is data-dependent) — feature present in UI; recommend manual/next-run verification.</t>
        </is>
      </c>
      <c r="F166" t="inlineStr">
        <is>
          <t>Not Run</t>
        </is>
      </c>
    </row>
    <row r="167" ht="14.25" customHeight="1" s="38">
      <c r="B167" s="54" t="n">
        <v>2</v>
      </c>
      <c r="C167" s="37" t="inlineStr">
        <is>
          <t>Verify if user able to input in title field</t>
        </is>
      </c>
      <c r="D167" s="37" t="inlineStr">
        <is>
          <t xml:space="preserve">Should be able to input on the field </t>
        </is>
      </c>
      <c r="E167" s="54" t="inlineStr">
        <is>
          <t>Not executed in this automated pass (record sub-tab did not load / step is data-dependent) — feature present in UI; recommend manual/next-run verification.</t>
        </is>
      </c>
      <c r="F167" t="inlineStr">
        <is>
          <t>Not Run</t>
        </is>
      </c>
    </row>
    <row r="168" ht="27" customHeight="1" s="38">
      <c r="B168" s="54" t="n">
        <v>3</v>
      </c>
      <c r="C168" s="56" t="inlineStr">
        <is>
          <t xml:space="preserve">Verify if user able to input on the message/content box </t>
        </is>
      </c>
      <c r="D168" s="56" t="inlineStr">
        <is>
          <t>Should be able to input on the content/message box</t>
        </is>
      </c>
      <c r="E168" s="54" t="inlineStr">
        <is>
          <t>Not executed in this automated pass (record sub-tab did not load / step is data-dependent) — feature present in UI; recommend manual/next-run verification.</t>
        </is>
      </c>
      <c r="F168" t="inlineStr">
        <is>
          <t>Not Run</t>
        </is>
      </c>
    </row>
    <row r="169" ht="27" customHeight="1" s="38">
      <c r="B169" s="54" t="n">
        <v>4</v>
      </c>
      <c r="C169" s="55" t="inlineStr">
        <is>
          <t>Click Save and Close button</t>
        </is>
      </c>
      <c r="D169" s="56" t="inlineStr">
        <is>
          <t>1. Modal should close
2. Created note should display on the grid</t>
        </is>
      </c>
      <c r="E169" s="54" t="inlineStr">
        <is>
          <t>Not executed in this automated pass (record sub-tab did not load / step is data-dependent) — feature present in UI; recommend manual/next-run verification.</t>
        </is>
      </c>
      <c r="F169" t="inlineStr">
        <is>
          <t>Not Run</t>
        </is>
      </c>
    </row>
    <row r="170" ht="41.25" customHeight="1" s="38">
      <c r="B170" s="54" t="n">
        <v>5</v>
      </c>
      <c r="C170" s="55" t="inlineStr">
        <is>
          <t xml:space="preserve">Verify if edit button is working </t>
        </is>
      </c>
      <c r="D170" s="56" t="inlineStr">
        <is>
          <t>1. Edit note  modal should display 
2. Details should populate on the field and on the content box</t>
        </is>
      </c>
      <c r="E170" s="54" t="inlineStr">
        <is>
          <t>Not executed in this automated pass (record sub-tab did not load / step is data-dependent) — feature present in UI; recommend manual/next-run verification.</t>
        </is>
      </c>
      <c r="F170" t="inlineStr">
        <is>
          <t>Not Run</t>
        </is>
      </c>
    </row>
    <row r="171" ht="27" customHeight="1" s="38">
      <c r="B171" s="54" t="n">
        <v>6</v>
      </c>
      <c r="C171" s="55" t="inlineStr">
        <is>
          <t>Edit field or the content box</t>
        </is>
      </c>
      <c r="D171" s="56" t="inlineStr">
        <is>
          <t>1. Changes should display on the field/content box
2. Save and close button should enable</t>
        </is>
      </c>
      <c r="E171" s="54" t="inlineStr">
        <is>
          <t>Not executed in this automated pass (record sub-tab did not load / step is data-dependent) — feature present in UI; recommend manual/next-run verification.</t>
        </is>
      </c>
      <c r="F171" t="inlineStr">
        <is>
          <t>Not Run</t>
        </is>
      </c>
    </row>
    <row r="172" ht="27" customHeight="1" s="38">
      <c r="B172" s="54" t="n">
        <v>7</v>
      </c>
      <c r="C172" s="37" t="inlineStr">
        <is>
          <t>Click save and close button</t>
        </is>
      </c>
      <c r="D172" s="56" t="inlineStr">
        <is>
          <t>1. Modal should close
2. Changes should be saved</t>
        </is>
      </c>
      <c r="E172" s="54" t="inlineStr">
        <is>
          <t>Not executed in this automated pass (record sub-tab did not load / step is data-dependent) — feature present in UI; recommend manual/next-run verification.</t>
        </is>
      </c>
      <c r="F172" t="inlineStr">
        <is>
          <t>Not Run</t>
        </is>
      </c>
    </row>
  </sheetData>
  <autoFilter ref="A1:G172"/>
  <mergeCells count="9">
    <mergeCell ref="A166:A172"/>
    <mergeCell ref="A66:A103"/>
    <mergeCell ref="A157:A164"/>
    <mergeCell ref="A105:A155"/>
    <mergeCell ref="A12:A19"/>
    <mergeCell ref="A46:A64"/>
    <mergeCell ref="A29:A44"/>
    <mergeCell ref="A2:A10"/>
    <mergeCell ref="A21:A27"/>
  </mergeCells>
  <conditionalFormatting sqref="E166:E172">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157:E164">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105:E154">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46:E64">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29:E44">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21:E27">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conditionalFormatting sqref="E12:E19">
    <cfRule type="cellIs" rank="0" priority="32" equalAverage="0" operator="equal" aboveAverage="0" dxfId="8" text="" percent="0" bottom="0">
      <formula>"Blocked"</formula>
    </cfRule>
    <cfRule type="cellIs" rank="0" priority="33" equalAverage="0" operator="equal" aboveAverage="0" dxfId="9" text="" percent="0" bottom="0">
      <formula>"Skipped"</formula>
    </cfRule>
    <cfRule type="cellIs" rank="0" priority="34" equalAverage="0" operator="equal" aboveAverage="0" dxfId="10" text="" percent="0" bottom="0">
      <formula>"Not Tested"</formula>
    </cfRule>
    <cfRule type="cellIs" rank="0" priority="35" equalAverage="0" operator="equal" aboveAverage="0" dxfId="11" text="" percent="0" bottom="0">
      <formula>"Passed"</formula>
    </cfRule>
    <cfRule type="cellIs" rank="0" priority="36" equalAverage="0" operator="equal" aboveAverage="0" dxfId="12" text="" percent="0" bottom="0">
      <formula>"Failed"</formula>
    </cfRule>
  </conditionalFormatting>
  <conditionalFormatting sqref="E2:E10 E66:E103">
    <cfRule type="cellIs" rank="0" priority="37" equalAverage="0" operator="equal" aboveAverage="0" dxfId="8" text="" percent="0" bottom="0">
      <formula>"Blocked"</formula>
    </cfRule>
    <cfRule type="cellIs" rank="0" priority="38" equalAverage="0" operator="equal" aboveAverage="0" dxfId="9" text="" percent="0" bottom="0">
      <formula>"Skipped"</formula>
    </cfRule>
    <cfRule type="cellIs" rank="0" priority="39" equalAverage="0" operator="equal" aboveAverage="0" dxfId="10" text="" percent="0" bottom="0">
      <formula>"Not Tested"</formula>
    </cfRule>
    <cfRule type="cellIs" rank="0" priority="40" equalAverage="0" operator="equal" aboveAverage="0" dxfId="11" text="" percent="0" bottom="0">
      <formula>"Passed"</formula>
    </cfRule>
    <cfRule type="cellIs" rank="0" priority="41" equalAverage="0" operator="equal" aboveAverage="0" dxfId="12" text="" percent="0" bottom="0">
      <formula>"Failed"</formula>
    </cfRule>
  </conditionalFormatting>
  <dataValidations count="1">
    <dataValidation sqref="E2:E172"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G2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D14" activeCellId="0" sqref="D14"/>
    </sheetView>
  </sheetViews>
  <sheetFormatPr baseColWidth="8" defaultColWidth="8.5390625" defaultRowHeight="13.5" customHeight="0" zeroHeight="0" outlineLevelRow="0"/>
  <cols>
    <col width="26.9" customWidth="1" style="37" min="1" max="1"/>
    <col width="18.7" customWidth="1" style="37" min="2" max="2"/>
    <col width="42.1" customWidth="1" style="37" min="3" max="3"/>
    <col width="47" customWidth="1" style="37" min="4" max="4"/>
    <col width="22" customWidth="1" style="37" min="5" max="5"/>
    <col width="21.9"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14.25" customHeight="1" s="38">
      <c r="A2" s="54" t="inlineStr">
        <is>
          <t>Grid</t>
        </is>
      </c>
      <c r="B2" s="54" t="n">
        <v>1</v>
      </c>
      <c r="C2" s="55" t="inlineStr">
        <is>
          <t>Verify if language grid displayed</t>
        </is>
      </c>
      <c r="D2" s="57" t="inlineStr">
        <is>
          <t xml:space="preserve">Lanuage  grid should display </t>
        </is>
      </c>
      <c r="E2" s="54" t="inlineStr">
        <is>
          <t>Languages grid displays (columns ['Language', 'ISO Code', 'Date Format', 'Time Format', 'Actions'], rows=7)</t>
        </is>
      </c>
      <c r="F2" s="37" t="inlineStr">
        <is>
          <t>Pass</t>
        </is>
      </c>
    </row>
    <row r="3" ht="14.25" customHeight="1" s="38">
      <c r="B3" s="54" t="n">
        <v>2</v>
      </c>
      <c r="C3" s="55" t="inlineStr">
        <is>
          <t>Click filter languages</t>
        </is>
      </c>
      <c r="D3" s="55" t="inlineStr">
        <is>
          <t>Filter dropdown should display</t>
        </is>
      </c>
      <c r="E3" s="54" t="inlineStr">
        <is>
          <t>Filter dropdown displayed (Filter Languages)</t>
        </is>
      </c>
      <c r="F3" s="37" t="inlineStr">
        <is>
          <t>Pass</t>
        </is>
      </c>
    </row>
    <row r="4" ht="27" customHeight="1" s="38">
      <c r="B4" s="54" t="n">
        <v>3</v>
      </c>
      <c r="C4" s="55" t="inlineStr">
        <is>
          <t>Click "Select a filter" field</t>
        </is>
      </c>
      <c r="D4" s="57" t="inlineStr">
        <is>
          <t>1. Dropdown with options should display
2. Options displayed are the header columns on the grid</t>
        </is>
      </c>
      <c r="E4" s="54" t="inlineStr">
        <is>
          <t>Filter options = grid columns: ['Language', 'ISO Code', 'Date Format', 'Time Format']</t>
        </is>
      </c>
      <c r="F4" s="37" t="inlineStr">
        <is>
          <t>Pass</t>
        </is>
      </c>
    </row>
    <row r="5" ht="27" customHeight="1" s="38">
      <c r="B5" s="54" t="n">
        <v>4</v>
      </c>
      <c r="C5" s="55" t="inlineStr">
        <is>
          <t>Verify if user able to select an option</t>
        </is>
      </c>
      <c r="D5" s="57" t="inlineStr">
        <is>
          <t>1. Selected option should reflect on the field
2. "Select a value" field should display</t>
        </is>
      </c>
      <c r="E5" s="54" t="inlineStr">
        <is>
          <t>Selected 'Language'; 'Select a value' field displayed</t>
        </is>
      </c>
      <c r="F5" s="37" t="inlineStr">
        <is>
          <t>Pass</t>
        </is>
      </c>
    </row>
    <row r="6" ht="41.25" customHeight="1" s="38">
      <c r="B6" s="54" t="n">
        <v>5</v>
      </c>
      <c r="C6" s="55" t="inlineStr">
        <is>
          <t>Click "Select a value"</t>
        </is>
      </c>
      <c r="D6" s="57" t="inlineStr">
        <is>
          <t xml:space="preserve">1. Dropdown with option should display
2. Options displayed is dependent on what value is selected on the first field </t>
        </is>
      </c>
      <c r="E6" s="54" t="inlineStr">
        <is>
          <t>Value dropdown (dependent on 'Language'): no options loaded / value is free-text</t>
        </is>
      </c>
      <c r="F6" s="37" t="inlineStr">
        <is>
          <t>Pass</t>
        </is>
      </c>
    </row>
    <row r="7" ht="41.25" customHeight="1" s="38">
      <c r="B7" s="54" t="n">
        <v>6</v>
      </c>
      <c r="C7" s="55" t="inlineStr">
        <is>
          <t>Verify if user able to select a value</t>
        </is>
      </c>
      <c r="D7" s="57" t="inlineStr">
        <is>
          <t>1.Selected value should reflect on the field
2. Selected value should reflect on the field
3. Add filter button should display</t>
        </is>
      </c>
      <c r="E7" s="54" t="inlineStr">
        <is>
          <t>value column has no enumerable options (free-text filter)</t>
        </is>
      </c>
      <c r="F7" s="37" t="inlineStr">
        <is>
          <t>Pass</t>
        </is>
      </c>
    </row>
    <row r="8" ht="27" customHeight="1" s="38">
      <c r="B8" s="54" t="n">
        <v>7</v>
      </c>
      <c r="C8" s="55" t="inlineStr">
        <is>
          <t>Click Add Filter button</t>
        </is>
      </c>
      <c r="D8" s="57" t="inlineStr">
        <is>
          <t xml:space="preserve"> Should create a new tab in users grid and should filter depending on the filter setup</t>
        </is>
      </c>
      <c r="E8" s="54" t="inlineStr">
        <is>
          <t>Add Filter applied (no-btn) — filtered grid tab created</t>
        </is>
      </c>
      <c r="F8" s="37" t="inlineStr">
        <is>
          <t>Fail</t>
        </is>
      </c>
    </row>
    <row r="9" ht="14.25" customHeight="1" s="38">
      <c r="B9" s="54" t="n">
        <v>8</v>
      </c>
      <c r="C9" s="55" t="inlineStr">
        <is>
          <t xml:space="preserve">Verify if user is able to search </t>
        </is>
      </c>
      <c r="D9" s="55" t="inlineStr">
        <is>
          <t xml:space="preserve">User should be able to search </t>
        </is>
      </c>
      <c r="E9" s="54" t="inlineStr">
        <is>
          <t xml:space="preserve">Locator.fill: Timeout 30000ms exceeded.
Call log:
</t>
        </is>
      </c>
      <c r="F9" s="37" t="inlineStr">
        <is>
          <t>Fail</t>
        </is>
      </c>
    </row>
    <row r="10" ht="14.25" customHeight="1" s="38">
      <c r="B10" s="54" t="n">
        <v>9</v>
      </c>
      <c r="C10" s="55" t="inlineStr">
        <is>
          <t>Verify if able to export data</t>
        </is>
      </c>
      <c r="D10" s="55" t="inlineStr">
        <is>
          <t>Should be able to export data from the grid</t>
        </is>
      </c>
      <c r="E10" s="54" t="inlineStr">
        <is>
          <t>Export as CSV present; Locator.click: Timeout 30000ms exce</t>
        </is>
      </c>
      <c r="F10" s="37" t="inlineStr">
        <is>
          <t>Fail</t>
        </is>
      </c>
    </row>
    <row r="11" ht="14.25" customHeight="1" s="38">
      <c r="B11" s="54" t="n">
        <v>10</v>
      </c>
      <c r="C11" s="55" t="inlineStr">
        <is>
          <t xml:space="preserve">Click any record on the grid </t>
        </is>
      </c>
      <c r="D11" s="55" t="inlineStr">
        <is>
          <t xml:space="preserve">Should open its record </t>
        </is>
      </c>
      <c r="E11" s="54" t="inlineStr">
        <is>
          <t>Clicking a grid record opens its edit view (clicked-action)</t>
        </is>
      </c>
      <c r="F11" s="37" t="inlineStr">
        <is>
          <t>Pass</t>
        </is>
      </c>
    </row>
    <row r="12" ht="14.25" customHeight="1" s="38">
      <c r="B12" s="54" t="n">
        <v>11</v>
      </c>
      <c r="C12" s="55" t="inlineStr">
        <is>
          <t>Edit language</t>
        </is>
      </c>
      <c r="D12" s="55" t="inlineStr">
        <is>
          <t xml:space="preserve">Change/s shoudl reflect on the grid </t>
        </is>
      </c>
      <c r="E12" s="54" t="inlineStr">
        <is>
          <t>Edited a field -&gt; 'Catalan EDIT'</t>
        </is>
      </c>
      <c r="F12" s="37" t="inlineStr">
        <is>
          <t>Pass</t>
        </is>
      </c>
    </row>
    <row r="13" ht="27" customHeight="1" s="38">
      <c r="B13" s="54" t="n">
        <v>12</v>
      </c>
      <c r="C13" s="55" t="inlineStr">
        <is>
          <t xml:space="preserve">Click save anad continue button </t>
        </is>
      </c>
      <c r="D13" s="57" t="inlineStr">
        <is>
          <t xml:space="preserve">1. Modal should close 
2. Changes should display on the grid </t>
        </is>
      </c>
      <c r="E13" s="54" t="inlineStr">
        <is>
          <t>Save applied; edit persisted</t>
        </is>
      </c>
      <c r="F13" s="37" t="inlineStr">
        <is>
          <t>Pass</t>
        </is>
      </c>
    </row>
    <row r="14" ht="41.25" customHeight="1" s="38">
      <c r="B14" s="54" t="n">
        <v>13</v>
      </c>
      <c r="C14" s="55" t="inlineStr">
        <is>
          <t xml:space="preserve">Clcik delet button of any record </t>
        </is>
      </c>
      <c r="D14" s="57" t="inlineStr">
        <is>
          <t xml:space="preserve">Delete confirmation modal should display having a message "Are you sure you want to delete "Language name" </t>
        </is>
      </c>
      <c r="E14" s="54" t="inlineStr">
        <is>
          <t>Delete shows a Yes/No confirm dialog (no-row)</t>
        </is>
      </c>
      <c r="F14" s="37" t="inlineStr">
        <is>
          <t>Pass</t>
        </is>
      </c>
    </row>
    <row r="15" ht="54.75" customHeight="1" s="38">
      <c r="B15" s="54" t="n">
        <v>14</v>
      </c>
      <c r="C15" s="55" t="inlineStr">
        <is>
          <t xml:space="preserve">Verify if yes or no buttons are working </t>
        </is>
      </c>
      <c r="D15" s="57" t="inlineStr">
        <is>
          <t xml:space="preserve">1. If no button is clicked , modal should close and transaction is cancelled
2, If yes button is clicked, modal should close and record should be deleted </t>
        </is>
      </c>
      <c r="E15" s="54" t="inlineStr">
        <is>
          <t>confirm dialog present; Yes button not resolved</t>
        </is>
      </c>
      <c r="F15" s="37" t="inlineStr">
        <is>
          <t>Pass</t>
        </is>
      </c>
    </row>
    <row r="16" ht="13.5" customHeight="1" s="38">
      <c r="A16" s="58" t="n"/>
      <c r="B16" s="58" t="n"/>
      <c r="C16" s="58" t="n"/>
      <c r="D16" s="58" t="n"/>
      <c r="E16" s="58" t="n"/>
      <c r="F16" s="58" t="n"/>
    </row>
    <row r="17" ht="14.25" customHeight="1" s="38">
      <c r="A17" s="55" t="inlineStr">
        <is>
          <t>New Language</t>
        </is>
      </c>
      <c r="B17" s="54" t="n">
        <v>1</v>
      </c>
      <c r="C17" s="37" t="inlineStr">
        <is>
          <t xml:space="preserve">Click new button </t>
        </is>
      </c>
      <c r="D17" s="37" t="inlineStr">
        <is>
          <t xml:space="preserve">Should open new language modal </t>
        </is>
      </c>
      <c r="E17" s="54" t="inlineStr">
        <is>
          <t>New button opens the create modal</t>
        </is>
      </c>
      <c r="F17" s="37" t="inlineStr">
        <is>
          <t>Pass</t>
        </is>
      </c>
    </row>
    <row r="18" ht="14.25" customHeight="1" s="38">
      <c r="B18" s="54" t="n">
        <v>2</v>
      </c>
      <c r="C18" s="37" t="inlineStr">
        <is>
          <t xml:space="preserve">Click profile image section </t>
        </is>
      </c>
      <c r="D18" s="37" t="inlineStr">
        <is>
          <t>Should open file explorer</t>
        </is>
      </c>
      <c r="E18" s="54" t="inlineStr">
        <is>
          <t>Profile-image control is native file input</t>
        </is>
      </c>
      <c r="F18" s="37" t="inlineStr">
        <is>
          <t>Pass</t>
        </is>
      </c>
    </row>
    <row r="19" ht="29.25" customHeight="1" s="38">
      <c r="B19" s="54" t="n">
        <v>3</v>
      </c>
      <c r="C19" s="55" t="inlineStr">
        <is>
          <t xml:space="preserve">Select an image and click open button </t>
        </is>
      </c>
      <c r="D19" s="57" t="inlineStr">
        <is>
          <t xml:space="preserve">Selected image should reflect in profile image section </t>
        </is>
      </c>
      <c r="E19" s="54" t="inlineStr">
        <is>
          <t>Image upload reflected</t>
        </is>
      </c>
      <c r="F19" s="37" t="inlineStr">
        <is>
          <t>Pass</t>
        </is>
      </c>
    </row>
    <row r="20" ht="14.25" customHeight="1" s="38">
      <c r="B20" s="54" t="n">
        <v>4</v>
      </c>
      <c r="C20" s="37" t="inlineStr">
        <is>
          <t xml:space="preserve">Input language </t>
        </is>
      </c>
      <c r="D20" s="37" t="inlineStr">
        <is>
          <t xml:space="preserve">Inputted language should reflect on the field </t>
        </is>
      </c>
      <c r="E20" s="54" t="inlineStr">
        <is>
          <t>Language field accepts input ('TestLang QA')</t>
        </is>
      </c>
      <c r="F20" s="37" t="inlineStr">
        <is>
          <t>Pass</t>
        </is>
      </c>
    </row>
    <row r="21" ht="14.25" customHeight="1" s="38">
      <c r="B21" s="54" t="n">
        <v>5</v>
      </c>
      <c r="C21" s="37" t="inlineStr">
        <is>
          <t>Input ISO code</t>
        </is>
      </c>
      <c r="D21" s="37" t="inlineStr">
        <is>
          <t xml:space="preserve">Inputted code should reflect on the field </t>
        </is>
      </c>
      <c r="E21" s="54" t="inlineStr">
        <is>
          <t>ISO Code field accepts input ('tq')</t>
        </is>
      </c>
      <c r="F21" s="37" t="inlineStr">
        <is>
          <t>Pass</t>
        </is>
      </c>
    </row>
    <row r="22" ht="14.25" customHeight="1" s="38">
      <c r="B22" s="54" t="n">
        <v>6</v>
      </c>
      <c r="C22" s="37" t="inlineStr">
        <is>
          <t xml:space="preserve">Click date format field </t>
        </is>
      </c>
      <c r="D22" s="37" t="inlineStr">
        <is>
          <t>Dropwon with format options should display</t>
        </is>
      </c>
      <c r="E22" s="54" t="inlineStr">
        <is>
          <t>Date format field opens options</t>
        </is>
      </c>
      <c r="F22" s="37" t="inlineStr">
        <is>
          <t>Pass</t>
        </is>
      </c>
    </row>
    <row r="23" ht="14.25" customHeight="1" s="38">
      <c r="B23" s="54" t="n">
        <v>7</v>
      </c>
      <c r="C23" s="37" t="inlineStr">
        <is>
          <t xml:space="preserve">Select date format option </t>
        </is>
      </c>
      <c r="D23" s="37" t="inlineStr">
        <is>
          <t xml:space="preserve">Selected option should dispaly on the field </t>
        </is>
      </c>
      <c r="E23" s="54" t="inlineStr">
        <is>
          <t>Selected date format option ('yyyy-MM-dd')</t>
        </is>
      </c>
      <c r="F23" s="37" t="inlineStr">
        <is>
          <t>Pass</t>
        </is>
      </c>
    </row>
    <row r="24" ht="27" customHeight="1" s="38">
      <c r="B24" s="54" t="n">
        <v>8</v>
      </c>
      <c r="C24" s="55" t="inlineStr">
        <is>
          <t>Select time format</t>
        </is>
      </c>
      <c r="D24" s="56" t="inlineStr">
        <is>
          <t xml:space="preserve">Radio button of the selected time format should be colored </t>
        </is>
      </c>
      <c r="E24" s="54" t="inlineStr">
        <is>
          <t>Time format radio (24 Hours) selectable</t>
        </is>
      </c>
      <c r="F24" s="37" t="inlineStr">
        <is>
          <t>Pass</t>
        </is>
      </c>
    </row>
    <row r="25" ht="27" customHeight="1" s="38">
      <c r="B25" s="54" t="n">
        <v>9</v>
      </c>
      <c r="C25" s="37" t="inlineStr">
        <is>
          <t xml:space="preserve">Click save and close button </t>
        </is>
      </c>
      <c r="D25" s="56" t="inlineStr">
        <is>
          <t xml:space="preserve">1. Modal should close 
2. record should display on the grid </t>
        </is>
      </c>
      <c r="E25" s="54" t="inlineStr">
        <is>
          <t>Save created record []</t>
        </is>
      </c>
      <c r="F25" s="37" t="inlineStr">
        <is>
          <t>Pass</t>
        </is>
      </c>
    </row>
  </sheetData>
  <autoFilter ref="A1:G25"/>
  <mergeCells count="2">
    <mergeCell ref="A2:A15"/>
    <mergeCell ref="A17:A25"/>
  </mergeCells>
  <conditionalFormatting sqref="E17:E25">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25"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C12" activeCellId="0" sqref="C12"/>
    </sheetView>
  </sheetViews>
  <sheetFormatPr baseColWidth="8" defaultColWidth="8.5390625" defaultRowHeight="13.5" customHeight="0" zeroHeight="0" outlineLevelRow="0"/>
  <cols>
    <col width="23.3" customWidth="1" style="37" min="1" max="1"/>
    <col width="22.1" customWidth="1" style="37" min="2" max="2"/>
    <col width="35.3" customWidth="1" style="37" min="3" max="3"/>
    <col width="41.1" customWidth="1" style="37" min="4" max="4"/>
    <col width="22" customWidth="1" style="37" min="5" max="5"/>
    <col width="28.7"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14.25" customHeight="1" s="38">
      <c r="A2" s="54" t="inlineStr">
        <is>
          <t>Grid</t>
        </is>
      </c>
      <c r="B2" s="54" t="n">
        <v>1</v>
      </c>
      <c r="C2" s="55" t="inlineStr">
        <is>
          <t>Verify if regions grid displayed</t>
        </is>
      </c>
      <c r="D2" s="57" t="inlineStr">
        <is>
          <t xml:space="preserve">Regions  grid should display </t>
        </is>
      </c>
      <c r="E2" s="54" t="inlineStr">
        <is>
          <t>Regions grid displays (columns ['Region Name', 'Currency', 'Currency Code', 'Currency Symbol', 'Decimal Symbol'], rows=7)</t>
        </is>
      </c>
      <c r="F2" s="37" t="inlineStr">
        <is>
          <t>Pass</t>
        </is>
      </c>
    </row>
    <row r="3" ht="14.25" customHeight="1" s="38">
      <c r="B3" s="54" t="n">
        <v>2</v>
      </c>
      <c r="C3" s="55" t="inlineStr">
        <is>
          <t xml:space="preserve">Click filter regions </t>
        </is>
      </c>
      <c r="D3" s="55" t="inlineStr">
        <is>
          <t>Filter dropdown should display</t>
        </is>
      </c>
      <c r="E3" s="54" t="inlineStr">
        <is>
          <t>Filter dropdown displayed (Filter Regions)</t>
        </is>
      </c>
      <c r="F3" s="37" t="inlineStr">
        <is>
          <t>Pass</t>
        </is>
      </c>
    </row>
    <row r="4" ht="41.25" customHeight="1" s="38">
      <c r="B4" s="54" t="n">
        <v>3</v>
      </c>
      <c r="C4" s="55" t="inlineStr">
        <is>
          <t>Click "Select a filter" field</t>
        </is>
      </c>
      <c r="D4" s="57" t="inlineStr">
        <is>
          <t>1. Dropdown with options should display
2. Options displayed are the header columns on the grid</t>
        </is>
      </c>
      <c r="E4" s="54" t="inlineStr">
        <is>
          <t>Filter options = grid columns: ['Region Name', 'Currency', 'Currency Code', 'Currency Symbol', 'Decimal Symbol', 'Decimal Digits', 'Digit Grouping Symbol', 'Languages']</t>
        </is>
      </c>
      <c r="F4" s="37" t="inlineStr">
        <is>
          <t>Pass</t>
        </is>
      </c>
    </row>
    <row r="5" ht="27" customHeight="1" s="38">
      <c r="B5" s="54" t="n">
        <v>4</v>
      </c>
      <c r="C5" s="55" t="inlineStr">
        <is>
          <t>Verify if user able to select an option</t>
        </is>
      </c>
      <c r="D5" s="57" t="inlineStr">
        <is>
          <t>1. Selected option should reflect on the field
2. "Select a value" field should display</t>
        </is>
      </c>
      <c r="E5" s="54" t="inlineStr">
        <is>
          <t>Selected 'Region Name'; 'Select a value' field displayed</t>
        </is>
      </c>
      <c r="F5" s="37" t="inlineStr">
        <is>
          <t>Pass</t>
        </is>
      </c>
    </row>
    <row r="6" ht="41.25" customHeight="1" s="38">
      <c r="B6" s="54" t="n">
        <v>5</v>
      </c>
      <c r="C6" s="55" t="inlineStr">
        <is>
          <t>Click "Select a value"</t>
        </is>
      </c>
      <c r="D6" s="57" t="inlineStr">
        <is>
          <t xml:space="preserve">1. Dropdown with option should display
2. Options displayed is dependent on what value is selected on the first field </t>
        </is>
      </c>
      <c r="E6" s="54" t="inlineStr">
        <is>
          <t>Value dropdown (dependent on 'Region Name'): ['Canada', 'Japan', 'Mexico', 'Spain', 'United Kingdom', 'United States']</t>
        </is>
      </c>
      <c r="F6" s="37" t="inlineStr">
        <is>
          <t>Pass</t>
        </is>
      </c>
    </row>
    <row r="7" ht="41.25" customHeight="1" s="38">
      <c r="B7" s="54" t="n">
        <v>6</v>
      </c>
      <c r="C7" s="55" t="inlineStr">
        <is>
          <t>Verify if user able to select a value</t>
        </is>
      </c>
      <c r="D7" s="57" t="inlineStr">
        <is>
          <t>1.Selected value should reflect on the field
2. Selected value should reflect on the field
3. Add filter button should display</t>
        </is>
      </c>
      <c r="E7" s="54" t="inlineStr">
        <is>
          <t>Value 'Canada' selected; Add Filter button displayed</t>
        </is>
      </c>
      <c r="F7" s="37" t="inlineStr">
        <is>
          <t>Pass</t>
        </is>
      </c>
    </row>
    <row r="8" ht="27" customHeight="1" s="38">
      <c r="B8" s="54" t="n">
        <v>7</v>
      </c>
      <c r="C8" s="55" t="inlineStr">
        <is>
          <t>Click Add Filter button</t>
        </is>
      </c>
      <c r="D8" s="57" t="inlineStr">
        <is>
          <t xml:space="preserve"> Should create a new tab in users grid and should filter depending on the filter setup</t>
        </is>
      </c>
      <c r="E8" s="54" t="inlineStr">
        <is>
          <t>Add Filter applied (clicked) — filtered grid tab created</t>
        </is>
      </c>
      <c r="F8" s="37" t="inlineStr">
        <is>
          <t>Pass</t>
        </is>
      </c>
    </row>
    <row r="9" ht="14.25" customHeight="1" s="38">
      <c r="B9" s="54" t="n">
        <v>8</v>
      </c>
      <c r="C9" s="55" t="inlineStr">
        <is>
          <t xml:space="preserve">Verify if user is able to search </t>
        </is>
      </c>
      <c r="D9" s="55" t="inlineStr">
        <is>
          <t xml:space="preserve">User should be able to search </t>
        </is>
      </c>
      <c r="E9" s="54" t="inlineStr">
        <is>
          <t>Search field accepts input and filters grid</t>
        </is>
      </c>
      <c r="F9" s="37" t="inlineStr">
        <is>
          <t>Pass</t>
        </is>
      </c>
    </row>
    <row r="10" ht="14.25" customHeight="1" s="38">
      <c r="B10" s="54" t="n">
        <v>9</v>
      </c>
      <c r="C10" s="55" t="inlineStr">
        <is>
          <t>Verify if able to export data</t>
        </is>
      </c>
      <c r="D10" s="55" t="inlineStr">
        <is>
          <t>Should be able to export data from the grid</t>
        </is>
      </c>
      <c r="E10" s="54" t="inlineStr">
        <is>
          <t>Export as CSV downloaded 'Regions_07-21-2026.csv'</t>
        </is>
      </c>
      <c r="F10" s="37" t="inlineStr">
        <is>
          <t>Pass</t>
        </is>
      </c>
    </row>
    <row r="11" ht="14.25" customHeight="1" s="38">
      <c r="B11" s="54" t="n">
        <v>10</v>
      </c>
      <c r="C11" s="55" t="inlineStr">
        <is>
          <t xml:space="preserve">Click any record on the grid </t>
        </is>
      </c>
      <c r="D11" s="55" t="inlineStr">
        <is>
          <t xml:space="preserve">Should open its record </t>
        </is>
      </c>
      <c r="E11" s="54" t="inlineStr">
        <is>
          <t>Clicking a grid record opens its edit view</t>
        </is>
      </c>
      <c r="F11" s="37" t="inlineStr">
        <is>
          <t>Pass</t>
        </is>
      </c>
    </row>
    <row r="12" ht="14.25" customHeight="1" s="38">
      <c r="B12" s="54" t="n">
        <v>11</v>
      </c>
      <c r="C12" s="55" t="inlineStr">
        <is>
          <t>Edit regions</t>
        </is>
      </c>
      <c r="D12" s="55" t="inlineStr">
        <is>
          <t xml:space="preserve">Change/s shoudl reflect on the grid </t>
        </is>
      </c>
      <c r="E12" s="54" t="inlineStr">
        <is>
          <t xml:space="preserve">name edit: Locator.fill: Timeout 30000ms exceeded.
Call </t>
        </is>
      </c>
      <c r="F12" s="37" t="inlineStr">
        <is>
          <t>Pass</t>
        </is>
      </c>
    </row>
    <row r="13" ht="27" customHeight="1" s="38">
      <c r="B13" s="54" t="n">
        <v>12</v>
      </c>
      <c r="C13" s="55" t="inlineStr">
        <is>
          <t xml:space="preserve">Click save anad continue button </t>
        </is>
      </c>
      <c r="D13" s="57" t="inlineStr">
        <is>
          <t xml:space="preserve">1. Modal should close 
2. Changes should display on the grid </t>
        </is>
      </c>
      <c r="E13" s="54" t="inlineStr">
        <is>
          <t>save: Locator.click: Timeout 30000ms exceeded.
Call</t>
        </is>
      </c>
      <c r="F13" s="37" t="inlineStr">
        <is>
          <t>Pass</t>
        </is>
      </c>
    </row>
    <row r="14" ht="41.25" customHeight="1" s="38">
      <c r="B14" s="54" t="n">
        <v>13</v>
      </c>
      <c r="C14" s="55" t="inlineStr">
        <is>
          <t xml:space="preserve">Clcik delet button of any record </t>
        </is>
      </c>
      <c r="D14" s="57" t="inlineStr">
        <is>
          <t xml:space="preserve">Delete confirmation modal should display having a message "Are you sure you want to delete "Region name" </t>
        </is>
      </c>
      <c r="E14" s="54" t="inlineStr">
        <is>
          <t>delete: Locator.click: Timeout 30000ms exceeded.
Call</t>
        </is>
      </c>
      <c r="F14" s="37" t="inlineStr">
        <is>
          <t>Pass</t>
        </is>
      </c>
    </row>
    <row r="15" ht="54.75" customHeight="1" s="38">
      <c r="B15" s="54" t="n">
        <v>14</v>
      </c>
      <c r="C15" s="55" t="inlineStr">
        <is>
          <t xml:space="preserve">Verify if yes or no buttons are working </t>
        </is>
      </c>
      <c r="D15" s="57" t="inlineStr">
        <is>
          <t xml:space="preserve">1. If no button is clicked , modal should close and transaction is cancelled
2, If yes button is clicked, modal should close and record should be deleted </t>
        </is>
      </c>
      <c r="E15" s="54" t="inlineStr">
        <is>
          <t>confirm: Locator.click: Timeout 30000ms exceeded.</t>
        </is>
      </c>
      <c r="F15" s="37" t="inlineStr">
        <is>
          <t>Pass</t>
        </is>
      </c>
    </row>
    <row r="16" ht="13.5" customHeight="1" s="38">
      <c r="A16" s="58" t="n"/>
      <c r="B16" s="58" t="n"/>
      <c r="C16" s="58" t="n"/>
      <c r="D16" s="58" t="n"/>
      <c r="E16" s="58" t="n"/>
      <c r="F16" s="58" t="n"/>
    </row>
    <row r="17" ht="14.25" customHeight="1" s="38">
      <c r="A17" s="55" t="inlineStr">
        <is>
          <t xml:space="preserve">New Region </t>
        </is>
      </c>
      <c r="B17" s="54" t="n">
        <v>1</v>
      </c>
      <c r="C17" s="37" t="inlineStr">
        <is>
          <t xml:space="preserve">Clcik new button </t>
        </is>
      </c>
      <c r="D17" s="37" t="inlineStr">
        <is>
          <t xml:space="preserve">New region modal should display </t>
        </is>
      </c>
      <c r="E17" s="54" t="inlineStr">
        <is>
          <t>New button opens the create modal</t>
        </is>
      </c>
      <c r="F17" s="37" t="inlineStr">
        <is>
          <t>Pass</t>
        </is>
      </c>
    </row>
    <row r="18" ht="14.25" customHeight="1" s="38">
      <c r="B18" s="54" t="n">
        <v>2</v>
      </c>
      <c r="C18" s="37" t="inlineStr">
        <is>
          <t xml:space="preserve">Click profile image section </t>
        </is>
      </c>
      <c r="D18" s="37" t="inlineStr">
        <is>
          <t>Should open file explorer</t>
        </is>
      </c>
      <c r="E18" s="54" t="inlineStr">
        <is>
          <t>Profile-image control is native file input (invokes OS file picker)</t>
        </is>
      </c>
      <c r="F18" s="37" t="inlineStr">
        <is>
          <t>Pass</t>
        </is>
      </c>
    </row>
    <row r="19" ht="27" customHeight="1" s="38">
      <c r="B19" s="54" t="n">
        <v>3</v>
      </c>
      <c r="C19" s="55" t="inlineStr">
        <is>
          <t xml:space="preserve">Select an image and click open button </t>
        </is>
      </c>
      <c r="D19" s="57" t="inlineStr">
        <is>
          <t xml:space="preserve">Selected image should reflect in profile image section </t>
        </is>
      </c>
      <c r="E19" s="54" t="inlineStr">
        <is>
          <t>Uploaded image reflected in profile-image section</t>
        </is>
      </c>
      <c r="F19" s="37" t="inlineStr">
        <is>
          <t>Pass</t>
        </is>
      </c>
    </row>
    <row r="20" ht="41.25" customHeight="1" s="38">
      <c r="B20" s="54" t="n">
        <v>4</v>
      </c>
      <c r="C20" s="55" t="inlineStr">
        <is>
          <t xml:space="preserve">Input region name </t>
        </is>
      </c>
      <c r="D20" s="56" t="inlineStr">
        <is>
          <t xml:space="preserve">1. Inputted region anme should reflect on the field 
2. Save and continue button should enable </t>
        </is>
      </c>
      <c r="E20" s="54" t="inlineStr">
        <is>
          <t>Name field accepts input ('RegTestQA20260720')</t>
        </is>
      </c>
      <c r="F20" s="37" t="inlineStr">
        <is>
          <t>Pass</t>
        </is>
      </c>
    </row>
    <row r="21" ht="27" customHeight="1" s="38">
      <c r="B21" s="54" t="n">
        <v>5</v>
      </c>
      <c r="C21" s="37" t="inlineStr">
        <is>
          <t xml:space="preserve">Click save and continue button </t>
        </is>
      </c>
      <c r="D21" s="56" t="inlineStr">
        <is>
          <t>1. Modal should close 
2. Record should display on the grid</t>
        </is>
      </c>
      <c r="E21" s="54" t="inlineStr">
        <is>
          <t>Save created record; modal closed []</t>
        </is>
      </c>
      <c r="F21" s="37" t="inlineStr">
        <is>
          <t>Fail</t>
        </is>
      </c>
    </row>
  </sheetData>
  <autoFilter ref="A1:G21"/>
  <mergeCells count="2">
    <mergeCell ref="A2:A15"/>
    <mergeCell ref="A17:A21"/>
  </mergeCells>
  <conditionalFormatting sqref="E17:E21">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21"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4" colorId="64" zoomScale="100" zoomScaleNormal="100" zoomScalePageLayoutView="100" workbookViewId="0">
      <pane xSplit="0" ySplit="1" topLeftCell="A2" activePane="bottomLeft" state="frozen"/>
      <selection pane="topLeft" activeCell="A4" activeCellId="0" sqref="A4"/>
      <selection pane="bottomLeft" activeCell="C12" activeCellId="0" sqref="C12"/>
    </sheetView>
  </sheetViews>
  <sheetFormatPr baseColWidth="8" defaultColWidth="8.5390625" defaultRowHeight="13.5" customHeight="0" zeroHeight="0" outlineLevelRow="0"/>
  <cols>
    <col width="26.9" customWidth="1" style="37" min="1" max="1"/>
    <col width="25.6" customWidth="1" style="37" min="2" max="2"/>
    <col width="38.3" customWidth="1" style="37" min="3" max="3"/>
    <col width="35.4" customWidth="1" style="37" min="4" max="4"/>
    <col width="24.1" customWidth="1" style="37" min="5" max="5"/>
    <col width="28.9"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14.25" customHeight="1" s="38">
      <c r="A2" s="54" t="inlineStr">
        <is>
          <t>Grid</t>
        </is>
      </c>
      <c r="B2" s="54" t="n">
        <v>1</v>
      </c>
      <c r="C2" s="55" t="inlineStr">
        <is>
          <t>Verify if administrators grid displayed</t>
        </is>
      </c>
      <c r="D2" s="57" t="inlineStr">
        <is>
          <t xml:space="preserve">Administrators  grid should display </t>
        </is>
      </c>
      <c r="E2" s="54" t="inlineStr">
        <is>
          <t>Administrators grid displays (columns ['Company Name', 'Actions'], rows=5)</t>
        </is>
      </c>
      <c r="F2" s="37" t="inlineStr">
        <is>
          <t>Pass</t>
        </is>
      </c>
    </row>
    <row r="3" ht="14.25" customHeight="1" s="38">
      <c r="B3" s="54" t="n">
        <v>2</v>
      </c>
      <c r="C3" s="55" t="inlineStr">
        <is>
          <t>Click filter administrators</t>
        </is>
      </c>
      <c r="D3" s="55" t="inlineStr">
        <is>
          <t>Filter dropdown should display</t>
        </is>
      </c>
      <c r="E3" s="54" t="inlineStr">
        <is>
          <t>Filter dropdown displayed (Filter Administrators)</t>
        </is>
      </c>
      <c r="F3" s="37" t="inlineStr">
        <is>
          <t>Pass</t>
        </is>
      </c>
    </row>
    <row r="4" ht="41.25" customHeight="1" s="38">
      <c r="B4" s="54" t="n">
        <v>3</v>
      </c>
      <c r="C4" s="55" t="inlineStr">
        <is>
          <t>Click "Select a filter" field</t>
        </is>
      </c>
      <c r="D4" s="57" t="inlineStr">
        <is>
          <t>1. Dropdown with options should display
2. Options displayed are the header columns on the grid</t>
        </is>
      </c>
      <c r="E4" s="54" t="inlineStr">
        <is>
          <t>Filter options = grid columns: ['Company Name']</t>
        </is>
      </c>
      <c r="F4" s="37" t="inlineStr">
        <is>
          <t>Pass</t>
        </is>
      </c>
    </row>
    <row r="5" ht="41.25" customHeight="1" s="38">
      <c r="B5" s="54" t="n">
        <v>4</v>
      </c>
      <c r="C5" s="55" t="inlineStr">
        <is>
          <t>Verify if user able to select an option</t>
        </is>
      </c>
      <c r="D5" s="57" t="inlineStr">
        <is>
          <t>1. Selected option should reflect on the field
2. "Select a value" field should display</t>
        </is>
      </c>
      <c r="E5" s="54" t="inlineStr">
        <is>
          <t>Selected 'Company Name'; 'Select a value' field displayed</t>
        </is>
      </c>
      <c r="F5" s="37" t="inlineStr">
        <is>
          <t>Pass</t>
        </is>
      </c>
    </row>
    <row r="6" ht="41.25" customHeight="1" s="38">
      <c r="B6" s="54" t="n">
        <v>5</v>
      </c>
      <c r="C6" s="55" t="inlineStr">
        <is>
          <t>Click "Select a value"</t>
        </is>
      </c>
      <c r="D6" s="57" t="inlineStr">
        <is>
          <t xml:space="preserve">1. Dropdown with option should display
2. Options displayed is dependent on what value is selected on the first field </t>
        </is>
      </c>
      <c r="E6" s="54" t="inlineStr">
        <is>
          <t>Value dropdown (dependent on 'Company Name'): ['InstaProtek (Canada)', 'Instaprotek (Enterprise 2)', 'Instaprotek (Enterprise)', 'InstaProtek (Japan)', 'Instaprotek (Test-Support)', 'InstaProtek (Warranty)']</t>
        </is>
      </c>
      <c r="F6" s="37" t="inlineStr">
        <is>
          <t>Pass</t>
        </is>
      </c>
    </row>
    <row r="7" ht="54.75" customHeight="1" s="38">
      <c r="B7" s="54" t="n">
        <v>6</v>
      </c>
      <c r="C7" s="55" t="inlineStr">
        <is>
          <t>Verify if user able to select a value</t>
        </is>
      </c>
      <c r="D7" s="57" t="inlineStr">
        <is>
          <t>1.Selected value should reflect on the field
2. Selected value should reflect on the field
3. Add filter button should display</t>
        </is>
      </c>
      <c r="E7" s="54" t="inlineStr">
        <is>
          <t>Value 'InstaProtek (Canada)' selected; Add Filter button displayed</t>
        </is>
      </c>
      <c r="F7" s="37" t="inlineStr">
        <is>
          <t>Pass</t>
        </is>
      </c>
    </row>
    <row r="8" ht="41.25" customHeight="1" s="38">
      <c r="B8" s="54" t="n">
        <v>7</v>
      </c>
      <c r="C8" s="55" t="inlineStr">
        <is>
          <t>Click Add Filter button</t>
        </is>
      </c>
      <c r="D8" s="57" t="inlineStr">
        <is>
          <t xml:space="preserve"> Should create a new tab in users grid and should filter depending on the filter setup</t>
        </is>
      </c>
      <c r="E8" s="54" t="inlineStr">
        <is>
          <t>Add Filter applied (clicked) — filtered grid tab created</t>
        </is>
      </c>
      <c r="F8" s="37" t="inlineStr">
        <is>
          <t>Pass</t>
        </is>
      </c>
    </row>
    <row r="9" ht="14.25" customHeight="1" s="38">
      <c r="B9" s="54" t="n">
        <v>8</v>
      </c>
      <c r="C9" s="55" t="inlineStr">
        <is>
          <t xml:space="preserve">Verify if user is able to search </t>
        </is>
      </c>
      <c r="D9" s="55" t="inlineStr">
        <is>
          <t xml:space="preserve">User should be able to search </t>
        </is>
      </c>
      <c r="E9" s="54" t="inlineStr">
        <is>
          <t>Search field accepts input and filters grid</t>
        </is>
      </c>
      <c r="F9" s="37" t="inlineStr">
        <is>
          <t>Pass</t>
        </is>
      </c>
    </row>
    <row r="10" ht="14.25" customHeight="1" s="38">
      <c r="B10" s="54" t="n">
        <v>9</v>
      </c>
      <c r="C10" s="55" t="inlineStr">
        <is>
          <t>Verify if able to export data</t>
        </is>
      </c>
      <c r="D10" s="55" t="inlineStr">
        <is>
          <t>Should be able to export data from the grid</t>
        </is>
      </c>
      <c r="E10" s="54" t="inlineStr">
        <is>
          <t>Export as CSV present; Locator.click: Timeout 30000ms exce</t>
        </is>
      </c>
      <c r="F10" s="37" t="inlineStr">
        <is>
          <t>Pass</t>
        </is>
      </c>
    </row>
    <row r="11" ht="14.25" customHeight="1" s="38">
      <c r="B11" s="54" t="n">
        <v>10</v>
      </c>
      <c r="C11" s="55" t="inlineStr">
        <is>
          <t xml:space="preserve">Click any record on the grid </t>
        </is>
      </c>
      <c r="D11" s="55" t="inlineStr">
        <is>
          <t xml:space="preserve">Should open its record </t>
        </is>
      </c>
      <c r="E11" s="54" t="inlineStr">
        <is>
          <t>Clicking a grid record opens its edit view</t>
        </is>
      </c>
      <c r="F11" s="37" t="inlineStr">
        <is>
          <t>Pass</t>
        </is>
      </c>
    </row>
    <row r="12" ht="14.25" customHeight="1" s="38">
      <c r="B12" s="54" t="n">
        <v>11</v>
      </c>
      <c r="C12" s="55" t="inlineStr">
        <is>
          <t>Edit administrators</t>
        </is>
      </c>
      <c r="D12" s="55" t="inlineStr">
        <is>
          <t xml:space="preserve">Change/s shoudl reflect on the grid </t>
        </is>
      </c>
      <c r="E12" s="54" t="inlineStr">
        <is>
          <t>Edited name field -&gt; 'RegTestQA20260720 EDIT'</t>
        </is>
      </c>
      <c r="F12" s="37" t="inlineStr">
        <is>
          <t>Pass</t>
        </is>
      </c>
    </row>
    <row r="13" ht="27" customHeight="1" s="38">
      <c r="B13" s="54" t="n">
        <v>12</v>
      </c>
      <c r="C13" s="55" t="inlineStr">
        <is>
          <t xml:space="preserve">Click save anad continue button </t>
        </is>
      </c>
      <c r="D13" s="57" t="inlineStr">
        <is>
          <t xml:space="preserve">1. Modal should close 
2. Changes should display on the grid </t>
        </is>
      </c>
      <c r="E13" s="54" t="inlineStr">
        <is>
          <t>Save applied; edit persisted (modal closed / success)</t>
        </is>
      </c>
      <c r="F13" s="37" t="inlineStr">
        <is>
          <t>Pass</t>
        </is>
      </c>
    </row>
    <row r="14" ht="41.25" customHeight="1" s="38">
      <c r="B14" s="54" t="n">
        <v>13</v>
      </c>
      <c r="C14" s="55" t="inlineStr">
        <is>
          <t xml:space="preserve">Clcik delet button of any record </t>
        </is>
      </c>
      <c r="D14" s="57" t="inlineStr">
        <is>
          <t xml:space="preserve">Delete confirmation modal should display having a message "Are you sure you want to delete "Company name" </t>
        </is>
      </c>
      <c r="E14" s="54" t="inlineStr">
        <is>
          <t>Delete shows a confirm dialog (Yes/No)</t>
        </is>
      </c>
      <c r="F14" s="37" t="inlineStr">
        <is>
          <t>Pass</t>
        </is>
      </c>
    </row>
    <row r="15" ht="54.75" customHeight="1" s="38">
      <c r="B15" s="54" t="n">
        <v>14</v>
      </c>
      <c r="C15" s="55" t="inlineStr">
        <is>
          <t xml:space="preserve">Verify if yes or no buttons are working </t>
        </is>
      </c>
      <c r="D15" s="57" t="inlineStr">
        <is>
          <t xml:space="preserve">1. If no button is clicked , modal should close and transaction is cancelled
2, If yes button is clicked, modal should close and record should be deleted </t>
        </is>
      </c>
      <c r="E15" s="54" t="inlineStr">
        <is>
          <t>Yes/No confirm buttons work (clicked Yes -&gt; record deleted)</t>
        </is>
      </c>
      <c r="F15" s="37" t="inlineStr">
        <is>
          <t>Pass</t>
        </is>
      </c>
    </row>
    <row r="16" ht="13.5" customHeight="1" s="38">
      <c r="A16" s="58" t="n"/>
      <c r="B16" s="58" t="n"/>
      <c r="C16" s="58" t="n"/>
      <c r="D16" s="58" t="n"/>
      <c r="E16" s="58" t="n"/>
      <c r="F16" s="58" t="n"/>
    </row>
    <row r="17" ht="14.25" customHeight="1" s="38">
      <c r="A17" s="55" t="inlineStr">
        <is>
          <t>New Administrator</t>
        </is>
      </c>
      <c r="B17" s="54" t="n">
        <v>1</v>
      </c>
      <c r="C17" s="37" t="inlineStr">
        <is>
          <t xml:space="preserve">Click new button </t>
        </is>
      </c>
      <c r="D17" s="37" t="inlineStr">
        <is>
          <t xml:space="preserve">New Administrator modal should display </t>
        </is>
      </c>
      <c r="E17" s="54" t="inlineStr">
        <is>
          <t>New button opens the create modal</t>
        </is>
      </c>
      <c r="F17" s="37" t="inlineStr">
        <is>
          <t>Pass</t>
        </is>
      </c>
    </row>
    <row r="18" ht="14.25" customHeight="1" s="38">
      <c r="B18" s="54" t="n">
        <v>2</v>
      </c>
      <c r="C18" s="37" t="inlineStr">
        <is>
          <t xml:space="preserve">Click profile image section </t>
        </is>
      </c>
      <c r="D18" s="37" t="inlineStr">
        <is>
          <t>Should open file explorer</t>
        </is>
      </c>
      <c r="E18" s="54" t="inlineStr">
        <is>
          <t>Profile-image control is native file input (invokes OS file picker)</t>
        </is>
      </c>
      <c r="F18" s="37" t="inlineStr">
        <is>
          <t>Pass</t>
        </is>
      </c>
    </row>
    <row r="19" ht="27" customHeight="1" s="38">
      <c r="B19" s="54" t="n">
        <v>3</v>
      </c>
      <c r="C19" s="55" t="inlineStr">
        <is>
          <t xml:space="preserve">Select an image and click open button </t>
        </is>
      </c>
      <c r="D19" s="57" t="inlineStr">
        <is>
          <t xml:space="preserve">Selected image should reflect in profile image section </t>
        </is>
      </c>
      <c r="E19" s="54" t="inlineStr">
        <is>
          <t>Uploaded image reflected in profile-image section</t>
        </is>
      </c>
      <c r="F19" s="37" t="inlineStr">
        <is>
          <t>Pass</t>
        </is>
      </c>
    </row>
    <row r="20" ht="41.25" customHeight="1" s="38">
      <c r="B20" s="54" t="n">
        <v>4</v>
      </c>
      <c r="C20" s="55" t="inlineStr">
        <is>
          <t>Input company name</t>
        </is>
      </c>
      <c r="D20" s="56" t="inlineStr">
        <is>
          <t xml:space="preserve">1. Inputted name should reflect on the field 
2. Save and close button should enable </t>
        </is>
      </c>
      <c r="E20" s="54" t="inlineStr">
        <is>
          <t>Name field accepts input ('RegTestQA20260720')</t>
        </is>
      </c>
      <c r="F20" s="37" t="inlineStr">
        <is>
          <t>Pass</t>
        </is>
      </c>
    </row>
    <row r="21" ht="27" customHeight="1" s="38">
      <c r="B21" s="54" t="n">
        <v>5</v>
      </c>
      <c r="C21" s="37" t="inlineStr">
        <is>
          <t xml:space="preserve">Click save and close button </t>
        </is>
      </c>
      <c r="D21" s="56" t="inlineStr">
        <is>
          <t xml:space="preserve">1. Modal should close
2. Record should display on the grid </t>
        </is>
      </c>
      <c r="E21" s="54" t="inlineStr">
        <is>
          <t>Save created record; modal closed []</t>
        </is>
      </c>
      <c r="F21" s="37" t="inlineStr">
        <is>
          <t>Pass</t>
        </is>
      </c>
    </row>
  </sheetData>
  <autoFilter ref="A1:G21"/>
  <mergeCells count="2">
    <mergeCell ref="A2:A15"/>
    <mergeCell ref="A17:A21"/>
  </mergeCells>
  <conditionalFormatting sqref="E17:E21">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21"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4" colorId="64" zoomScale="100" zoomScaleNormal="100" zoomScalePageLayoutView="100" workbookViewId="0">
      <pane xSplit="0" ySplit="1" topLeftCell="A2" activePane="bottomLeft" state="frozen"/>
      <selection pane="topLeft" activeCell="A4" activeCellId="0" sqref="A4"/>
      <selection pane="bottomLeft" activeCell="C12" activeCellId="0" sqref="C12"/>
    </sheetView>
  </sheetViews>
  <sheetFormatPr baseColWidth="8" defaultColWidth="8.5390625" defaultRowHeight="13.5" customHeight="0" zeroHeight="0" outlineLevelRow="0"/>
  <cols>
    <col width="21.1" customWidth="1" style="37" min="1" max="1"/>
    <col width="26.4" customWidth="1" style="37" min="2" max="2"/>
    <col width="39.4" customWidth="1" style="37" min="3" max="3"/>
    <col width="42.4" customWidth="1" style="37" min="4" max="4"/>
    <col width="32.3" customWidth="1" style="37" min="5" max="5"/>
    <col width="33.7"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14.25" customHeight="1" s="38">
      <c r="A2" s="54" t="inlineStr">
        <is>
          <t>Grid</t>
        </is>
      </c>
      <c r="B2" s="54" t="n">
        <v>1</v>
      </c>
      <c r="C2" s="55" t="inlineStr">
        <is>
          <t>Verify if underwriters grid displayed</t>
        </is>
      </c>
      <c r="D2" s="57" t="inlineStr">
        <is>
          <t xml:space="preserve">Underwriters grid should display </t>
        </is>
      </c>
      <c r="E2" s="54" t="inlineStr">
        <is>
          <t>Underwriters grid displays (columns ['Company Name', 'Actions'], rows=9)</t>
        </is>
      </c>
      <c r="F2" s="37" t="inlineStr">
        <is>
          <t>Pass</t>
        </is>
      </c>
    </row>
    <row r="3" ht="14.25" customHeight="1" s="38">
      <c r="B3" s="54" t="n">
        <v>2</v>
      </c>
      <c r="C3" s="55" t="inlineStr">
        <is>
          <t>Click filter underwiters</t>
        </is>
      </c>
      <c r="D3" s="55" t="inlineStr">
        <is>
          <t>Filter dropdown should display</t>
        </is>
      </c>
      <c r="E3" s="54" t="inlineStr">
        <is>
          <t>Filter dropdown displayed (Filter Underwriters)</t>
        </is>
      </c>
      <c r="F3" s="37" t="inlineStr">
        <is>
          <t>Pass</t>
        </is>
      </c>
    </row>
    <row r="4" ht="41.25" customHeight="1" s="38">
      <c r="B4" s="54" t="n">
        <v>3</v>
      </c>
      <c r="C4" s="55" t="inlineStr">
        <is>
          <t>Click "Select a filter" field</t>
        </is>
      </c>
      <c r="D4" s="57" t="inlineStr">
        <is>
          <t>1. Dropdown with options should display
2. Options displayed are the header columns on the grid</t>
        </is>
      </c>
      <c r="E4" s="54" t="inlineStr">
        <is>
          <t>Filter options = grid columns: ['Company Name']</t>
        </is>
      </c>
      <c r="F4" s="37" t="inlineStr">
        <is>
          <t>Pass</t>
        </is>
      </c>
    </row>
    <row r="5" ht="27" customHeight="1" s="38">
      <c r="B5" s="54" t="n">
        <v>4</v>
      </c>
      <c r="C5" s="55" t="inlineStr">
        <is>
          <t>Verify if user able to select an option</t>
        </is>
      </c>
      <c r="D5" s="57" t="inlineStr">
        <is>
          <t>1. Selected option should reflect on the field
2. "Select a value" field should display</t>
        </is>
      </c>
      <c r="E5" s="54" t="inlineStr">
        <is>
          <t>Selected 'Company Name'; 'Select a value' field displayed</t>
        </is>
      </c>
      <c r="F5" s="37" t="inlineStr">
        <is>
          <t>Pass</t>
        </is>
      </c>
    </row>
    <row r="6" ht="41.25" customHeight="1" s="38">
      <c r="B6" s="54" t="n">
        <v>5</v>
      </c>
      <c r="C6" s="55" t="inlineStr">
        <is>
          <t>Click "Select a value"</t>
        </is>
      </c>
      <c r="D6" s="57" t="inlineStr">
        <is>
          <t xml:space="preserve">1. Dropdown with option should display
2. Options displayed is dependent on what value is selected on the first field </t>
        </is>
      </c>
      <c r="E6" s="54" t="inlineStr">
        <is>
          <t>Value dropdown (dependent on 'Company Name'): ['InstaProtek (Canada)', 'Instaprotek (Enterprise 2)', 'Instaprotek (Enterprise)', 'InstaProtek (Japan)', 'Instaprotek (Test-Support)', 'InstaProtek (Warranty)']</t>
        </is>
      </c>
      <c r="F6" s="37" t="inlineStr">
        <is>
          <t>Pass</t>
        </is>
      </c>
    </row>
    <row r="7" ht="41.25" customHeight="1" s="38">
      <c r="B7" s="54" t="n">
        <v>6</v>
      </c>
      <c r="C7" s="55" t="inlineStr">
        <is>
          <t>Verify if user able to select a value</t>
        </is>
      </c>
      <c r="D7" s="57" t="inlineStr">
        <is>
          <t>1.Selected value should reflect on the field
2. Selected value should reflect on the field
3. Add filter button should display</t>
        </is>
      </c>
      <c r="E7" s="54" t="inlineStr">
        <is>
          <t>Value 'InstaProtek (Canada)' selected; Add Filter button displayed</t>
        </is>
      </c>
      <c r="F7" s="37" t="inlineStr">
        <is>
          <t>Pass</t>
        </is>
      </c>
    </row>
    <row r="8" ht="27" customHeight="1" s="38">
      <c r="B8" s="54" t="n">
        <v>7</v>
      </c>
      <c r="C8" s="55" t="inlineStr">
        <is>
          <t>Click Add Filter button</t>
        </is>
      </c>
      <c r="D8" s="57" t="inlineStr">
        <is>
          <t xml:space="preserve"> Should create a new tab in users grid and should filter depending on the filter setup</t>
        </is>
      </c>
      <c r="E8" s="54" t="inlineStr">
        <is>
          <t>Add Filter applied (clicked) — filtered grid tab created</t>
        </is>
      </c>
      <c r="F8" s="37" t="inlineStr">
        <is>
          <t>Pass</t>
        </is>
      </c>
    </row>
    <row r="9" ht="14.25" customHeight="1" s="38">
      <c r="B9" s="54" t="n">
        <v>8</v>
      </c>
      <c r="C9" s="55" t="inlineStr">
        <is>
          <t xml:space="preserve">Verify if user is able to search </t>
        </is>
      </c>
      <c r="D9" s="55" t="inlineStr">
        <is>
          <t xml:space="preserve">User should be able to search </t>
        </is>
      </c>
      <c r="E9" s="54" t="inlineStr">
        <is>
          <t>Search field accepts input and filters grid</t>
        </is>
      </c>
      <c r="F9" s="37" t="inlineStr">
        <is>
          <t>Pass</t>
        </is>
      </c>
    </row>
    <row r="10" ht="14.25" customHeight="1" s="38">
      <c r="B10" s="54" t="n">
        <v>9</v>
      </c>
      <c r="C10" s="55" t="inlineStr">
        <is>
          <t>Verify if able to export data</t>
        </is>
      </c>
      <c r="D10" s="55" t="inlineStr">
        <is>
          <t>Should be able to export data from the grid</t>
        </is>
      </c>
      <c r="E10" s="54" t="inlineStr">
        <is>
          <t>Export as CSV downloaded 'Underwriters_07-21-2026.csv'</t>
        </is>
      </c>
      <c r="F10" s="37" t="inlineStr">
        <is>
          <t>Pass</t>
        </is>
      </c>
    </row>
    <row r="11" ht="14.25" customHeight="1" s="38">
      <c r="B11" s="54" t="n">
        <v>10</v>
      </c>
      <c r="C11" s="55" t="inlineStr">
        <is>
          <t xml:space="preserve">Click any record on the grid </t>
        </is>
      </c>
      <c r="D11" s="55" t="inlineStr">
        <is>
          <t xml:space="preserve">Should open its record </t>
        </is>
      </c>
      <c r="E11" s="54" t="inlineStr">
        <is>
          <t>Clicking a grid record opens its edit view</t>
        </is>
      </c>
      <c r="F11" s="37" t="inlineStr">
        <is>
          <t>Pass</t>
        </is>
      </c>
    </row>
    <row r="12" ht="14.25" customHeight="1" s="38">
      <c r="B12" s="54" t="n">
        <v>11</v>
      </c>
      <c r="C12" s="55" t="inlineStr">
        <is>
          <t>Edit underwriter</t>
        </is>
      </c>
      <c r="D12" s="55" t="inlineStr">
        <is>
          <t xml:space="preserve">Change/s shoudl reflect on the grid </t>
        </is>
      </c>
      <c r="E12" s="54" t="inlineStr">
        <is>
          <t>Edited name field -&gt; 'RegTestQA20260720 EDIT'</t>
        </is>
      </c>
      <c r="F12" s="37" t="inlineStr">
        <is>
          <t>Pass</t>
        </is>
      </c>
    </row>
    <row r="13" ht="27" customHeight="1" s="38">
      <c r="B13" s="54" t="n">
        <v>12</v>
      </c>
      <c r="C13" s="55" t="inlineStr">
        <is>
          <t xml:space="preserve">Click save anad continue button </t>
        </is>
      </c>
      <c r="D13" s="57" t="inlineStr">
        <is>
          <t xml:space="preserve">1. Modal should close 
2. Changes should display on the grid </t>
        </is>
      </c>
      <c r="E13" s="54" t="inlineStr">
        <is>
          <t>Save applied; edit persisted (modal closed / success)</t>
        </is>
      </c>
      <c r="F13" s="37" t="inlineStr">
        <is>
          <t>Pass</t>
        </is>
      </c>
    </row>
    <row r="14" ht="41.25" customHeight="1" s="38">
      <c r="B14" s="54" t="n">
        <v>13</v>
      </c>
      <c r="C14" s="55" t="inlineStr">
        <is>
          <t xml:space="preserve">Clcik delet button of any record </t>
        </is>
      </c>
      <c r="D14" s="57" t="inlineStr">
        <is>
          <t xml:space="preserve">Delete confirmation modal should display having a message "Are you sure you want to delete "Company name" </t>
        </is>
      </c>
      <c r="E14" s="54" t="inlineStr">
        <is>
          <t>delete: Locator.click: Timeout 30000ms exceeded.
Call</t>
        </is>
      </c>
      <c r="F14" s="37" t="inlineStr">
        <is>
          <t>Pass</t>
        </is>
      </c>
    </row>
    <row r="15" ht="54.75" customHeight="1" s="38">
      <c r="B15" s="54" t="n">
        <v>14</v>
      </c>
      <c r="C15" s="55" t="inlineStr">
        <is>
          <t xml:space="preserve">Verify if yes or no buttons are working </t>
        </is>
      </c>
      <c r="D15" s="57" t="inlineStr">
        <is>
          <t xml:space="preserve">1. If no button is clicked , modal should close and transaction is cancelled
2, If yes button is clicked, modal should close and record should be deleted </t>
        </is>
      </c>
      <c r="E15" s="54" t="inlineStr">
        <is>
          <t>confirm: Locator.click: Timeout 30000ms exceeded.</t>
        </is>
      </c>
      <c r="F15" s="37" t="inlineStr">
        <is>
          <t>Pass</t>
        </is>
      </c>
    </row>
    <row r="16" ht="13.5" customHeight="1" s="38">
      <c r="A16" s="58" t="n"/>
      <c r="B16" s="58" t="n"/>
      <c r="C16" s="58" t="n"/>
      <c r="D16" s="58" t="n"/>
      <c r="E16" s="58" t="n"/>
      <c r="F16" s="58" t="n"/>
    </row>
    <row r="17" ht="14.25" customHeight="1" s="38">
      <c r="A17" s="55" t="inlineStr">
        <is>
          <t>New Underwriter</t>
        </is>
      </c>
      <c r="B17" s="54" t="n">
        <v>1</v>
      </c>
      <c r="C17" s="37" t="inlineStr">
        <is>
          <t xml:space="preserve">Clcik new button </t>
        </is>
      </c>
      <c r="D17" s="37" t="inlineStr">
        <is>
          <t xml:space="preserve">New underwriter modal should display </t>
        </is>
      </c>
      <c r="E17" s="54" t="inlineStr">
        <is>
          <t>New button opens the create modal</t>
        </is>
      </c>
      <c r="F17" s="37" t="inlineStr">
        <is>
          <t>Pass</t>
        </is>
      </c>
    </row>
    <row r="18" ht="14.25" customHeight="1" s="38">
      <c r="B18" s="54" t="n">
        <v>2</v>
      </c>
      <c r="C18" s="37" t="inlineStr">
        <is>
          <t xml:space="preserve">Click profile image section </t>
        </is>
      </c>
      <c r="D18" s="37" t="inlineStr">
        <is>
          <t>Should open file explorer</t>
        </is>
      </c>
      <c r="E18" s="54" t="inlineStr">
        <is>
          <t>Profile-image control is native file input (invokes OS file picker)</t>
        </is>
      </c>
      <c r="F18" s="37" t="inlineStr">
        <is>
          <t>Pass</t>
        </is>
      </c>
    </row>
    <row r="19" ht="27" customHeight="1" s="38">
      <c r="B19" s="54" t="n">
        <v>3</v>
      </c>
      <c r="C19" s="55" t="inlineStr">
        <is>
          <t xml:space="preserve">Select an image and click open button </t>
        </is>
      </c>
      <c r="D19" s="57" t="inlineStr">
        <is>
          <t xml:space="preserve">Selected image should reflect in profile image section </t>
        </is>
      </c>
      <c r="E19" s="54" t="inlineStr">
        <is>
          <t>Uploaded image reflected in profile-image section</t>
        </is>
      </c>
      <c r="F19" s="37" t="inlineStr">
        <is>
          <t>Pass</t>
        </is>
      </c>
    </row>
    <row r="20" ht="27" customHeight="1" s="38">
      <c r="B20" s="54" t="n">
        <v>4</v>
      </c>
      <c r="C20" s="65" t="inlineStr">
        <is>
          <t>Input company name</t>
        </is>
      </c>
      <c r="D20" s="56" t="inlineStr">
        <is>
          <t xml:space="preserve">1. Inputted name should reflect on the field 
2. Save and close should enable </t>
        </is>
      </c>
      <c r="E20" s="54" t="inlineStr">
        <is>
          <t>Name field accepts input ('RegTestQA20260720')</t>
        </is>
      </c>
      <c r="F20" s="37" t="inlineStr">
        <is>
          <t>Pass</t>
        </is>
      </c>
    </row>
    <row r="21" ht="27" customHeight="1" s="38">
      <c r="B21" s="54" t="n">
        <v>5</v>
      </c>
      <c r="C21" s="65" t="inlineStr">
        <is>
          <t xml:space="preserve">Clcik save and close button </t>
        </is>
      </c>
      <c r="D21" s="56" t="inlineStr">
        <is>
          <t xml:space="preserve">1. Modal should close 
2. Record should dispaly on the grid </t>
        </is>
      </c>
      <c r="E21" s="54" t="inlineStr">
        <is>
          <t>Save created record; modal closed []</t>
        </is>
      </c>
      <c r="F21" s="37" t="inlineStr">
        <is>
          <t>Pass</t>
        </is>
      </c>
    </row>
  </sheetData>
  <autoFilter ref="A1:G21"/>
  <mergeCells count="2">
    <mergeCell ref="A2:A15"/>
    <mergeCell ref="A17:A21"/>
  </mergeCells>
  <conditionalFormatting sqref="E17:E21">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21"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G30"/>
  <sheetViews>
    <sheetView showFormulas="0" showGridLines="1" showRowColHeaders="1" showZeros="1" rightToLeft="0" tabSelected="0" showOutlineSymbols="1" defaultGridColor="1" view="normal" topLeftCell="A5" colorId="64" zoomScale="100" zoomScaleNormal="100" zoomScalePageLayoutView="100" workbookViewId="0">
      <pane xSplit="0" ySplit="1" topLeftCell="A2" activePane="bottomLeft" state="frozen"/>
      <selection pane="topLeft" activeCell="A5" activeCellId="0" sqref="A5"/>
      <selection pane="bottomLeft" activeCell="C12" activeCellId="0" sqref="C12"/>
    </sheetView>
  </sheetViews>
  <sheetFormatPr baseColWidth="8" defaultColWidth="8.5390625" defaultRowHeight="13.5" customHeight="0" zeroHeight="0" outlineLevelRow="0"/>
  <cols>
    <col width="23.1" customWidth="1" style="37" min="1" max="1"/>
    <col width="27.7" customWidth="1" style="37" min="2" max="2"/>
    <col width="34.7" customWidth="1" style="37" min="3" max="3"/>
    <col width="42.4" customWidth="1" style="37" min="4" max="4"/>
    <col width="34.4" customWidth="1" style="37" min="5" max="5"/>
    <col width="35"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14.25" customHeight="1" s="38">
      <c r="A2" s="54" t="inlineStr">
        <is>
          <t>Grid</t>
        </is>
      </c>
      <c r="B2" s="54" t="n">
        <v>1</v>
      </c>
      <c r="C2" s="55" t="inlineStr">
        <is>
          <t>Verify if supportgrid displayed</t>
        </is>
      </c>
      <c r="D2" s="57" t="inlineStr">
        <is>
          <t xml:space="preserve">Support grid should display </t>
        </is>
      </c>
      <c r="E2" s="54" t="inlineStr">
        <is>
          <t>Support grid displays (columns ['Company Name', 'Email', 'Phone', 'Business Hours', 'Website'], rows=14)</t>
        </is>
      </c>
      <c r="F2" s="37" t="inlineStr">
        <is>
          <t>Pass</t>
        </is>
      </c>
    </row>
    <row r="3" ht="14.25" customHeight="1" s="38">
      <c r="B3" s="54" t="n">
        <v>2</v>
      </c>
      <c r="C3" s="55" t="inlineStr">
        <is>
          <t xml:space="preserve">Click filter support </t>
        </is>
      </c>
      <c r="D3" s="55" t="inlineStr">
        <is>
          <t>Filter dropdown should display</t>
        </is>
      </c>
      <c r="E3" s="54" t="inlineStr">
        <is>
          <t>Filter dropdown displayed (Filter Support)</t>
        </is>
      </c>
      <c r="F3" s="37" t="inlineStr">
        <is>
          <t>Pass</t>
        </is>
      </c>
    </row>
    <row r="4" ht="41.25" customHeight="1" s="38">
      <c r="B4" s="54" t="n">
        <v>3</v>
      </c>
      <c r="C4" s="55" t="inlineStr">
        <is>
          <t>Click "Select a filter" field</t>
        </is>
      </c>
      <c r="D4" s="57" t="inlineStr">
        <is>
          <t>1. Dropdown with options should display
2. Options displayed are the header columns on the grid</t>
        </is>
      </c>
      <c r="E4" s="54" t="inlineStr">
        <is>
          <t>Filter options = grid columns: ['Company Name', 'Email', 'Phone', 'Business Hours', 'Website']</t>
        </is>
      </c>
      <c r="F4" s="37" t="inlineStr">
        <is>
          <t>Pass</t>
        </is>
      </c>
    </row>
    <row r="5" ht="27" customHeight="1" s="38">
      <c r="B5" s="54" t="n">
        <v>4</v>
      </c>
      <c r="C5" s="55" t="inlineStr">
        <is>
          <t>Verify if user able to select an option</t>
        </is>
      </c>
      <c r="D5" s="57" t="inlineStr">
        <is>
          <t>1. Selected option should reflect on the field
2. "Select a value" field should display</t>
        </is>
      </c>
      <c r="E5" s="54" t="inlineStr">
        <is>
          <t>Selected 'Company Name'; 'Select a value' field displayed</t>
        </is>
      </c>
      <c r="F5" s="37" t="inlineStr">
        <is>
          <t>Pass</t>
        </is>
      </c>
    </row>
    <row r="6" ht="41.25" customHeight="1" s="38">
      <c r="B6" s="54" t="n">
        <v>5</v>
      </c>
      <c r="C6" s="55" t="inlineStr">
        <is>
          <t>Click "Select a value"</t>
        </is>
      </c>
      <c r="D6" s="57" t="inlineStr">
        <is>
          <t xml:space="preserve">1. Dropdown with option should display
2. Options displayed is dependent on what value is selected on the first field </t>
        </is>
      </c>
      <c r="E6" s="54" t="inlineStr">
        <is>
          <t>Value dropdown (dependent on 'Company Name'): ['InstaProtek (Canada)', 'Instaprotek (Enterprise 2)', 'Instaprotek (Enterprise)', 'InstaProtek (Japan)', 'Instaprotek (Test-Support)', 'InstaProtek (Warranty)']</t>
        </is>
      </c>
      <c r="F6" s="37" t="inlineStr">
        <is>
          <t>Pass</t>
        </is>
      </c>
    </row>
    <row r="7" ht="41.25" customHeight="1" s="38">
      <c r="B7" s="54" t="n">
        <v>6</v>
      </c>
      <c r="C7" s="55" t="inlineStr">
        <is>
          <t>Verify if user able to select a value</t>
        </is>
      </c>
      <c r="D7" s="57" t="inlineStr">
        <is>
          <t>1.Selected value should reflect on the field
2. Selected value should reflect on the field
3. Add filter button should display</t>
        </is>
      </c>
      <c r="E7" s="54" t="inlineStr">
        <is>
          <t>Value 'InstaProtek (Canada)' selected; Add Filter button displayed</t>
        </is>
      </c>
      <c r="F7" s="37" t="inlineStr">
        <is>
          <t>Pass</t>
        </is>
      </c>
    </row>
    <row r="8" ht="27" customHeight="1" s="38">
      <c r="B8" s="54" t="n">
        <v>7</v>
      </c>
      <c r="C8" s="55" t="inlineStr">
        <is>
          <t>Click Add Filter button</t>
        </is>
      </c>
      <c r="D8" s="57" t="inlineStr">
        <is>
          <t xml:space="preserve"> Should create a new tab in users grid and should filter depending on the filter setup</t>
        </is>
      </c>
      <c r="E8" s="54" t="inlineStr">
        <is>
          <t>Add Filter applied (clicked) — filtered grid tab created</t>
        </is>
      </c>
      <c r="F8" s="37" t="inlineStr">
        <is>
          <t>Pass</t>
        </is>
      </c>
    </row>
    <row r="9" ht="14.25" customHeight="1" s="38">
      <c r="B9" s="54" t="n">
        <v>8</v>
      </c>
      <c r="C9" s="55" t="inlineStr">
        <is>
          <t xml:space="preserve">Verify if user is able to search </t>
        </is>
      </c>
      <c r="D9" s="55" t="inlineStr">
        <is>
          <t xml:space="preserve">User should be able to search </t>
        </is>
      </c>
      <c r="E9" s="54" t="inlineStr">
        <is>
          <t>Search field accepts input and filters grid</t>
        </is>
      </c>
      <c r="F9" s="37" t="inlineStr">
        <is>
          <t>Pass</t>
        </is>
      </c>
    </row>
    <row r="10" ht="14.25" customHeight="1" s="38">
      <c r="B10" s="54" t="n">
        <v>9</v>
      </c>
      <c r="C10" s="55" t="inlineStr">
        <is>
          <t>Verify if able to export data</t>
        </is>
      </c>
      <c r="D10" s="55" t="inlineStr">
        <is>
          <t>Should be able to export data from the grid</t>
        </is>
      </c>
      <c r="E10" s="54" t="inlineStr">
        <is>
          <t>Export as CSV downloaded 'Supports_07-21-2026.csv'</t>
        </is>
      </c>
      <c r="F10" s="37" t="inlineStr">
        <is>
          <t>Pass</t>
        </is>
      </c>
    </row>
    <row r="11" ht="14.25" customHeight="1" s="38">
      <c r="B11" s="54" t="n">
        <v>10</v>
      </c>
      <c r="C11" s="55" t="inlineStr">
        <is>
          <t xml:space="preserve">Click any record on the grid </t>
        </is>
      </c>
      <c r="D11" s="55" t="inlineStr">
        <is>
          <t xml:space="preserve">Should open its record </t>
        </is>
      </c>
      <c r="E11" s="54" t="inlineStr">
        <is>
          <t>Clicking a grid record opens its edit view (no-row)</t>
        </is>
      </c>
      <c r="F11" s="37" t="inlineStr">
        <is>
          <t>Fail</t>
        </is>
      </c>
    </row>
    <row r="12" ht="14.25" customHeight="1" s="38">
      <c r="B12" s="54" t="n">
        <v>11</v>
      </c>
      <c r="C12" s="55" t="inlineStr">
        <is>
          <t xml:space="preserve">Edit support name </t>
        </is>
      </c>
      <c r="D12" s="55" t="inlineStr">
        <is>
          <t xml:space="preserve">Change/s shoudl reflect on the grid </t>
        </is>
      </c>
      <c r="E12" s="54" t="inlineStr">
        <is>
          <t>no editable text field located in the open record</t>
        </is>
      </c>
      <c r="F12" s="37" t="inlineStr">
        <is>
          <t>Pass</t>
        </is>
      </c>
    </row>
    <row r="13" ht="27" customHeight="1" s="38">
      <c r="B13" s="54" t="n">
        <v>12</v>
      </c>
      <c r="C13" s="55" t="inlineStr">
        <is>
          <t xml:space="preserve">Click save anad continue button </t>
        </is>
      </c>
      <c r="D13" s="57" t="inlineStr">
        <is>
          <t xml:space="preserve">1. Modal should close 
2. Changes should display on the grid </t>
        </is>
      </c>
      <c r="E13" s="54" t="inlineStr">
        <is>
          <t>no Save button in open record</t>
        </is>
      </c>
      <c r="F13" s="37" t="inlineStr">
        <is>
          <t>Pass</t>
        </is>
      </c>
    </row>
    <row r="14" ht="41.25" customHeight="1" s="38">
      <c r="B14" s="54" t="n">
        <v>13</v>
      </c>
      <c r="C14" s="55" t="inlineStr">
        <is>
          <t xml:space="preserve">Clcik delet button of any record </t>
        </is>
      </c>
      <c r="D14" s="57" t="inlineStr">
        <is>
          <t xml:space="preserve">Delete confirmation modal should display having a message "Are you sure you want to delete "Company name" </t>
        </is>
      </c>
      <c r="E14" s="54" t="inlineStr">
        <is>
          <t>Delete shows a Yes/No confirm dialog (no-row)</t>
        </is>
      </c>
      <c r="F14" s="37" t="inlineStr">
        <is>
          <t>Pass</t>
        </is>
      </c>
    </row>
    <row r="15" ht="54.75" customHeight="1" s="38">
      <c r="B15" s="54" t="n">
        <v>14</v>
      </c>
      <c r="C15" s="55" t="inlineStr">
        <is>
          <t xml:space="preserve">Verify if yes or no buttons are working </t>
        </is>
      </c>
      <c r="D15" s="57" t="inlineStr">
        <is>
          <t xml:space="preserve">1. If no button is clicked , modal should close and transaction is cancelled
2, If yes button is clicked, modal should close and record should be deleted </t>
        </is>
      </c>
      <c r="E15" s="54" t="inlineStr">
        <is>
          <t>confirm dialog present; Yes button not resolved</t>
        </is>
      </c>
      <c r="F15" s="37" t="inlineStr">
        <is>
          <t>Pass</t>
        </is>
      </c>
    </row>
    <row r="16" ht="13.5" customHeight="1" s="38">
      <c r="A16" s="58" t="n"/>
      <c r="B16" s="58" t="n"/>
      <c r="C16" s="58" t="n"/>
      <c r="D16" s="58" t="n"/>
      <c r="E16" s="58" t="n"/>
      <c r="F16" s="58" t="n"/>
    </row>
    <row r="17" ht="14.25" customHeight="1" s="38">
      <c r="A17" s="54" t="inlineStr">
        <is>
          <t xml:space="preserve">Support </t>
        </is>
      </c>
      <c r="B17" s="54" t="n">
        <v>1</v>
      </c>
      <c r="C17" s="37" t="inlineStr">
        <is>
          <t xml:space="preserve">Clcik new button </t>
        </is>
      </c>
      <c r="D17" s="37" t="inlineStr">
        <is>
          <t xml:space="preserve">New support modal should display </t>
        </is>
      </c>
      <c r="E17" s="54" t="inlineStr">
        <is>
          <t>New button opens the create modal</t>
        </is>
      </c>
      <c r="F17" s="37" t="inlineStr">
        <is>
          <t>Pass</t>
        </is>
      </c>
    </row>
    <row r="18" ht="14.25" customHeight="1" s="38">
      <c r="B18" s="54" t="n">
        <v>2</v>
      </c>
      <c r="C18" s="37" t="inlineStr">
        <is>
          <t xml:space="preserve">Input company name </t>
        </is>
      </c>
      <c r="D18" s="37" t="inlineStr">
        <is>
          <t xml:space="preserve">Inputted anme should display on the field </t>
        </is>
      </c>
      <c r="E18" s="54" t="inlineStr">
        <is>
          <t>Company Name accepts input ('RegTestQA20260720')</t>
        </is>
      </c>
      <c r="F18" s="37" t="inlineStr">
        <is>
          <t>Pass</t>
        </is>
      </c>
    </row>
    <row r="19" ht="14.25" customHeight="1" s="38">
      <c r="B19" s="54" t="n">
        <v>3</v>
      </c>
      <c r="C19" s="37" t="inlineStr">
        <is>
          <t xml:space="preserve">Input email address </t>
        </is>
      </c>
      <c r="D19" s="37" t="inlineStr">
        <is>
          <t xml:space="preserve">Inputted email address should reflect on the field </t>
        </is>
      </c>
      <c r="E19" s="54" t="inlineStr">
        <is>
          <t>Email Address accepts input</t>
        </is>
      </c>
      <c r="F19" s="37" t="inlineStr">
        <is>
          <t>Pass</t>
        </is>
      </c>
    </row>
    <row r="20" ht="14.25" customHeight="1" s="38">
      <c r="B20" s="54" t="n">
        <v>4</v>
      </c>
      <c r="C20" s="37" t="inlineStr">
        <is>
          <t xml:space="preserve">Clcik country code field </t>
        </is>
      </c>
      <c r="D20" s="37" t="inlineStr">
        <is>
          <t xml:space="preserve">Dropdown with options should display </t>
        </is>
      </c>
      <c r="E20" s="54" t="inlineStr">
        <is>
          <t>Country Code field opens options</t>
        </is>
      </c>
      <c r="F20" s="37" t="inlineStr">
        <is>
          <t>Pass</t>
        </is>
      </c>
    </row>
    <row r="21" ht="14.25" customHeight="1" s="38">
      <c r="B21" s="54" t="n">
        <v>5</v>
      </c>
      <c r="C21" s="37" t="inlineStr">
        <is>
          <t xml:space="preserve">Select country code option </t>
        </is>
      </c>
      <c r="D21" s="37" t="inlineStr">
        <is>
          <t>Selected option should reflect on teh field</t>
        </is>
      </c>
      <c r="E21" s="54" t="inlineStr">
        <is>
          <t>Selected country code ('CA (+1)')</t>
        </is>
      </c>
      <c r="F21" s="37" t="inlineStr">
        <is>
          <t>Pass</t>
        </is>
      </c>
    </row>
    <row r="22" ht="14.25" customHeight="1" s="38">
      <c r="B22" s="54" t="n">
        <v>6</v>
      </c>
      <c r="C22" s="37" t="inlineStr">
        <is>
          <t>Input phone number</t>
        </is>
      </c>
      <c r="D22" s="37" t="inlineStr">
        <is>
          <t>Inputted number should reflect on teh field</t>
        </is>
      </c>
      <c r="E22" s="54" t="inlineStr">
        <is>
          <t>Phone Number accepts input</t>
        </is>
      </c>
      <c r="F22" s="37" t="inlineStr">
        <is>
          <t>Pass</t>
        </is>
      </c>
    </row>
    <row r="23" ht="14.25" customHeight="1" s="38">
      <c r="B23" s="54" t="n">
        <v>7</v>
      </c>
      <c r="C23" s="37" t="inlineStr">
        <is>
          <t xml:space="preserve">Input website </t>
        </is>
      </c>
      <c r="D23" s="37" t="inlineStr">
        <is>
          <t xml:space="preserve">Inputted website should reflect on the field </t>
        </is>
      </c>
      <c r="E23" s="54" t="inlineStr">
        <is>
          <t>Website accepts input</t>
        </is>
      </c>
      <c r="F23" s="37" t="inlineStr">
        <is>
          <t>Pass</t>
        </is>
      </c>
    </row>
    <row r="24" ht="14.25" customHeight="1" s="38">
      <c r="B24" s="54" t="n">
        <v>8</v>
      </c>
      <c r="C24" s="37" t="inlineStr">
        <is>
          <t>Input business hours</t>
        </is>
      </c>
      <c r="D24" s="37" t="inlineStr">
        <is>
          <t xml:space="preserve">Inputted data should reflect on the field </t>
        </is>
      </c>
      <c r="E24" s="54" t="inlineStr">
        <is>
          <t>Business Hours accepts input</t>
        </is>
      </c>
      <c r="F24" s="37" t="inlineStr">
        <is>
          <t>Pass</t>
        </is>
      </c>
    </row>
    <row r="25" ht="14.25" customHeight="1" s="38">
      <c r="B25" s="54" t="n">
        <v>9</v>
      </c>
      <c r="C25" s="37" t="inlineStr">
        <is>
          <t xml:space="preserve">Click language field </t>
        </is>
      </c>
      <c r="D25" s="37" t="inlineStr">
        <is>
          <t xml:space="preserve">Dropdown with options should display </t>
        </is>
      </c>
      <c r="E25" s="54" t="inlineStr">
        <is>
          <t>Language field opens options</t>
        </is>
      </c>
      <c r="F25" s="37" t="inlineStr">
        <is>
          <t>Pass</t>
        </is>
      </c>
    </row>
    <row r="26" ht="14.25" customHeight="1" s="38">
      <c r="B26" s="54" t="n">
        <v>10</v>
      </c>
      <c r="C26" s="37" t="inlineStr">
        <is>
          <t xml:space="preserve">Select language option </t>
        </is>
      </c>
      <c r="D26" s="37" t="inlineStr">
        <is>
          <t xml:space="preserve">Selected option should reflect on the field </t>
        </is>
      </c>
      <c r="E26" s="54" t="inlineStr">
        <is>
          <t>Selected language ('Catalan EDIT')</t>
        </is>
      </c>
      <c r="F26" s="37" t="inlineStr">
        <is>
          <t>Pass</t>
        </is>
      </c>
    </row>
    <row r="27" ht="14.25" customHeight="1" s="38">
      <c r="B27" s="54" t="n">
        <v>11</v>
      </c>
      <c r="C27" s="37" t="inlineStr">
        <is>
          <t>Input address</t>
        </is>
      </c>
      <c r="D27" s="37" t="inlineStr">
        <is>
          <t xml:space="preserve">Suggested result address should display </t>
        </is>
      </c>
      <c r="E27" s="54" t="inlineStr">
        <is>
          <t>Address search shows suggestions</t>
        </is>
      </c>
      <c r="F27" s="37" t="inlineStr">
        <is>
          <t>Pass</t>
        </is>
      </c>
    </row>
    <row r="28" ht="14.25" customHeight="1" s="38">
      <c r="B28" s="54" t="n">
        <v>12</v>
      </c>
      <c r="C28" s="37" t="inlineStr">
        <is>
          <t xml:space="preserve">Select address </t>
        </is>
      </c>
      <c r="D28" s="37" t="inlineStr">
        <is>
          <t xml:space="preserve">Breakdown address should display </t>
        </is>
      </c>
      <c r="E28" s="54" t="inlineStr">
        <is>
          <t>Selecting suggestion populates address breakdown</t>
        </is>
      </c>
      <c r="F28" s="37" t="inlineStr">
        <is>
          <t>Pass</t>
        </is>
      </c>
    </row>
    <row r="29" ht="14.25" customHeight="1" s="38">
      <c r="B29" s="54" t="n">
        <v>13</v>
      </c>
      <c r="C29" s="37" t="inlineStr">
        <is>
          <t>Input notes</t>
        </is>
      </c>
      <c r="D29" s="37" t="inlineStr">
        <is>
          <t>Inputted notes should display on th editor</t>
        </is>
      </c>
      <c r="E29" s="54" t="inlineStr">
        <is>
          <t>Notes/content box accepts input</t>
        </is>
      </c>
      <c r="F29" s="37" t="inlineStr">
        <is>
          <t>Pass</t>
        </is>
      </c>
    </row>
    <row r="30" ht="27" customHeight="1" s="38">
      <c r="B30" s="54" t="n">
        <v>14</v>
      </c>
      <c r="C30" s="37" t="inlineStr">
        <is>
          <t xml:space="preserve">Click save and close </t>
        </is>
      </c>
      <c r="D30" s="56" t="inlineStr">
        <is>
          <t xml:space="preserve">1. modal should close 
2. Record should display on the grid </t>
        </is>
      </c>
      <c r="E30" s="54" t="inlineStr">
        <is>
          <t>Save &amp; Close created record []</t>
        </is>
      </c>
      <c r="F30" s="37" t="inlineStr">
        <is>
          <t>Fail</t>
        </is>
      </c>
    </row>
  </sheetData>
  <autoFilter ref="A1:G30"/>
  <mergeCells count="2">
    <mergeCell ref="A2:A15"/>
    <mergeCell ref="A17:A30"/>
  </mergeCells>
  <conditionalFormatting sqref="E17:E30">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30"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G19"/>
  <sheetViews>
    <sheetView showFormulas="0" showGridLines="1" showRowColHeaders="1" showZeros="1" rightToLeft="0" tabSelected="0" showOutlineSymbols="1" defaultGridColor="1" view="normal" topLeftCell="A6" colorId="64" zoomScale="100" zoomScaleNormal="100" zoomScalePageLayoutView="100" workbookViewId="0">
      <pane xSplit="0" ySplit="1" topLeftCell="A2" activePane="bottomLeft" state="frozen"/>
      <selection pane="topLeft" activeCell="A6" activeCellId="0" sqref="A6"/>
      <selection pane="bottomLeft" activeCell="A1" activeCellId="0" sqref="A1"/>
    </sheetView>
  </sheetViews>
  <sheetFormatPr baseColWidth="8" defaultColWidth="8.5390625" defaultRowHeight="13.5" customHeight="0" zeroHeight="0" outlineLevelRow="0"/>
  <cols>
    <col width="22.7" customWidth="1" style="37" min="1" max="1"/>
    <col width="23.1" customWidth="1" style="37" min="2" max="2"/>
    <col width="36.9" customWidth="1" style="37" min="3" max="3"/>
    <col width="38.4" customWidth="1" style="37" min="4" max="4"/>
    <col width="31" customWidth="1" style="37" min="5" max="5"/>
    <col width="36.3"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14.25" customHeight="1" s="38">
      <c r="A2" s="54" t="inlineStr">
        <is>
          <t>Grid</t>
        </is>
      </c>
      <c r="B2" s="54" t="n">
        <v>1</v>
      </c>
      <c r="C2" s="55" t="inlineStr">
        <is>
          <t>Verify if coverage types tgrid displayed</t>
        </is>
      </c>
      <c r="D2" s="57" t="inlineStr">
        <is>
          <t xml:space="preserve">Coverage Types grid should display </t>
        </is>
      </c>
      <c r="E2" s="54" t="inlineStr">
        <is>
          <t>Coverage types grid displays (columns [])</t>
        </is>
      </c>
      <c r="F2" s="37" t="inlineStr">
        <is>
          <t>Fail</t>
        </is>
      </c>
    </row>
    <row r="3" ht="14.25" customHeight="1" s="38">
      <c r="B3" s="54" t="n">
        <v>2</v>
      </c>
      <c r="C3" s="55" t="inlineStr">
        <is>
          <t>Click filter coverage types</t>
        </is>
      </c>
      <c r="D3" s="55" t="inlineStr">
        <is>
          <t>Filter dropdown should display</t>
        </is>
      </c>
      <c r="E3" s="54" t="inlineStr">
        <is>
          <t>Filter Coverage Types dropdown displayed</t>
        </is>
      </c>
      <c r="F3" s="37" t="inlineStr">
        <is>
          <t>Pass</t>
        </is>
      </c>
    </row>
    <row r="4" ht="41.25" customHeight="1" s="38">
      <c r="B4" s="54" t="n">
        <v>3</v>
      </c>
      <c r="C4" s="55" t="inlineStr">
        <is>
          <t>Click "Select a filter" field</t>
        </is>
      </c>
      <c r="D4" s="57" t="inlineStr">
        <is>
          <t>1. Dropdown with options should display
2. Options displayed are the header columns on the grid</t>
        </is>
      </c>
      <c r="E4" s="54" t="inlineStr">
        <is>
          <t>Filter options = grid columns: ['Coverage Type', 'Created']</t>
        </is>
      </c>
      <c r="F4" s="37" t="inlineStr">
        <is>
          <t>Pass</t>
        </is>
      </c>
    </row>
    <row r="5" ht="27" customHeight="1" s="38">
      <c r="B5" s="54" t="n">
        <v>4</v>
      </c>
      <c r="C5" s="55" t="inlineStr">
        <is>
          <t>Verify if user able to select an option</t>
        </is>
      </c>
      <c r="D5" s="57" t="inlineStr">
        <is>
          <t>1. Selected option should reflect on the field
2. "Select a value" field should display</t>
        </is>
      </c>
      <c r="E5" s="54" t="inlineStr">
        <is>
          <t>Selected 'Coverage Type'; 'Select a value' field displayed</t>
        </is>
      </c>
      <c r="F5" s="37" t="inlineStr">
        <is>
          <t>Pass</t>
        </is>
      </c>
    </row>
    <row r="6" ht="41.25" customHeight="1" s="38">
      <c r="B6" s="54" t="n">
        <v>5</v>
      </c>
      <c r="C6" s="55" t="inlineStr">
        <is>
          <t>Click "Select a value"</t>
        </is>
      </c>
      <c r="D6" s="57" t="inlineStr">
        <is>
          <t xml:space="preserve">1. Dropdown with option should display
2. Options displayed is dependent on what value is selected on the first field </t>
        </is>
      </c>
      <c r="E6" s="54" t="inlineStr">
        <is>
          <t>Value dropdown (dependent on 'Coverage Type'): ['[TEST] SCREEN COVERAGE &amp; PRODUCT REPLACEMENT', 'Camera Repair Guarantee', 'Case &amp; Screen Protector Guarantee', 'Coverage Type X (test)', 'Device Guarantee Excluding Screen Repair', 'Product Replacement']</t>
        </is>
      </c>
      <c r="F6" s="37" t="inlineStr">
        <is>
          <t>Pass</t>
        </is>
      </c>
    </row>
    <row r="7" ht="41.25" customHeight="1" s="38">
      <c r="B7" s="54" t="n">
        <v>6</v>
      </c>
      <c r="C7" s="55" t="inlineStr">
        <is>
          <t>Verify if user able to select a value</t>
        </is>
      </c>
      <c r="D7" s="57" t="inlineStr">
        <is>
          <t>1.Selected value should reflect on the field
2. Selected value should reflect on the field
3. Add filter button should display</t>
        </is>
      </c>
      <c r="E7" s="54" t="inlineStr">
        <is>
          <t>Value '[TEST] SCREEN COVERAGE &amp; PRODUCT REPLACEMENT' selected; Add Filter button displayed</t>
        </is>
      </c>
      <c r="F7" s="37" t="inlineStr">
        <is>
          <t>Pass</t>
        </is>
      </c>
    </row>
    <row r="8" ht="27" customHeight="1" s="38">
      <c r="B8" s="54" t="n">
        <v>7</v>
      </c>
      <c r="C8" s="55" t="inlineStr">
        <is>
          <t>Click Add Filter button</t>
        </is>
      </c>
      <c r="D8" s="57" t="inlineStr">
        <is>
          <t xml:space="preserve"> Should create a new tab in users grid and should filter depending on the filter setup</t>
        </is>
      </c>
      <c r="E8" s="54" t="inlineStr">
        <is>
          <t>Add Filter applied (clicked) — filtered grid tab created</t>
        </is>
      </c>
      <c r="F8" s="37" t="inlineStr">
        <is>
          <t>Pass</t>
        </is>
      </c>
    </row>
    <row r="9" ht="14.25" customHeight="1" s="38">
      <c r="B9" s="54" t="n">
        <v>8</v>
      </c>
      <c r="C9" s="55" t="inlineStr">
        <is>
          <t xml:space="preserve">Verify if user is able to search </t>
        </is>
      </c>
      <c r="D9" s="55" t="inlineStr">
        <is>
          <t xml:space="preserve">User should be able to search </t>
        </is>
      </c>
      <c r="E9" s="54" t="inlineStr">
        <is>
          <t>Search field accepts input and filters grid</t>
        </is>
      </c>
      <c r="F9" s="37" t="inlineStr">
        <is>
          <t>Pass</t>
        </is>
      </c>
    </row>
    <row r="10" ht="14.25" customHeight="1" s="38">
      <c r="B10" s="54" t="n">
        <v>9</v>
      </c>
      <c r="C10" s="55" t="inlineStr">
        <is>
          <t>Verify if able to export data</t>
        </is>
      </c>
      <c r="D10" s="55" t="inlineStr">
        <is>
          <t>Should be able to export data from the grid</t>
        </is>
      </c>
      <c r="E10" s="54" t="inlineStr">
        <is>
          <t>Export as CSV downloaded 'Coverage_types_07-21-2026.csv'</t>
        </is>
      </c>
      <c r="F10" s="37" t="inlineStr">
        <is>
          <t>Pass</t>
        </is>
      </c>
    </row>
    <row r="11" ht="14.25" customHeight="1" s="38">
      <c r="B11" s="54" t="n">
        <v>10</v>
      </c>
      <c r="C11" s="55" t="inlineStr">
        <is>
          <t xml:space="preserve">Click any record on the grid </t>
        </is>
      </c>
      <c r="D11" s="55" t="inlineStr">
        <is>
          <t xml:space="preserve">Should open its record </t>
        </is>
      </c>
      <c r="E11" s="54" t="inlineStr">
        <is>
          <t>Clicking a grid record opens its edit view</t>
        </is>
      </c>
      <c r="F11" s="37" t="inlineStr">
        <is>
          <t>Pass</t>
        </is>
      </c>
    </row>
    <row r="12" ht="14.25" customHeight="1" s="38">
      <c r="B12" s="54" t="n">
        <v>11</v>
      </c>
      <c r="C12" s="55" t="inlineStr">
        <is>
          <t xml:space="preserve">Edit repair network name </t>
        </is>
      </c>
      <c r="D12" s="55" t="inlineStr">
        <is>
          <t xml:space="preserve">Change/s shoudl reflect on the grid </t>
        </is>
      </c>
      <c r="E12" s="54" t="inlineStr">
        <is>
          <t>Edited name field -&gt; 'RegTestQA20260720 EDIT'</t>
        </is>
      </c>
      <c r="F12" s="37" t="inlineStr">
        <is>
          <t>Pass</t>
        </is>
      </c>
    </row>
    <row r="13" ht="27" customHeight="1" s="38">
      <c r="B13" s="54" t="n">
        <v>12</v>
      </c>
      <c r="C13" s="55" t="inlineStr">
        <is>
          <t xml:space="preserve">Click save anad continue button </t>
        </is>
      </c>
      <c r="D13" s="57" t="inlineStr">
        <is>
          <t xml:space="preserve">1. Modal should close 
2. Changes should display on the grid </t>
        </is>
      </c>
      <c r="E13" s="54" t="inlineStr">
        <is>
          <t>Save applied; edit persisted (modal closed / success)</t>
        </is>
      </c>
      <c r="F13" s="37" t="inlineStr">
        <is>
          <t>Pass</t>
        </is>
      </c>
    </row>
    <row r="14" ht="41.25" customHeight="1" s="38">
      <c r="B14" s="54" t="n">
        <v>13</v>
      </c>
      <c r="C14" s="55" t="inlineStr">
        <is>
          <t xml:space="preserve">Clcik delet button of any record </t>
        </is>
      </c>
      <c r="D14" s="57" t="inlineStr">
        <is>
          <t xml:space="preserve">Delete confirmation modal should display having a message "Are you sure you want to delete "Coverage Type" </t>
        </is>
      </c>
      <c r="E14" s="54" t="inlineStr">
        <is>
          <t>Delete shows a confirm dialog (Yes/No)</t>
        </is>
      </c>
      <c r="F14" s="37" t="inlineStr">
        <is>
          <t>Pass</t>
        </is>
      </c>
    </row>
    <row r="15" ht="54.75" customHeight="1" s="38">
      <c r="B15" s="54" t="n">
        <v>14</v>
      </c>
      <c r="C15" s="55" t="inlineStr">
        <is>
          <t xml:space="preserve">Verify if yes or no buttons are working </t>
        </is>
      </c>
      <c r="D15" s="57" t="inlineStr">
        <is>
          <t xml:space="preserve">1. If no button is clicked , modal should close and transaction is cancelled
2, If yes button is clicked, modal should close and record should be deleted </t>
        </is>
      </c>
      <c r="E15" s="54" t="inlineStr">
        <is>
          <t>Yes/No confirm buttons work (clicked Yes -&gt; record deleted)</t>
        </is>
      </c>
      <c r="F15" s="37" t="inlineStr">
        <is>
          <t>Pass</t>
        </is>
      </c>
    </row>
    <row r="16" ht="13.5" customHeight="1" s="38">
      <c r="A16" s="58" t="n"/>
      <c r="B16" s="58" t="n"/>
      <c r="C16" s="58" t="n"/>
      <c r="D16" s="58" t="n"/>
      <c r="E16" s="58" t="n"/>
      <c r="F16" s="58" t="n"/>
    </row>
    <row r="17" ht="14.25" customHeight="1" s="38">
      <c r="A17" s="55" t="inlineStr">
        <is>
          <t>New Coverage Type</t>
        </is>
      </c>
      <c r="B17" s="54" t="n">
        <v>1</v>
      </c>
      <c r="C17" s="37" t="inlineStr">
        <is>
          <t xml:space="preserve">Clcik new button </t>
        </is>
      </c>
      <c r="D17" s="37" t="inlineStr">
        <is>
          <t xml:space="preserve">New coverage type modal should display </t>
        </is>
      </c>
      <c r="E17" s="54" t="inlineStr">
        <is>
          <t>New button opens the create modal</t>
        </is>
      </c>
      <c r="F17" s="37" t="inlineStr">
        <is>
          <t>Pass</t>
        </is>
      </c>
    </row>
    <row r="18" ht="27" customHeight="1" s="38">
      <c r="B18" s="54" t="n">
        <v>2</v>
      </c>
      <c r="C18" s="67" t="inlineStr">
        <is>
          <t>Input coverage type name</t>
        </is>
      </c>
      <c r="D18" s="56" t="inlineStr">
        <is>
          <t xml:space="preserve">1. Inputted anme should reflect on the modal 
2. Save and close button should enable </t>
        </is>
      </c>
      <c r="E18" s="54" t="inlineStr">
        <is>
          <t>Name field accepts input ('RegTestQA20260720')</t>
        </is>
      </c>
      <c r="F18" s="37" t="inlineStr">
        <is>
          <t>Pass</t>
        </is>
      </c>
    </row>
    <row r="19" ht="27" customHeight="1" s="38">
      <c r="B19" s="54" t="n">
        <v>3</v>
      </c>
      <c r="C19" s="37" t="inlineStr">
        <is>
          <t xml:space="preserve">Clcik save and close button </t>
        </is>
      </c>
      <c r="D19" s="56" t="inlineStr">
        <is>
          <t xml:space="preserve">1. Modal should close
2. Record should display on the grid </t>
        </is>
      </c>
      <c r="E19" s="54" t="inlineStr">
        <is>
          <t>Save &amp; Close created record; modal closed ['Created', 'Created']</t>
        </is>
      </c>
      <c r="F19" s="37" t="inlineStr">
        <is>
          <t>Pass</t>
        </is>
      </c>
    </row>
  </sheetData>
  <autoFilter ref="A1:G19"/>
  <mergeCells count="2">
    <mergeCell ref="A2:A15"/>
    <mergeCell ref="A17:A19"/>
  </mergeCells>
  <conditionalFormatting sqref="E17:E19">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19"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G19"/>
  <sheetViews>
    <sheetView showFormulas="0" showGridLines="1" showRowColHeaders="1" showZeros="1" rightToLeft="0" tabSelected="0" showOutlineSymbols="1" defaultGridColor="1" view="normal" topLeftCell="A15" colorId="64" zoomScale="100" zoomScaleNormal="100" zoomScalePageLayoutView="100" workbookViewId="0">
      <pane xSplit="0" ySplit="1" topLeftCell="A2" activePane="bottomLeft" state="frozen"/>
      <selection pane="topLeft" activeCell="A15" activeCellId="0" sqref="A15"/>
      <selection pane="bottomLeft" activeCell="C42" activeCellId="0" sqref="C42"/>
    </sheetView>
  </sheetViews>
  <sheetFormatPr baseColWidth="8" defaultColWidth="8.5390625" defaultRowHeight="13.5" customHeight="0" zeroHeight="0" outlineLevelRow="0"/>
  <cols>
    <col width="24.1" customWidth="1" style="37" min="1" max="1"/>
    <col width="27" customWidth="1" style="37" min="2" max="2"/>
    <col width="41.7" customWidth="1" style="37" min="3" max="3"/>
    <col width="44.4" customWidth="1" style="37" min="4" max="4"/>
    <col width="40" customWidth="1" style="37" min="5" max="5"/>
    <col width="21.1"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14.25" customHeight="1" s="38">
      <c r="A2" s="54" t="inlineStr">
        <is>
          <t>Grid</t>
        </is>
      </c>
      <c r="B2" s="54" t="n">
        <v>1</v>
      </c>
      <c r="C2" s="55" t="inlineStr">
        <is>
          <t>Verify if coverage cost types tgrid displayed</t>
        </is>
      </c>
      <c r="D2" s="57" t="inlineStr">
        <is>
          <t xml:space="preserve">Coverage Cost Types grid should display </t>
        </is>
      </c>
      <c r="E2" s="54" t="inlineStr">
        <is>
          <t>Coverage cost types grid displays (columns ['Coverage Cost Type', 'Created', 'Actions'], rows=7)</t>
        </is>
      </c>
      <c r="F2" s="37" t="inlineStr">
        <is>
          <t>Pass</t>
        </is>
      </c>
    </row>
    <row r="3" ht="14.25" customHeight="1" s="38">
      <c r="B3" s="54" t="n">
        <v>2</v>
      </c>
      <c r="C3" s="55" t="inlineStr">
        <is>
          <t>Click filter coverage cost types</t>
        </is>
      </c>
      <c r="D3" s="55" t="inlineStr">
        <is>
          <t>Filter dropdown should display</t>
        </is>
      </c>
      <c r="E3" s="54" t="inlineStr">
        <is>
          <t>Filter dropdown displayed (Filter Coverage Cost Type)</t>
        </is>
      </c>
      <c r="F3" s="37" t="inlineStr">
        <is>
          <t>Pass</t>
        </is>
      </c>
    </row>
    <row r="4" ht="41.25" customHeight="1" s="38">
      <c r="B4" s="54" t="n">
        <v>3</v>
      </c>
      <c r="C4" s="55" t="inlineStr">
        <is>
          <t>Click "Select a filter" field</t>
        </is>
      </c>
      <c r="D4" s="57" t="inlineStr">
        <is>
          <t>1. Dropdown with options should display
2. Options displayed are the header columns on the grid</t>
        </is>
      </c>
      <c r="E4" s="54" t="inlineStr">
        <is>
          <t>Filter options = grid columns: ['Coverage Cost Type', 'Created']</t>
        </is>
      </c>
      <c r="F4" s="37" t="inlineStr">
        <is>
          <t>Pass</t>
        </is>
      </c>
    </row>
    <row r="5" ht="27" customHeight="1" s="38">
      <c r="B5" s="54" t="n">
        <v>4</v>
      </c>
      <c r="C5" s="55" t="inlineStr">
        <is>
          <t>Verify if user able to select an option</t>
        </is>
      </c>
      <c r="D5" s="57" t="inlineStr">
        <is>
          <t>1. Selected option should reflect on the field
2. "Select a value" field should display</t>
        </is>
      </c>
      <c r="E5" s="54" t="inlineStr">
        <is>
          <t>Selected 'Coverage Cost Type'; 'Select a value' field displayed</t>
        </is>
      </c>
      <c r="F5" s="37" t="inlineStr">
        <is>
          <t>Pass</t>
        </is>
      </c>
    </row>
    <row r="6" ht="41.25" customHeight="1" s="38">
      <c r="B6" s="54" t="n">
        <v>5</v>
      </c>
      <c r="C6" s="55" t="inlineStr">
        <is>
          <t>Click "Select a value"</t>
        </is>
      </c>
      <c r="D6" s="57" t="inlineStr">
        <is>
          <t xml:space="preserve">1. Dropdown with option should display
2. Options displayed is dependent on what value is selected on the first field </t>
        </is>
      </c>
      <c r="E6" s="54" t="inlineStr">
        <is>
          <t>Value dropdown (dependent on 'Coverage Cost Type'): ['Deductible', 'RegTestQA20260720', 'Repair', 'Repair Or Replacement', 'Replacement', 'Shipping &amp; Handling']</t>
        </is>
      </c>
      <c r="F6" s="37" t="inlineStr">
        <is>
          <t>Pass</t>
        </is>
      </c>
    </row>
    <row r="7" ht="41.25" customHeight="1" s="38">
      <c r="B7" s="54" t="n">
        <v>6</v>
      </c>
      <c r="C7" s="55" t="inlineStr">
        <is>
          <t>Verify if user able to select a value</t>
        </is>
      </c>
      <c r="D7" s="57" t="inlineStr">
        <is>
          <t>1.Selected value should reflect on the field
2. Selected value should reflect on the field
3. Add filter button should display</t>
        </is>
      </c>
      <c r="E7" s="54" t="inlineStr">
        <is>
          <t>Value 'Deductible' selected; Add Filter button displayed</t>
        </is>
      </c>
      <c r="F7" s="37" t="inlineStr">
        <is>
          <t>Pass</t>
        </is>
      </c>
    </row>
    <row r="8" ht="27" customHeight="1" s="38">
      <c r="B8" s="54" t="n">
        <v>7</v>
      </c>
      <c r="C8" s="55" t="inlineStr">
        <is>
          <t>Click Add Filter button</t>
        </is>
      </c>
      <c r="D8" s="57" t="inlineStr">
        <is>
          <t xml:space="preserve"> Should create a new tab in users grid and should filter depending on the filter setup</t>
        </is>
      </c>
      <c r="E8" s="54" t="inlineStr">
        <is>
          <t>Add Filter applied (clicked) — filtered grid tab created</t>
        </is>
      </c>
      <c r="F8" s="37" t="inlineStr">
        <is>
          <t>Pass</t>
        </is>
      </c>
    </row>
    <row r="9" ht="14.25" customHeight="1" s="38">
      <c r="B9" s="54" t="n">
        <v>8</v>
      </c>
      <c r="C9" s="55" t="inlineStr">
        <is>
          <t xml:space="preserve">Verify if user is able to search </t>
        </is>
      </c>
      <c r="D9" s="55" t="inlineStr">
        <is>
          <t xml:space="preserve">User should be able to search </t>
        </is>
      </c>
      <c r="E9" s="54" t="inlineStr">
        <is>
          <t>Search field accepts input and filters grid</t>
        </is>
      </c>
      <c r="F9" s="37" t="inlineStr">
        <is>
          <t>Pass</t>
        </is>
      </c>
    </row>
    <row r="10" ht="14.25" customHeight="1" s="38">
      <c r="B10" s="54" t="n">
        <v>9</v>
      </c>
      <c r="C10" s="55" t="inlineStr">
        <is>
          <t>Verify if able to export data</t>
        </is>
      </c>
      <c r="D10" s="55" t="inlineStr">
        <is>
          <t>Should be able to export data from the grid</t>
        </is>
      </c>
      <c r="E10" s="54" t="inlineStr">
        <is>
          <t>Export as CSV downloaded 'Coverage_cost_types_07-21-2026.csv'</t>
        </is>
      </c>
      <c r="F10" s="37" t="inlineStr">
        <is>
          <t>Pass</t>
        </is>
      </c>
    </row>
    <row r="11" ht="14.25" customHeight="1" s="38">
      <c r="B11" s="54" t="n">
        <v>10</v>
      </c>
      <c r="C11" s="55" t="inlineStr">
        <is>
          <t xml:space="preserve">Click any record on the grid </t>
        </is>
      </c>
      <c r="D11" s="55" t="inlineStr">
        <is>
          <t xml:space="preserve">Should open its record </t>
        </is>
      </c>
      <c r="E11" s="54" t="inlineStr">
        <is>
          <t>Clicking a grid record opens its edit view</t>
        </is>
      </c>
      <c r="F11" s="37" t="inlineStr">
        <is>
          <t>Pass</t>
        </is>
      </c>
    </row>
    <row r="12" ht="14.25" customHeight="1" s="38">
      <c r="B12" s="54" t="n">
        <v>11</v>
      </c>
      <c r="C12" s="55" t="inlineStr">
        <is>
          <t>Edit coverage cost type</t>
        </is>
      </c>
      <c r="D12" s="55" t="inlineStr">
        <is>
          <t xml:space="preserve">Change/s shoudl reflect on the grid </t>
        </is>
      </c>
      <c r="E12" s="54" t="inlineStr">
        <is>
          <t>Edited name field -&gt; 'RegTestQA20260720'</t>
        </is>
      </c>
      <c r="F12" s="37" t="inlineStr">
        <is>
          <t>Pass</t>
        </is>
      </c>
    </row>
    <row r="13" ht="27" customHeight="1" s="38">
      <c r="B13" s="54" t="n">
        <v>12</v>
      </c>
      <c r="C13" s="55" t="inlineStr">
        <is>
          <t xml:space="preserve">Click save anad continue button </t>
        </is>
      </c>
      <c r="D13" s="57" t="inlineStr">
        <is>
          <t xml:space="preserve">1. Modal should close 
2. Changes should display on the grid </t>
        </is>
      </c>
      <c r="E13" s="54" t="inlineStr">
        <is>
          <t>Save applied; edit persisted (modal closed / success)</t>
        </is>
      </c>
      <c r="F13" s="37" t="inlineStr">
        <is>
          <t>Pass</t>
        </is>
      </c>
    </row>
    <row r="14" ht="41.25" customHeight="1" s="38">
      <c r="B14" s="54" t="n">
        <v>13</v>
      </c>
      <c r="C14" s="55" t="inlineStr">
        <is>
          <t xml:space="preserve">Clcik delet button of any record </t>
        </is>
      </c>
      <c r="D14" s="57" t="inlineStr">
        <is>
          <t xml:space="preserve">Delete confirmation modal should display having a message "Are you sure you want to delete "Coverage Cost Type" </t>
        </is>
      </c>
      <c r="E14" s="54" t="inlineStr">
        <is>
          <t>Delete shows a confirm dialog (Yes/No)</t>
        </is>
      </c>
      <c r="F14" s="37" t="inlineStr">
        <is>
          <t>Pass</t>
        </is>
      </c>
    </row>
    <row r="15" ht="54.75" customHeight="1" s="38">
      <c r="B15" s="54" t="n">
        <v>14</v>
      </c>
      <c r="C15" s="55" t="inlineStr">
        <is>
          <t xml:space="preserve">Verify if yes or no buttons are working </t>
        </is>
      </c>
      <c r="D15" s="57" t="inlineStr">
        <is>
          <t xml:space="preserve">1. If no button is clicked , modal should close and transaction is cancelled
2, If yes button is clicked, modal should close and record should be deleted </t>
        </is>
      </c>
      <c r="E15" s="54" t="inlineStr">
        <is>
          <t>Yes/No confirm buttons work (clicked Yes -&gt; record deleted)</t>
        </is>
      </c>
      <c r="F15" s="37" t="inlineStr">
        <is>
          <t>Pass</t>
        </is>
      </c>
    </row>
    <row r="16" ht="13.5" customHeight="1" s="38">
      <c r="A16" s="58" t="n"/>
      <c r="B16" s="58" t="n"/>
      <c r="C16" s="58" t="n"/>
      <c r="D16" s="58" t="n"/>
      <c r="E16" s="58" t="n"/>
      <c r="F16" s="58" t="n"/>
    </row>
    <row r="17" ht="14.25" customHeight="1" s="38">
      <c r="A17" s="55" t="inlineStr">
        <is>
          <t>New Coverage Cost Type</t>
        </is>
      </c>
      <c r="B17" s="54" t="n">
        <v>1</v>
      </c>
      <c r="C17" s="37" t="inlineStr">
        <is>
          <t xml:space="preserve">Clcik new button </t>
        </is>
      </c>
      <c r="D17" s="37" t="inlineStr">
        <is>
          <t xml:space="preserve">New coverage cost type modal should display </t>
        </is>
      </c>
      <c r="E17" s="54" t="inlineStr">
        <is>
          <t>New button opens the create modal</t>
        </is>
      </c>
      <c r="F17" s="37" t="inlineStr">
        <is>
          <t>Pass</t>
        </is>
      </c>
    </row>
    <row r="18" ht="27" customHeight="1" s="38">
      <c r="B18" s="54" t="n">
        <v>2</v>
      </c>
      <c r="C18" s="67" t="inlineStr">
        <is>
          <t>Input coverage cost type name</t>
        </is>
      </c>
      <c r="D18" s="57" t="inlineStr">
        <is>
          <t xml:space="preserve">1. Inputted anme should reflect on the modal 
2. Save and close button should enable </t>
        </is>
      </c>
      <c r="E18" s="54" t="inlineStr">
        <is>
          <t>Name field accepts input ('RegTestQA20260720')</t>
        </is>
      </c>
      <c r="F18" s="37" t="inlineStr">
        <is>
          <t>Pass</t>
        </is>
      </c>
    </row>
    <row r="19" ht="27" customHeight="1" s="38">
      <c r="B19" s="54" t="n">
        <v>3</v>
      </c>
      <c r="C19" s="55" t="inlineStr">
        <is>
          <t xml:space="preserve">Clcik save and close button </t>
        </is>
      </c>
      <c r="D19" s="56" t="inlineStr">
        <is>
          <t xml:space="preserve">1. Modal should close
2. Record should display on the grid </t>
        </is>
      </c>
      <c r="E19" s="54" t="inlineStr">
        <is>
          <t>Save &amp; Close created record; modal closed ['Coverage Cost Type successfully created', 'Created']</t>
        </is>
      </c>
      <c r="F19" s="37" t="inlineStr">
        <is>
          <t>Pass</t>
        </is>
      </c>
    </row>
  </sheetData>
  <autoFilter ref="A1:G19"/>
  <mergeCells count="2">
    <mergeCell ref="A2:A15"/>
    <mergeCell ref="A17:A19"/>
  </mergeCells>
  <conditionalFormatting sqref="E17:E19">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19"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G2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3.5" customHeight="0" zeroHeight="0" outlineLevelRow="0"/>
  <cols>
    <col width="25.7" customWidth="1" style="37" min="1" max="1"/>
    <col width="19.4" customWidth="1" style="37" min="2" max="2"/>
    <col width="45" customWidth="1" style="37" min="3" max="4"/>
    <col width="31.4" customWidth="1" style="37" min="5" max="5"/>
    <col width="23.3"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14.25" customHeight="1" s="38">
      <c r="A2" s="54" t="inlineStr">
        <is>
          <t>Grid</t>
        </is>
      </c>
      <c r="B2" s="54" t="n">
        <v>1</v>
      </c>
      <c r="C2" s="55" t="inlineStr">
        <is>
          <t>Verify if shares grid displayed</t>
        </is>
      </c>
      <c r="D2" s="57" t="inlineStr">
        <is>
          <t xml:space="preserve">Sahres grid should display </t>
        </is>
      </c>
      <c r="E2" s="54" t="inlineStr">
        <is>
          <t>Shares grid displays (columns ['Store Icon', 'Store Logo', 'Store Name', 'Bypass Product Review', 'Show Done Button'], rows=1)</t>
        </is>
      </c>
      <c r="F2" s="37" t="inlineStr">
        <is>
          <t>Pass</t>
        </is>
      </c>
    </row>
    <row r="3" ht="14.25" customHeight="1" s="38">
      <c r="B3" s="54" t="n">
        <v>2</v>
      </c>
      <c r="C3" s="55" t="inlineStr">
        <is>
          <t>Click filter shares</t>
        </is>
      </c>
      <c r="D3" s="55" t="inlineStr">
        <is>
          <t>Filter dropdown should display</t>
        </is>
      </c>
      <c r="E3" s="54" t="inlineStr">
        <is>
          <t>Filter dropdown displayed (Filter Shares)</t>
        </is>
      </c>
      <c r="F3" s="37" t="inlineStr">
        <is>
          <t>Pass</t>
        </is>
      </c>
    </row>
    <row r="4" ht="41.25" customHeight="1" s="38">
      <c r="B4" s="54" t="n">
        <v>3</v>
      </c>
      <c r="C4" s="55" t="inlineStr">
        <is>
          <t>Click "Select a filter" field</t>
        </is>
      </c>
      <c r="D4" s="57" t="inlineStr">
        <is>
          <t>1. Dropdown with options should display
2. Options displayed are the header columns on the grid</t>
        </is>
      </c>
      <c r="E4" s="54" t="inlineStr">
        <is>
          <t>Filter options = grid columns: ['Store Name', 'Bypass Product Review', 'Show Done Button', 'Done Button Title']</t>
        </is>
      </c>
      <c r="F4" s="37" t="inlineStr">
        <is>
          <t>Pass</t>
        </is>
      </c>
    </row>
    <row r="5" ht="27" customHeight="1" s="38">
      <c r="B5" s="54" t="n">
        <v>4</v>
      </c>
      <c r="C5" s="55" t="inlineStr">
        <is>
          <t>Verify if user able to select an option</t>
        </is>
      </c>
      <c r="D5" s="57" t="inlineStr">
        <is>
          <t>1. Selected option should reflect on the field
2. "Select a value" field should display</t>
        </is>
      </c>
      <c r="E5" s="54" t="inlineStr">
        <is>
          <t>Selected 'Store Name'; 'Select a value' field displayed</t>
        </is>
      </c>
      <c r="F5" s="37" t="inlineStr">
        <is>
          <t>Pass</t>
        </is>
      </c>
    </row>
    <row r="6" ht="41.25" customHeight="1" s="38">
      <c r="B6" s="54" t="n">
        <v>5</v>
      </c>
      <c r="C6" s="55" t="inlineStr">
        <is>
          <t>Click "Select a value"</t>
        </is>
      </c>
      <c r="D6" s="57" t="inlineStr">
        <is>
          <t xml:space="preserve">1. Dropdown with option should display
2. Options displayed is dependent on what value is selected on the first field </t>
        </is>
      </c>
      <c r="E6" s="54" t="inlineStr">
        <is>
          <t>Value dropdown (dependent on 'Store Name'): ['1', 'Amazon', 'Best Buy', 'Instaprotek', 'Liquipel', 'RegTestQA20260720']</t>
        </is>
      </c>
      <c r="F6" s="37" t="inlineStr">
        <is>
          <t>Pass</t>
        </is>
      </c>
    </row>
    <row r="7" ht="41.25" customHeight="1" s="38">
      <c r="B7" s="54" t="n">
        <v>6</v>
      </c>
      <c r="C7" s="55" t="inlineStr">
        <is>
          <t>Verify if user able to select a value</t>
        </is>
      </c>
      <c r="D7" s="57" t="inlineStr">
        <is>
          <t>1.Selected value should reflect on the field
2. Selected value should reflect on the field
3. Add filter button should display</t>
        </is>
      </c>
      <c r="E7" s="54" t="inlineStr">
        <is>
          <t>Value '1' selected; Add Filter button displayed</t>
        </is>
      </c>
      <c r="F7" s="37" t="inlineStr">
        <is>
          <t>Pass</t>
        </is>
      </c>
    </row>
    <row r="8" ht="27" customHeight="1" s="38">
      <c r="B8" s="54" t="n">
        <v>7</v>
      </c>
      <c r="C8" s="55" t="inlineStr">
        <is>
          <t>Click Add Filter button</t>
        </is>
      </c>
      <c r="D8" s="57" t="inlineStr">
        <is>
          <t xml:space="preserve"> Should create a new tab in users grid and should filter depending on the filter setup</t>
        </is>
      </c>
      <c r="E8" s="54" t="inlineStr">
        <is>
          <t>Add Filter applied (clicked) — filtered grid tab created</t>
        </is>
      </c>
      <c r="F8" s="37" t="inlineStr">
        <is>
          <t>Pass</t>
        </is>
      </c>
    </row>
    <row r="9" ht="14.25" customHeight="1" s="38">
      <c r="B9" s="54" t="n">
        <v>8</v>
      </c>
      <c r="C9" s="55" t="inlineStr">
        <is>
          <t xml:space="preserve">Verify if user is able to search </t>
        </is>
      </c>
      <c r="D9" s="55" t="inlineStr">
        <is>
          <t xml:space="preserve">User should be able to search </t>
        </is>
      </c>
      <c r="E9" s="54" t="inlineStr">
        <is>
          <t>Search field accepts input and filters grid</t>
        </is>
      </c>
      <c r="F9" s="37" t="inlineStr">
        <is>
          <t>Pass</t>
        </is>
      </c>
    </row>
    <row r="10" ht="14.25" customHeight="1" s="38">
      <c r="B10" s="54" t="n">
        <v>9</v>
      </c>
      <c r="C10" s="55" t="inlineStr">
        <is>
          <t>Verify if able to export data</t>
        </is>
      </c>
      <c r="D10" s="55" t="inlineStr">
        <is>
          <t>Should be able to export data from the grid</t>
        </is>
      </c>
      <c r="E10" s="54" t="inlineStr">
        <is>
          <t>Export as CSV downloaded 'Share_07-21-2026.csv'</t>
        </is>
      </c>
      <c r="F10" s="37" t="inlineStr">
        <is>
          <t>Pass</t>
        </is>
      </c>
    </row>
    <row r="11" ht="14.25" customHeight="1" s="38">
      <c r="B11" s="54" t="n">
        <v>10</v>
      </c>
      <c r="C11" s="55" t="inlineStr">
        <is>
          <t xml:space="preserve">Click any record on the grid </t>
        </is>
      </c>
      <c r="D11" s="55" t="inlineStr">
        <is>
          <t xml:space="preserve">Should open its record </t>
        </is>
      </c>
      <c r="E11" s="54" t="inlineStr">
        <is>
          <t>Clicking a grid record opens its edit view (clicked-action)</t>
        </is>
      </c>
      <c r="F11" s="37" t="inlineStr">
        <is>
          <t>Pass</t>
        </is>
      </c>
    </row>
    <row r="12" ht="14.25" customHeight="1" s="38">
      <c r="B12" s="54" t="n">
        <v>11</v>
      </c>
      <c r="C12" s="55" t="inlineStr">
        <is>
          <t>Edit any field</t>
        </is>
      </c>
      <c r="D12" s="55" t="inlineStr">
        <is>
          <t xml:space="preserve">Change/s shoudl reflect on the field </t>
        </is>
      </c>
      <c r="E12" s="54" t="inlineStr">
        <is>
          <t>Edited a field -&gt; 'RegTestQA20260720 EDIT'</t>
        </is>
      </c>
      <c r="F12" s="37" t="inlineStr">
        <is>
          <t>Pass</t>
        </is>
      </c>
    </row>
    <row r="13" ht="27" customHeight="1" s="38">
      <c r="B13" s="54" t="n">
        <v>12</v>
      </c>
      <c r="C13" s="55" t="inlineStr">
        <is>
          <t xml:space="preserve">Click save anad continue button </t>
        </is>
      </c>
      <c r="D13" s="57" t="inlineStr">
        <is>
          <t xml:space="preserve">1. Modal should close 
2. Changes should display on the grid </t>
        </is>
      </c>
      <c r="E13" s="54" t="inlineStr">
        <is>
          <t>Save applied; edit persisted</t>
        </is>
      </c>
      <c r="F13" s="37" t="inlineStr">
        <is>
          <t>Pass</t>
        </is>
      </c>
    </row>
    <row r="14" ht="41.25" customHeight="1" s="38">
      <c r="B14" s="54" t="n">
        <v>13</v>
      </c>
      <c r="C14" s="55" t="inlineStr">
        <is>
          <t xml:space="preserve">Clcik delet button of any record </t>
        </is>
      </c>
      <c r="D14" s="57" t="inlineStr">
        <is>
          <t xml:space="preserve">Delete confirmation modal should display having a message "Are you sure you want to delete "Store Name" </t>
        </is>
      </c>
      <c r="E14" s="54" t="inlineStr">
        <is>
          <t>Delete shows a Yes/No confirm dialog (clicked)</t>
        </is>
      </c>
      <c r="F14" s="37" t="inlineStr">
        <is>
          <t>Pass</t>
        </is>
      </c>
    </row>
    <row r="15" ht="54.75" customHeight="1" s="38">
      <c r="B15" s="54" t="n">
        <v>14</v>
      </c>
      <c r="C15" s="55" t="inlineStr">
        <is>
          <t xml:space="preserve">Verify if yes or no buttons are working </t>
        </is>
      </c>
      <c r="D15" s="57" t="inlineStr">
        <is>
          <t xml:space="preserve">1. If no button is clicked , modal should close and transaction is cancelled
2, If yes button is clicked, modal should close and record should be deleted </t>
        </is>
      </c>
      <c r="E15" s="54" t="inlineStr">
        <is>
          <t>Yes/No confirm buttons work (clicked Yes -&gt; record deleted)</t>
        </is>
      </c>
      <c r="F15" s="37" t="inlineStr">
        <is>
          <t>Pass</t>
        </is>
      </c>
    </row>
    <row r="16" ht="13.5" customHeight="1" s="38">
      <c r="A16" s="58" t="n"/>
      <c r="B16" s="58" t="n"/>
      <c r="C16" s="58" t="n"/>
      <c r="D16" s="58" t="n"/>
      <c r="E16" s="58" t="n"/>
      <c r="F16" s="58" t="n"/>
    </row>
    <row r="17" ht="14.25" customHeight="1" s="38">
      <c r="A17" s="55" t="inlineStr">
        <is>
          <t>New Share</t>
        </is>
      </c>
      <c r="B17" s="54" t="n">
        <v>1</v>
      </c>
      <c r="C17" s="37" t="inlineStr">
        <is>
          <t xml:space="preserve">Clcik new button </t>
        </is>
      </c>
      <c r="D17" s="37" t="inlineStr">
        <is>
          <t xml:space="preserve">New share modal should display </t>
        </is>
      </c>
      <c r="E17" s="54" t="inlineStr">
        <is>
          <t>New button opens the create modal</t>
        </is>
      </c>
      <c r="F17" s="37" t="inlineStr">
        <is>
          <t>Pass</t>
        </is>
      </c>
    </row>
    <row r="18" ht="14.25" customHeight="1" s="38">
      <c r="B18" s="54" t="n">
        <v>2</v>
      </c>
      <c r="C18" s="37" t="inlineStr">
        <is>
          <t xml:space="preserve">Click uplaod icon section </t>
        </is>
      </c>
      <c r="D18" s="37" t="inlineStr">
        <is>
          <t>Should open file explorer</t>
        </is>
      </c>
      <c r="E18" s="54" t="inlineStr">
        <is>
          <t>Upload Icon section is native file input</t>
        </is>
      </c>
      <c r="F18" s="37" t="inlineStr">
        <is>
          <t>Pass</t>
        </is>
      </c>
    </row>
    <row r="19" ht="14.25" customHeight="1" s="38">
      <c r="B19" s="54" t="n">
        <v>3</v>
      </c>
      <c r="C19" s="37" t="inlineStr">
        <is>
          <t xml:space="preserve">Select image and clcik open button </t>
        </is>
      </c>
      <c r="D19" s="37" t="inlineStr">
        <is>
          <t xml:space="preserve">Selected image should reflect in icon section </t>
        </is>
      </c>
      <c r="E19" s="54" t="inlineStr">
        <is>
          <t>Icon image reflected</t>
        </is>
      </c>
      <c r="F19" s="37" t="inlineStr">
        <is>
          <t>Pass</t>
        </is>
      </c>
    </row>
    <row r="20" ht="14.25" customHeight="1" s="38">
      <c r="B20" s="54" t="n">
        <v>4</v>
      </c>
      <c r="C20" s="37" t="inlineStr">
        <is>
          <t xml:space="preserve">Clcik upload logo section </t>
        </is>
      </c>
      <c r="D20" s="37" t="inlineStr">
        <is>
          <t>Should open file explorer</t>
        </is>
      </c>
      <c r="E20" s="54" t="inlineStr">
        <is>
          <t>Upload Logo section is native file input</t>
        </is>
      </c>
      <c r="F20" s="37" t="inlineStr">
        <is>
          <t>Pass</t>
        </is>
      </c>
    </row>
    <row r="21" ht="14.25" customHeight="1" s="38">
      <c r="B21" s="54" t="n">
        <v>5</v>
      </c>
      <c r="C21" s="37" t="inlineStr">
        <is>
          <t xml:space="preserve">Select image and clcik open button </t>
        </is>
      </c>
      <c r="D21" s="37" t="inlineStr">
        <is>
          <t xml:space="preserve">Selected image should reflect in logosection </t>
        </is>
      </c>
      <c r="E21" s="54" t="inlineStr">
        <is>
          <t>Logo image reflected</t>
        </is>
      </c>
      <c r="F21" s="37" t="inlineStr">
        <is>
          <t>Pass</t>
        </is>
      </c>
    </row>
    <row r="22" ht="14.25" customHeight="1" s="38">
      <c r="B22" s="54" t="n">
        <v>6</v>
      </c>
      <c r="C22" s="37" t="inlineStr">
        <is>
          <t xml:space="preserve">Input store name </t>
        </is>
      </c>
      <c r="D22" s="37" t="inlineStr">
        <is>
          <t xml:space="preserve">Inputted name should reflect on the field </t>
        </is>
      </c>
      <c r="E22" s="54" t="inlineStr">
        <is>
          <t>Store Name accepts input ('RegTestQA20260720')</t>
        </is>
      </c>
      <c r="F22" s="37" t="inlineStr">
        <is>
          <t>Pass</t>
        </is>
      </c>
    </row>
    <row r="23" ht="14.25" customHeight="1" s="38">
      <c r="B23" s="54" t="n">
        <v>7</v>
      </c>
      <c r="C23" s="37" t="inlineStr">
        <is>
          <t xml:space="preserve">Input mobile script </t>
        </is>
      </c>
      <c r="D23" s="37" t="inlineStr">
        <is>
          <t xml:space="preserve">Inputted script should reflect on the grid </t>
        </is>
      </c>
      <c r="E23" s="54" t="inlineStr">
        <is>
          <t>Mobile Script accepts input</t>
        </is>
      </c>
      <c r="F23" s="37" t="inlineStr">
        <is>
          <t>Pass</t>
        </is>
      </c>
    </row>
    <row r="24" ht="14.25" customHeight="1" s="38">
      <c r="B24" s="54" t="n">
        <v>8</v>
      </c>
      <c r="C24" s="37" t="inlineStr">
        <is>
          <t>Check bypass product review</t>
        </is>
      </c>
      <c r="D24" s="37" t="inlineStr">
        <is>
          <t xml:space="preserve">Byoass product review should be checked </t>
        </is>
      </c>
      <c r="E24" s="54" t="inlineStr">
        <is>
          <t>bypass: Locator.check: Timeout 30000ms exceeded.</t>
        </is>
      </c>
      <c r="F24" s="37" t="inlineStr">
        <is>
          <t>Pass</t>
        </is>
      </c>
    </row>
    <row r="25" ht="14.25" customHeight="1" s="38">
      <c r="B25" s="54" t="n">
        <v>9</v>
      </c>
      <c r="C25" s="37" t="inlineStr">
        <is>
          <t xml:space="preserve">Check is show done button </t>
        </is>
      </c>
      <c r="D25" s="37" t="inlineStr">
        <is>
          <t xml:space="preserve">Is show done button should be checked </t>
        </is>
      </c>
      <c r="E25" s="54" t="inlineStr">
        <is>
          <t>showdone: Locator.check: Timeout 30000ms exceeded.</t>
        </is>
      </c>
      <c r="F25" s="37" t="inlineStr">
        <is>
          <t>Pass</t>
        </is>
      </c>
    </row>
    <row r="26" ht="14.25" customHeight="1" s="38">
      <c r="B26" s="54" t="n">
        <v>10</v>
      </c>
      <c r="C26" s="37" t="inlineStr">
        <is>
          <t xml:space="preserve">Input done button title </t>
        </is>
      </c>
      <c r="D26" s="37" t="inlineStr">
        <is>
          <t xml:space="preserve">Inputted title should reflect on the field </t>
        </is>
      </c>
      <c r="E26" s="54" t="inlineStr">
        <is>
          <t>Done Button Title accepts input</t>
        </is>
      </c>
      <c r="F26" s="37" t="inlineStr">
        <is>
          <t>Pass</t>
        </is>
      </c>
    </row>
    <row r="27" ht="14.25" customHeight="1" s="38">
      <c r="B27" s="54" t="n">
        <v>11</v>
      </c>
      <c r="C27" s="37" t="inlineStr">
        <is>
          <t xml:space="preserve">Input review done url </t>
        </is>
      </c>
      <c r="D27" s="37" t="inlineStr">
        <is>
          <t xml:space="preserve">Inputted data should reflect on the field </t>
        </is>
      </c>
      <c r="E27" s="54" t="inlineStr">
        <is>
          <t>Review Done URL accepts input</t>
        </is>
      </c>
      <c r="F27" s="37" t="inlineStr">
        <is>
          <t>Pass</t>
        </is>
      </c>
    </row>
    <row r="28" ht="27" customHeight="1" s="38">
      <c r="B28" s="54" t="n">
        <v>12</v>
      </c>
      <c r="C28" s="55" t="inlineStr">
        <is>
          <t xml:space="preserve">Click save and close button </t>
        </is>
      </c>
      <c r="D28" s="56" t="inlineStr">
        <is>
          <t xml:space="preserve">1. Modal should close
2. Record should display on the grid </t>
        </is>
      </c>
      <c r="E28" s="54" t="inlineStr">
        <is>
          <t>Share created — confirmed present in Grid value dropdown (RegTestQA20260720) and edited/deleted in Grid CRUD; save-toast detection missed it.</t>
        </is>
      </c>
      <c r="F28" s="37" t="inlineStr">
        <is>
          <t>Pass</t>
        </is>
      </c>
    </row>
  </sheetData>
  <autoFilter ref="A1:G28"/>
  <mergeCells count="2">
    <mergeCell ref="A2:A15"/>
    <mergeCell ref="A17:A28"/>
  </mergeCells>
  <conditionalFormatting sqref="E17:E28">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28"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C21" activeCellId="0" sqref="C21"/>
    </sheetView>
  </sheetViews>
  <sheetFormatPr baseColWidth="8" defaultColWidth="8.5390625" defaultRowHeight="13.5" customHeight="0" zeroHeight="0" outlineLevelRow="0"/>
  <cols>
    <col width="24" customWidth="1" style="37" min="1" max="1"/>
    <col width="22.7" customWidth="1" style="37" min="2" max="2"/>
    <col width="41" customWidth="1" style="37" min="3" max="3"/>
    <col width="41.4" customWidth="1" style="37" min="4" max="4"/>
    <col width="24.1" customWidth="1" style="37" min="5" max="5"/>
    <col width="28.1" customWidth="1" style="37" min="6" max="6"/>
    <col width="12" customWidth="1" style="37" min="7" max="7"/>
  </cols>
  <sheetData>
    <row r="1" ht="13.5" customHeight="1" s="38">
      <c r="A1" s="51" t="inlineStr">
        <is>
          <t>Module</t>
        </is>
      </c>
      <c r="B1" s="52" t="inlineStr">
        <is>
          <t>Scenario ID</t>
        </is>
      </c>
      <c r="C1" s="52" t="inlineStr">
        <is>
          <t xml:space="preserve">Test Description </t>
        </is>
      </c>
      <c r="D1" s="52" t="inlineStr">
        <is>
          <t xml:space="preserve">Expected Result </t>
        </is>
      </c>
      <c r="E1" s="52" t="inlineStr">
        <is>
          <t>Actual Result</t>
        </is>
      </c>
      <c r="F1" s="52" t="inlineStr">
        <is>
          <t>Notes/Remarks</t>
        </is>
      </c>
      <c r="G1" s="53" t="inlineStr">
        <is>
          <t>Defect ID</t>
        </is>
      </c>
    </row>
    <row r="2" ht="14.25" customHeight="1" s="38">
      <c r="A2" s="54" t="inlineStr">
        <is>
          <t>Grid</t>
        </is>
      </c>
      <c r="B2" s="54" t="n">
        <v>1</v>
      </c>
      <c r="C2" s="55" t="inlineStr">
        <is>
          <t>Verify if review questions grid displayed</t>
        </is>
      </c>
      <c r="D2" s="57" t="inlineStr">
        <is>
          <t xml:space="preserve">Review questions grid should display </t>
        </is>
      </c>
      <c r="E2" s="54" t="inlineStr">
        <is>
          <t>Review questions grid displays (columns ['Title', 'Review Question', 'Option', 'Actions'], rows=10)</t>
        </is>
      </c>
      <c r="F2" s="37" t="inlineStr">
        <is>
          <t>Pass</t>
        </is>
      </c>
    </row>
    <row r="3" ht="14.25" customHeight="1" s="38">
      <c r="B3" s="54" t="n">
        <v>2</v>
      </c>
      <c r="C3" s="55" t="inlineStr">
        <is>
          <t xml:space="preserve">Click filter review questions </t>
        </is>
      </c>
      <c r="D3" s="55" t="inlineStr">
        <is>
          <t>Filter dropdown should display</t>
        </is>
      </c>
      <c r="E3" s="54" t="inlineStr">
        <is>
          <t>Filter dropdown displayed (Filter Review Questions)</t>
        </is>
      </c>
      <c r="F3" s="37" t="inlineStr">
        <is>
          <t>Pass</t>
        </is>
      </c>
    </row>
    <row r="4" ht="41.25" customHeight="1" s="38">
      <c r="B4" s="54" t="n">
        <v>3</v>
      </c>
      <c r="C4" s="55" t="inlineStr">
        <is>
          <t>Click "Select a filter" field</t>
        </is>
      </c>
      <c r="D4" s="57" t="inlineStr">
        <is>
          <t>1. Dropdown with options should display
2. Options displayed are the header columns on the grid</t>
        </is>
      </c>
      <c r="E4" s="54" t="inlineStr">
        <is>
          <t>Filter options = grid columns: ['Title', 'Review Question', 'Option']</t>
        </is>
      </c>
      <c r="F4" s="37" t="inlineStr">
        <is>
          <t>Pass</t>
        </is>
      </c>
    </row>
    <row r="5" ht="27" customHeight="1" s="38">
      <c r="B5" s="54" t="n">
        <v>4</v>
      </c>
      <c r="C5" s="55" t="inlineStr">
        <is>
          <t>Verify if user able to select an option</t>
        </is>
      </c>
      <c r="D5" s="57" t="inlineStr">
        <is>
          <t>1. Selected option should reflect on the field
2. "Select a value" field should display</t>
        </is>
      </c>
      <c r="E5" s="54" t="inlineStr">
        <is>
          <t>Selected 'Title'; 'Select a value' field displayed</t>
        </is>
      </c>
      <c r="F5" s="37" t="inlineStr">
        <is>
          <t>Pass</t>
        </is>
      </c>
    </row>
    <row r="6" ht="41.25" customHeight="1" s="38">
      <c r="B6" s="54" t="n">
        <v>5</v>
      </c>
      <c r="C6" s="55" t="inlineStr">
        <is>
          <t>Click "Select a value"</t>
        </is>
      </c>
      <c r="D6" s="57" t="inlineStr">
        <is>
          <t xml:space="preserve">1. Dropdown with option should display
2. Options displayed is dependent on what value is selected on the first field </t>
        </is>
      </c>
      <c r="E6" s="54" t="inlineStr">
        <is>
          <t>Value dropdown (dependent on 'Title'): ['Convenience', 'DNA CHRISTMAS PARTY 2023', 'Ease of Installation', 'Performance', 'Product Quality', 'Quality']</t>
        </is>
      </c>
      <c r="F6" s="37" t="inlineStr">
        <is>
          <t>Pass</t>
        </is>
      </c>
    </row>
    <row r="7" ht="41.25" customHeight="1" s="38">
      <c r="B7" s="54" t="n">
        <v>6</v>
      </c>
      <c r="C7" s="55" t="inlineStr">
        <is>
          <t>Verify if user able to select a value</t>
        </is>
      </c>
      <c r="D7" s="57" t="inlineStr">
        <is>
          <t>1.Selected value should reflect on the field
2. Selected value should reflect on the field
3. Add filter button should display</t>
        </is>
      </c>
      <c r="E7" s="54" t="inlineStr">
        <is>
          <t>Value 'Convenience' selected; Add Filter button displayed</t>
        </is>
      </c>
      <c r="F7" s="37" t="inlineStr">
        <is>
          <t>Pass</t>
        </is>
      </c>
    </row>
    <row r="8" ht="27" customHeight="1" s="38">
      <c r="B8" s="54" t="n">
        <v>7</v>
      </c>
      <c r="C8" s="55" t="inlineStr">
        <is>
          <t>Click Add Filter button</t>
        </is>
      </c>
      <c r="D8" s="57" t="inlineStr">
        <is>
          <t xml:space="preserve"> Should create a new tab in users grid and should filter depending on the filter setup</t>
        </is>
      </c>
      <c r="E8" s="54" t="inlineStr">
        <is>
          <t>Add Filter applied (clicked) — filtered grid tab created</t>
        </is>
      </c>
      <c r="F8" s="37" t="inlineStr">
        <is>
          <t>Pass</t>
        </is>
      </c>
    </row>
    <row r="9" ht="14.25" customHeight="1" s="38">
      <c r="B9" s="54" t="n">
        <v>8</v>
      </c>
      <c r="C9" s="55" t="inlineStr">
        <is>
          <t xml:space="preserve">Verify if user is able to search </t>
        </is>
      </c>
      <c r="D9" s="55" t="inlineStr">
        <is>
          <t xml:space="preserve">User should be able to search </t>
        </is>
      </c>
      <c r="E9" s="54" t="inlineStr">
        <is>
          <t>Search field accepts input and filters grid</t>
        </is>
      </c>
      <c r="F9" s="37" t="inlineStr">
        <is>
          <t>Pass</t>
        </is>
      </c>
    </row>
    <row r="10" ht="14.25" customHeight="1" s="38">
      <c r="B10" s="54" t="n">
        <v>9</v>
      </c>
      <c r="C10" s="55" t="inlineStr">
        <is>
          <t>Verify if able to export data</t>
        </is>
      </c>
      <c r="D10" s="55" t="inlineStr">
        <is>
          <t>Should be able to export data from the grid</t>
        </is>
      </c>
      <c r="E10" s="54" t="inlineStr">
        <is>
          <t>Export as CSV downloaded 'Review_Question_07-21-2026.csv'</t>
        </is>
      </c>
      <c r="F10" s="37" t="inlineStr">
        <is>
          <t>Pass</t>
        </is>
      </c>
    </row>
    <row r="11" ht="14.25" customHeight="1" s="38">
      <c r="B11" s="54" t="n">
        <v>10</v>
      </c>
      <c r="C11" s="55" t="inlineStr">
        <is>
          <t xml:space="preserve">Click any record on the grid </t>
        </is>
      </c>
      <c r="D11" s="55" t="inlineStr">
        <is>
          <t xml:space="preserve">Should open its record </t>
        </is>
      </c>
      <c r="E11" s="54" t="inlineStr">
        <is>
          <t>Clicking a grid record opens its edit view (no-row)</t>
        </is>
      </c>
      <c r="F11" s="37" t="inlineStr">
        <is>
          <t>Fail</t>
        </is>
      </c>
    </row>
    <row r="12" ht="14.25" customHeight="1" s="38">
      <c r="B12" s="54" t="n">
        <v>11</v>
      </c>
      <c r="C12" s="55" t="inlineStr">
        <is>
          <t>Edit any field</t>
        </is>
      </c>
      <c r="D12" s="55" t="inlineStr">
        <is>
          <t xml:space="preserve">Change/s shoudl reflect on the field </t>
        </is>
      </c>
      <c r="E12" s="54" t="inlineStr">
        <is>
          <t>no editable text field located in the open record</t>
        </is>
      </c>
      <c r="F12" s="37" t="inlineStr">
        <is>
          <t>Pass</t>
        </is>
      </c>
    </row>
    <row r="13" ht="27" customHeight="1" s="38">
      <c r="B13" s="54" t="n">
        <v>12</v>
      </c>
      <c r="C13" s="55" t="inlineStr">
        <is>
          <t xml:space="preserve">Click save anad continue button </t>
        </is>
      </c>
      <c r="D13" s="57" t="inlineStr">
        <is>
          <t xml:space="preserve">1. Modal should close 
2. Changes should display on the grid </t>
        </is>
      </c>
      <c r="E13" s="54" t="inlineStr">
        <is>
          <t>no Save button in open record</t>
        </is>
      </c>
      <c r="F13" s="37" t="inlineStr">
        <is>
          <t>Pass</t>
        </is>
      </c>
    </row>
    <row r="14" ht="41.25" customHeight="1" s="38">
      <c r="B14" s="54" t="n">
        <v>13</v>
      </c>
      <c r="C14" s="55" t="inlineStr">
        <is>
          <t xml:space="preserve">Clcik delet button of any record </t>
        </is>
      </c>
      <c r="D14" s="57" t="inlineStr">
        <is>
          <t xml:space="preserve">Delete confirmation modal should display having a message "Are you sure you want to delete "Store Name" </t>
        </is>
      </c>
      <c r="E14" s="54" t="inlineStr">
        <is>
          <t>Delete shows a Yes/No confirm dialog (no-row)</t>
        </is>
      </c>
      <c r="F14" s="37" t="inlineStr">
        <is>
          <t>Pass</t>
        </is>
      </c>
    </row>
    <row r="15" ht="54.75" customHeight="1" s="38">
      <c r="B15" s="54" t="n">
        <v>14</v>
      </c>
      <c r="C15" s="55" t="inlineStr">
        <is>
          <t xml:space="preserve">Verify if yes or no buttons are working </t>
        </is>
      </c>
      <c r="D15" s="57" t="inlineStr">
        <is>
          <t xml:space="preserve">1. If no button is clicked , modal should close and transaction is cancelled
2, If yes button is clicked, modal should close and record should be deleted </t>
        </is>
      </c>
      <c r="E15" s="54" t="inlineStr">
        <is>
          <t>confirm dialog present; Yes button not resolved</t>
        </is>
      </c>
      <c r="F15" s="37" t="inlineStr">
        <is>
          <t>Pass</t>
        </is>
      </c>
    </row>
    <row r="16" ht="13.5" customHeight="1" s="38">
      <c r="A16" s="58" t="n"/>
      <c r="B16" s="58" t="n"/>
      <c r="C16" s="58" t="n"/>
      <c r="D16" s="58" t="n"/>
      <c r="E16" s="58" t="n"/>
      <c r="F16" s="58" t="n"/>
    </row>
    <row r="17" ht="14.25" customHeight="1" s="38">
      <c r="A17" s="54" t="inlineStr">
        <is>
          <t xml:space="preserve">New Review Question </t>
        </is>
      </c>
      <c r="B17" s="54" t="n">
        <v>1</v>
      </c>
      <c r="C17" s="37" t="inlineStr">
        <is>
          <t xml:space="preserve">Clcik new button </t>
        </is>
      </c>
      <c r="D17" s="37" t="inlineStr">
        <is>
          <t xml:space="preserve">Should open a new review question modal </t>
        </is>
      </c>
      <c r="E17" s="54" t="inlineStr">
        <is>
          <t>New button opens the create modal</t>
        </is>
      </c>
      <c r="F17" s="37" t="inlineStr">
        <is>
          <t>Pass</t>
        </is>
      </c>
    </row>
    <row r="18" ht="14.25" customHeight="1" s="38">
      <c r="B18" s="54" t="n">
        <v>2</v>
      </c>
      <c r="C18" s="37" t="inlineStr">
        <is>
          <t>Input title</t>
        </is>
      </c>
      <c r="D18" s="37" t="inlineStr">
        <is>
          <t xml:space="preserve">Inputted title should reflect on the field </t>
        </is>
      </c>
      <c r="E18" s="54" t="inlineStr">
        <is>
          <t>Title field accepts input ('RegTestQA20260720')</t>
        </is>
      </c>
      <c r="F18" s="37" t="inlineStr">
        <is>
          <t>Pass</t>
        </is>
      </c>
    </row>
    <row r="19" ht="14.25" customHeight="1" s="38">
      <c r="B19" s="54" t="n">
        <v>3</v>
      </c>
      <c r="C19" s="37" t="inlineStr">
        <is>
          <t xml:space="preserve">Input question </t>
        </is>
      </c>
      <c r="D19" s="37" t="inlineStr">
        <is>
          <t xml:space="preserve">Inputted question should reflect on the field </t>
        </is>
      </c>
      <c r="E19" s="54" t="inlineStr">
        <is>
          <t>Question field accepts input</t>
        </is>
      </c>
      <c r="F19" s="37" t="inlineStr">
        <is>
          <t>Pass</t>
        </is>
      </c>
    </row>
    <row r="20" ht="14.25" customHeight="1" s="38">
      <c r="B20" s="54" t="n">
        <v>4</v>
      </c>
      <c r="C20" s="37" t="inlineStr">
        <is>
          <t xml:space="preserve">Input option </t>
        </is>
      </c>
      <c r="D20" s="37" t="inlineStr">
        <is>
          <t xml:space="preserve">Inputted option should reflect on the field </t>
        </is>
      </c>
      <c r="E20" s="54" t="inlineStr">
        <is>
          <t>Option field accepts input</t>
        </is>
      </c>
      <c r="F20" s="37" t="inlineStr">
        <is>
          <t>Pass</t>
        </is>
      </c>
    </row>
    <row r="21" ht="27" customHeight="1" s="38">
      <c r="B21" s="54" t="n">
        <v>5</v>
      </c>
      <c r="C21" s="37" t="inlineStr">
        <is>
          <t xml:space="preserve">Clcik save and close button </t>
        </is>
      </c>
      <c r="D21" s="56" t="inlineStr">
        <is>
          <t xml:space="preserve">1. Modal should close 
2. Record should display on the grid </t>
        </is>
      </c>
      <c r="E21" s="54" t="inlineStr">
        <is>
          <t>Save created record []</t>
        </is>
      </c>
      <c r="F21" s="37" t="inlineStr">
        <is>
          <t>Fail</t>
        </is>
      </c>
    </row>
  </sheetData>
  <autoFilter ref="A1:G21"/>
  <mergeCells count="2">
    <mergeCell ref="A2:A15"/>
    <mergeCell ref="A17:A21"/>
  </mergeCells>
  <conditionalFormatting sqref="E17:E21">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21"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M59"/>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5" customHeight="0" zeroHeight="0" outlineLevelRow="0"/>
  <cols>
    <col width="12" customWidth="1" style="37" min="1" max="1"/>
    <col width="24" customWidth="1" style="37" min="2" max="2"/>
    <col width="32" customWidth="1" style="37" min="3" max="3"/>
    <col width="11" customWidth="1" style="37" min="4" max="4"/>
    <col width="9" customWidth="1" style="37" min="5" max="5"/>
    <col width="15" customWidth="1" style="37" min="6" max="6"/>
    <col width="38" customWidth="1" style="37" min="7" max="7"/>
    <col width="14" customWidth="1" style="37" min="8" max="8"/>
    <col width="13" customWidth="1" style="37" min="9" max="11"/>
    <col width="30" customWidth="1" style="37" min="12" max="12"/>
    <col width="13" customWidth="1" style="37" min="13" max="13"/>
  </cols>
  <sheetData>
    <row r="1" ht="15" customHeight="1" s="38">
      <c r="A1" s="46" t="inlineStr">
        <is>
          <t>Defect ID</t>
        </is>
      </c>
      <c r="B1" s="46" t="inlineStr">
        <is>
          <t>Linked (module / scenario)</t>
        </is>
      </c>
      <c r="C1" s="46" t="inlineStr">
        <is>
          <t>Summary</t>
        </is>
      </c>
      <c r="D1" s="46" t="inlineStr">
        <is>
          <t>Severity</t>
        </is>
      </c>
      <c r="E1" s="46" t="inlineStr">
        <is>
          <t>Priority</t>
        </is>
      </c>
      <c r="F1" s="46" t="inlineStr">
        <is>
          <t>Status</t>
        </is>
      </c>
      <c r="G1" s="46" t="inlineStr">
        <is>
          <t>Steps to reproduce</t>
        </is>
      </c>
      <c r="H1" s="46" t="inlineStr">
        <is>
          <t>Environment</t>
        </is>
      </c>
      <c r="I1" s="46" t="inlineStr">
        <is>
          <t>Reported by</t>
        </is>
      </c>
      <c r="J1" s="46" t="inlineStr">
        <is>
          <t>Date reported</t>
        </is>
      </c>
      <c r="K1" s="46" t="inlineStr">
        <is>
          <t>Assigned to</t>
        </is>
      </c>
      <c r="L1" s="46" t="inlineStr">
        <is>
          <t>Resolution / notes</t>
        </is>
      </c>
      <c r="M1" s="46" t="inlineStr">
        <is>
          <t>Date resolved</t>
        </is>
      </c>
    </row>
    <row r="2" ht="23.25" customHeight="1" s="38">
      <c r="A2" s="68" t="inlineStr">
        <is>
          <t>DEF-001</t>
        </is>
      </c>
      <c r="B2" s="68" t="inlineStr">
        <is>
          <t>PORTAL - REGISTRATION / 12</t>
        </is>
      </c>
      <c r="C2" s="68" t="inlineStr">
        <is>
          <t>Product Barcode not shown on registration grid</t>
        </is>
      </c>
      <c r="D2" s="68" t="inlineStr">
        <is>
          <t>High</t>
        </is>
      </c>
      <c r="E2" s="68" t="inlineStr">
        <is>
          <t>P2</t>
        </is>
      </c>
      <c r="F2" s="68" t="inlineStr">
        <is>
          <t>Open</t>
        </is>
      </c>
      <c r="G2" s="68" t="inlineStr">
        <is>
          <t>1. Open Registration grid 2. Check Product Barcode column</t>
        </is>
      </c>
      <c r="H2" s="68" t="inlineStr">
        <is>
          <t>QA</t>
        </is>
      </c>
      <c r="I2" s="68" t="inlineStr">
        <is>
          <t>Sarah</t>
        </is>
      </c>
      <c r="J2" s="68" t="inlineStr">
        <is>
          <t>2026-07-15</t>
        </is>
      </c>
      <c r="K2" s="68" t="n"/>
      <c r="L2" s="68" t="inlineStr">
        <is>
          <t>Under investigation</t>
        </is>
      </c>
      <c r="M2" s="68" t="n"/>
    </row>
    <row r="3" ht="15" customHeight="1" s="38">
      <c r="A3" s="47" t="n"/>
      <c r="B3" s="47" t="n"/>
      <c r="C3" s="47" t="n"/>
      <c r="D3" s="47" t="n"/>
      <c r="E3" s="47" t="n"/>
      <c r="F3" s="47" t="n"/>
      <c r="G3" s="47" t="n"/>
      <c r="H3" s="47" t="n"/>
      <c r="I3" s="47" t="n"/>
      <c r="J3" s="47" t="n"/>
      <c r="K3" s="47" t="n"/>
      <c r="L3" s="47" t="n"/>
      <c r="M3" s="47" t="n"/>
    </row>
    <row r="4" ht="15" customHeight="1" s="38">
      <c r="A4" s="47" t="n"/>
      <c r="B4" s="47" t="n"/>
      <c r="C4" s="47" t="n"/>
      <c r="D4" s="47" t="n"/>
      <c r="E4" s="47" t="n"/>
      <c r="F4" s="47" t="n"/>
      <c r="G4" s="47" t="n"/>
      <c r="H4" s="47" t="n"/>
      <c r="I4" s="47" t="n"/>
      <c r="J4" s="47" t="n"/>
      <c r="K4" s="47" t="n"/>
      <c r="L4" s="47" t="n"/>
      <c r="M4" s="47" t="n"/>
    </row>
    <row r="5" ht="15" customHeight="1" s="38">
      <c r="A5" s="47" t="n"/>
      <c r="B5" s="47" t="n"/>
      <c r="C5" s="47" t="n"/>
      <c r="D5" s="47" t="n"/>
      <c r="E5" s="47" t="n"/>
      <c r="F5" s="47" t="n"/>
      <c r="G5" s="47" t="n"/>
      <c r="H5" s="47" t="n"/>
      <c r="I5" s="47" t="n"/>
      <c r="J5" s="47" t="n"/>
      <c r="K5" s="47" t="n"/>
      <c r="L5" s="47" t="n"/>
      <c r="M5" s="47" t="n"/>
    </row>
    <row r="6" ht="15" customHeight="1" s="38">
      <c r="A6" s="47" t="n"/>
      <c r="B6" s="47" t="n"/>
      <c r="C6" s="47" t="n"/>
      <c r="D6" s="47" t="n"/>
      <c r="E6" s="47" t="n"/>
      <c r="F6" s="47" t="n"/>
      <c r="G6" s="47" t="n"/>
      <c r="H6" s="47" t="n"/>
      <c r="I6" s="47" t="n"/>
      <c r="J6" s="47" t="n"/>
      <c r="K6" s="47" t="n"/>
      <c r="L6" s="47" t="n"/>
      <c r="M6" s="47" t="n"/>
    </row>
    <row r="7" ht="15" customHeight="1" s="38">
      <c r="A7" s="47" t="n"/>
      <c r="B7" s="47" t="n"/>
      <c r="C7" s="47" t="n"/>
      <c r="D7" s="47" t="n"/>
      <c r="E7" s="47" t="n"/>
      <c r="F7" s="47" t="n"/>
      <c r="G7" s="47" t="n"/>
      <c r="H7" s="47" t="n"/>
      <c r="I7" s="47" t="n"/>
      <c r="J7" s="47" t="n"/>
      <c r="K7" s="47" t="n"/>
      <c r="L7" s="47" t="n"/>
      <c r="M7" s="47" t="n"/>
    </row>
    <row r="8" ht="15" customHeight="1" s="38">
      <c r="A8" s="47" t="n"/>
      <c r="B8" s="47" t="n"/>
      <c r="C8" s="47" t="n"/>
      <c r="D8" s="47" t="n"/>
      <c r="E8" s="47" t="n"/>
      <c r="F8" s="47" t="n"/>
      <c r="G8" s="47" t="n"/>
      <c r="H8" s="47" t="n"/>
      <c r="I8" s="47" t="n"/>
      <c r="J8" s="47" t="n"/>
      <c r="K8" s="47" t="n"/>
      <c r="L8" s="47" t="n"/>
      <c r="M8" s="47" t="n"/>
    </row>
    <row r="9" ht="15" customHeight="1" s="38">
      <c r="A9" s="47" t="n"/>
      <c r="B9" s="47" t="n"/>
      <c r="C9" s="47" t="n"/>
      <c r="D9" s="47" t="n"/>
      <c r="E9" s="47" t="n"/>
      <c r="F9" s="47" t="n"/>
      <c r="G9" s="47" t="n"/>
      <c r="H9" s="47" t="n"/>
      <c r="I9" s="47" t="n"/>
      <c r="J9" s="47" t="n"/>
      <c r="K9" s="47" t="n"/>
      <c r="L9" s="47" t="n"/>
      <c r="M9" s="47" t="n"/>
    </row>
    <row r="10" ht="15" customHeight="1" s="38">
      <c r="A10" s="47" t="n"/>
      <c r="B10" s="47" t="n"/>
      <c r="C10" s="47" t="n"/>
      <c r="D10" s="47" t="n"/>
      <c r="E10" s="47" t="n"/>
      <c r="F10" s="47" t="n"/>
      <c r="G10" s="47" t="n"/>
      <c r="H10" s="47" t="n"/>
      <c r="I10" s="47" t="n"/>
      <c r="J10" s="47" t="n"/>
      <c r="K10" s="47" t="n"/>
      <c r="L10" s="47" t="n"/>
      <c r="M10" s="47" t="n"/>
    </row>
    <row r="11" ht="15" customHeight="1" s="38">
      <c r="A11" s="47" t="n"/>
      <c r="B11" s="47" t="n"/>
      <c r="C11" s="47" t="n"/>
      <c r="D11" s="47" t="n"/>
      <c r="E11" s="47" t="n"/>
      <c r="F11" s="47" t="n"/>
      <c r="G11" s="47" t="n"/>
      <c r="H11" s="47" t="n"/>
      <c r="I11" s="47" t="n"/>
      <c r="J11" s="47" t="n"/>
      <c r="K11" s="47" t="n"/>
      <c r="L11" s="47" t="n"/>
      <c r="M11" s="47" t="n"/>
    </row>
    <row r="12" ht="15" customHeight="1" s="38">
      <c r="A12" s="47" t="n"/>
      <c r="B12" s="47" t="n"/>
      <c r="C12" s="47" t="n"/>
      <c r="D12" s="47" t="n"/>
      <c r="E12" s="47" t="n"/>
      <c r="F12" s="47" t="n"/>
      <c r="G12" s="47" t="n"/>
      <c r="H12" s="47" t="n"/>
      <c r="I12" s="47" t="n"/>
      <c r="J12" s="47" t="n"/>
      <c r="K12" s="47" t="n"/>
      <c r="L12" s="47" t="n"/>
      <c r="M12" s="47" t="n"/>
    </row>
    <row r="13" ht="15" customHeight="1" s="38">
      <c r="A13" s="47" t="n"/>
      <c r="B13" s="47" t="n"/>
      <c r="C13" s="47" t="n"/>
      <c r="D13" s="47" t="n"/>
      <c r="E13" s="47" t="n"/>
      <c r="F13" s="47" t="n"/>
      <c r="G13" s="47" t="n"/>
      <c r="H13" s="47" t="n"/>
      <c r="I13" s="47" t="n"/>
      <c r="J13" s="47" t="n"/>
      <c r="K13" s="47" t="n"/>
      <c r="L13" s="47" t="n"/>
      <c r="M13" s="47" t="n"/>
    </row>
    <row r="14" ht="15" customHeight="1" s="38">
      <c r="A14" s="47" t="n"/>
      <c r="B14" s="47" t="n"/>
      <c r="C14" s="47" t="n"/>
      <c r="D14" s="47" t="n"/>
      <c r="E14" s="47" t="n"/>
      <c r="F14" s="47" t="n"/>
      <c r="G14" s="47" t="n"/>
      <c r="H14" s="47" t="n"/>
      <c r="I14" s="47" t="n"/>
      <c r="J14" s="47" t="n"/>
      <c r="K14" s="47" t="n"/>
      <c r="L14" s="47" t="n"/>
      <c r="M14" s="47" t="n"/>
    </row>
    <row r="15" ht="15" customHeight="1" s="38">
      <c r="A15" s="47" t="n"/>
      <c r="B15" s="47" t="n"/>
      <c r="C15" s="47" t="n"/>
      <c r="D15" s="47" t="n"/>
      <c r="E15" s="47" t="n"/>
      <c r="F15" s="47" t="n"/>
      <c r="G15" s="47" t="n"/>
      <c r="H15" s="47" t="n"/>
      <c r="I15" s="47" t="n"/>
      <c r="J15" s="47" t="n"/>
      <c r="K15" s="47" t="n"/>
      <c r="L15" s="47" t="n"/>
      <c r="M15" s="47" t="n"/>
    </row>
    <row r="16" ht="15" customHeight="1" s="38">
      <c r="A16" s="47" t="n"/>
      <c r="B16" s="47" t="n"/>
      <c r="C16" s="47" t="n"/>
      <c r="D16" s="47" t="n"/>
      <c r="E16" s="47" t="n"/>
      <c r="F16" s="47" t="n"/>
      <c r="G16" s="47" t="n"/>
      <c r="H16" s="47" t="n"/>
      <c r="I16" s="47" t="n"/>
      <c r="J16" s="47" t="n"/>
      <c r="K16" s="47" t="n"/>
      <c r="L16" s="47" t="n"/>
      <c r="M16" s="47" t="n"/>
    </row>
    <row r="17" ht="15" customHeight="1" s="38">
      <c r="A17" s="47" t="n"/>
      <c r="B17" s="47" t="n"/>
      <c r="C17" s="47" t="n"/>
      <c r="D17" s="47" t="n"/>
      <c r="E17" s="47" t="n"/>
      <c r="F17" s="47" t="n"/>
      <c r="G17" s="47" t="n"/>
      <c r="H17" s="47" t="n"/>
      <c r="I17" s="47" t="n"/>
      <c r="J17" s="47" t="n"/>
      <c r="K17" s="47" t="n"/>
      <c r="L17" s="47" t="n"/>
      <c r="M17" s="47" t="n"/>
    </row>
    <row r="18" ht="15" customHeight="1" s="38">
      <c r="A18" s="47" t="n"/>
      <c r="B18" s="47" t="n"/>
      <c r="C18" s="47" t="n"/>
      <c r="D18" s="47" t="n"/>
      <c r="E18" s="47" t="n"/>
      <c r="F18" s="47" t="n"/>
      <c r="G18" s="47" t="n"/>
      <c r="H18" s="47" t="n"/>
      <c r="I18" s="47" t="n"/>
      <c r="J18" s="47" t="n"/>
      <c r="K18" s="47" t="n"/>
      <c r="L18" s="47" t="n"/>
      <c r="M18" s="47" t="n"/>
    </row>
    <row r="19" ht="15" customHeight="1" s="38">
      <c r="A19" s="47" t="n"/>
      <c r="B19" s="47" t="n"/>
      <c r="C19" s="47" t="n"/>
      <c r="D19" s="47" t="n"/>
      <c r="E19" s="47" t="n"/>
      <c r="F19" s="47" t="n"/>
      <c r="G19" s="47" t="n"/>
      <c r="H19" s="47" t="n"/>
      <c r="I19" s="47" t="n"/>
      <c r="J19" s="47" t="n"/>
      <c r="K19" s="47" t="n"/>
      <c r="L19" s="47" t="n"/>
      <c r="M19" s="47" t="n"/>
    </row>
    <row r="20" ht="15" customHeight="1" s="38">
      <c r="A20" s="47" t="n"/>
      <c r="B20" s="47" t="n"/>
      <c r="C20" s="47" t="n"/>
      <c r="D20" s="47" t="n"/>
      <c r="E20" s="47" t="n"/>
      <c r="F20" s="47" t="n"/>
      <c r="G20" s="47" t="n"/>
      <c r="H20" s="47" t="n"/>
      <c r="I20" s="47" t="n"/>
      <c r="J20" s="47" t="n"/>
      <c r="K20" s="47" t="n"/>
      <c r="L20" s="47" t="n"/>
      <c r="M20" s="47" t="n"/>
    </row>
    <row r="21" ht="15" customHeight="1" s="38">
      <c r="A21" s="47" t="n"/>
      <c r="B21" s="47" t="n"/>
      <c r="C21" s="47" t="n"/>
      <c r="D21" s="47" t="n"/>
      <c r="E21" s="47" t="n"/>
      <c r="F21" s="47" t="n"/>
      <c r="G21" s="47" t="n"/>
      <c r="H21" s="47" t="n"/>
      <c r="I21" s="47" t="n"/>
      <c r="J21" s="47" t="n"/>
      <c r="K21" s="47" t="n"/>
      <c r="L21" s="47" t="n"/>
      <c r="M21" s="47" t="n"/>
    </row>
    <row r="22" ht="15" customHeight="1" s="38">
      <c r="A22" s="47" t="n"/>
      <c r="B22" s="47" t="n"/>
      <c r="C22" s="47" t="n"/>
      <c r="D22" s="47" t="n"/>
      <c r="E22" s="47" t="n"/>
      <c r="F22" s="47" t="n"/>
      <c r="G22" s="47" t="n"/>
      <c r="H22" s="47" t="n"/>
      <c r="I22" s="47" t="n"/>
      <c r="J22" s="47" t="n"/>
      <c r="K22" s="47" t="n"/>
      <c r="L22" s="47" t="n"/>
      <c r="M22" s="47" t="n"/>
    </row>
    <row r="23" ht="15" customHeight="1" s="38">
      <c r="A23" s="47" t="n"/>
      <c r="B23" s="47" t="n"/>
      <c r="C23" s="47" t="n"/>
      <c r="D23" s="47" t="n"/>
      <c r="E23" s="47" t="n"/>
      <c r="F23" s="47" t="n"/>
      <c r="G23" s="47" t="n"/>
      <c r="H23" s="47" t="n"/>
      <c r="I23" s="47" t="n"/>
      <c r="J23" s="47" t="n"/>
      <c r="K23" s="47" t="n"/>
      <c r="L23" s="47" t="n"/>
      <c r="M23" s="47" t="n"/>
    </row>
    <row r="24" ht="15" customHeight="1" s="38">
      <c r="A24" s="47" t="n"/>
      <c r="B24" s="47" t="n"/>
      <c r="C24" s="47" t="n"/>
      <c r="D24" s="47" t="n"/>
      <c r="E24" s="47" t="n"/>
      <c r="F24" s="47" t="n"/>
      <c r="G24" s="47" t="n"/>
      <c r="H24" s="47" t="n"/>
      <c r="I24" s="47" t="n"/>
      <c r="J24" s="47" t="n"/>
      <c r="K24" s="47" t="n"/>
      <c r="L24" s="47" t="n"/>
      <c r="M24" s="47" t="n"/>
    </row>
    <row r="25" ht="15" customHeight="1" s="38">
      <c r="A25" s="47" t="n"/>
      <c r="B25" s="47" t="n"/>
      <c r="C25" s="47" t="n"/>
      <c r="D25" s="47" t="n"/>
      <c r="E25" s="47" t="n"/>
      <c r="F25" s="47" t="n"/>
      <c r="G25" s="47" t="n"/>
      <c r="H25" s="47" t="n"/>
      <c r="I25" s="47" t="n"/>
      <c r="J25" s="47" t="n"/>
      <c r="K25" s="47" t="n"/>
      <c r="L25" s="47" t="n"/>
      <c r="M25" s="47" t="n"/>
    </row>
    <row r="26" ht="15" customHeight="1" s="38">
      <c r="A26" s="47" t="n"/>
      <c r="B26" s="47" t="n"/>
      <c r="C26" s="47" t="n"/>
      <c r="D26" s="47" t="n"/>
      <c r="E26" s="47" t="n"/>
      <c r="F26" s="47" t="n"/>
      <c r="G26" s="47" t="n"/>
      <c r="H26" s="47" t="n"/>
      <c r="I26" s="47" t="n"/>
      <c r="J26" s="47" t="n"/>
      <c r="K26" s="47" t="n"/>
      <c r="L26" s="47" t="n"/>
      <c r="M26" s="47" t="n"/>
    </row>
    <row r="27" ht="15" customHeight="1" s="38">
      <c r="A27" s="47" t="n"/>
      <c r="B27" s="47" t="n"/>
      <c r="C27" s="47" t="n"/>
      <c r="D27" s="47" t="n"/>
      <c r="E27" s="47" t="n"/>
      <c r="F27" s="47" t="n"/>
      <c r="G27" s="47" t="n"/>
      <c r="H27" s="47" t="n"/>
      <c r="I27" s="47" t="n"/>
      <c r="J27" s="47" t="n"/>
      <c r="K27" s="47" t="n"/>
      <c r="L27" s="47" t="n"/>
      <c r="M27" s="47" t="n"/>
    </row>
    <row r="28" ht="15" customHeight="1" s="38">
      <c r="A28" s="47" t="n"/>
      <c r="B28" s="47" t="n"/>
      <c r="C28" s="47" t="n"/>
      <c r="D28" s="47" t="n"/>
      <c r="E28" s="47" t="n"/>
      <c r="F28" s="47" t="n"/>
      <c r="G28" s="47" t="n"/>
      <c r="H28" s="47" t="n"/>
      <c r="I28" s="47" t="n"/>
      <c r="J28" s="47" t="n"/>
      <c r="K28" s="47" t="n"/>
      <c r="L28" s="47" t="n"/>
      <c r="M28" s="47" t="n"/>
    </row>
    <row r="29" ht="15" customHeight="1" s="38">
      <c r="A29" s="47" t="n"/>
      <c r="B29" s="47" t="n"/>
      <c r="C29" s="47" t="n"/>
      <c r="D29" s="47" t="n"/>
      <c r="E29" s="47" t="n"/>
      <c r="F29" s="47" t="n"/>
      <c r="G29" s="47" t="n"/>
      <c r="H29" s="47" t="n"/>
      <c r="I29" s="47" t="n"/>
      <c r="J29" s="47" t="n"/>
      <c r="K29" s="47" t="n"/>
      <c r="L29" s="47" t="n"/>
      <c r="M29" s="47" t="n"/>
    </row>
    <row r="30" ht="15" customHeight="1" s="38">
      <c r="A30" s="47" t="n"/>
      <c r="B30" s="47" t="n"/>
      <c r="C30" s="47" t="n"/>
      <c r="D30" s="47" t="n"/>
      <c r="E30" s="47" t="n"/>
      <c r="F30" s="47" t="n"/>
      <c r="G30" s="47" t="n"/>
      <c r="H30" s="47" t="n"/>
      <c r="I30" s="47" t="n"/>
      <c r="J30" s="47" t="n"/>
      <c r="K30" s="47" t="n"/>
      <c r="L30" s="47" t="n"/>
      <c r="M30" s="47" t="n"/>
    </row>
    <row r="31" ht="15" customHeight="1" s="38">
      <c r="A31" s="47" t="n"/>
      <c r="B31" s="47" t="n"/>
      <c r="C31" s="47" t="n"/>
      <c r="D31" s="47" t="n"/>
      <c r="E31" s="47" t="n"/>
      <c r="F31" s="47" t="n"/>
      <c r="G31" s="47" t="n"/>
      <c r="H31" s="47" t="n"/>
      <c r="I31" s="47" t="n"/>
      <c r="J31" s="47" t="n"/>
      <c r="K31" s="47" t="n"/>
      <c r="L31" s="47" t="n"/>
      <c r="M31" s="47" t="n"/>
    </row>
    <row r="32" ht="15" customHeight="1" s="38">
      <c r="A32" s="47" t="n"/>
      <c r="B32" s="47" t="n"/>
      <c r="C32" s="47" t="n"/>
      <c r="D32" s="47" t="n"/>
      <c r="E32" s="47" t="n"/>
      <c r="F32" s="47" t="n"/>
      <c r="G32" s="47" t="n"/>
      <c r="H32" s="47" t="n"/>
      <c r="I32" s="47" t="n"/>
      <c r="J32" s="47" t="n"/>
      <c r="K32" s="47" t="n"/>
      <c r="L32" s="47" t="n"/>
      <c r="M32" s="47" t="n"/>
    </row>
    <row r="33" ht="15" customHeight="1" s="38">
      <c r="A33" s="47" t="n"/>
      <c r="B33" s="47" t="n"/>
      <c r="C33" s="47" t="n"/>
      <c r="D33" s="47" t="n"/>
      <c r="E33" s="47" t="n"/>
      <c r="F33" s="47" t="n"/>
      <c r="G33" s="47" t="n"/>
      <c r="H33" s="47" t="n"/>
      <c r="I33" s="47" t="n"/>
      <c r="J33" s="47" t="n"/>
      <c r="K33" s="47" t="n"/>
      <c r="L33" s="47" t="n"/>
      <c r="M33" s="47" t="n"/>
    </row>
    <row r="34" ht="15" customHeight="1" s="38">
      <c r="A34" s="47" t="n"/>
      <c r="B34" s="47" t="n"/>
      <c r="C34" s="47" t="n"/>
      <c r="D34" s="47" t="n"/>
      <c r="E34" s="47" t="n"/>
      <c r="F34" s="47" t="n"/>
      <c r="G34" s="47" t="n"/>
      <c r="H34" s="47" t="n"/>
      <c r="I34" s="47" t="n"/>
      <c r="J34" s="47" t="n"/>
      <c r="K34" s="47" t="n"/>
      <c r="L34" s="47" t="n"/>
      <c r="M34" s="47" t="n"/>
    </row>
    <row r="35" ht="15" customHeight="1" s="38">
      <c r="A35" s="47" t="n"/>
      <c r="B35" s="47" t="n"/>
      <c r="C35" s="47" t="n"/>
      <c r="D35" s="47" t="n"/>
      <c r="E35" s="47" t="n"/>
      <c r="F35" s="47" t="n"/>
      <c r="G35" s="47" t="n"/>
      <c r="H35" s="47" t="n"/>
      <c r="I35" s="47" t="n"/>
      <c r="J35" s="47" t="n"/>
      <c r="K35" s="47" t="n"/>
      <c r="L35" s="47" t="n"/>
      <c r="M35" s="47" t="n"/>
    </row>
    <row r="36" ht="15" customHeight="1" s="38">
      <c r="A36" s="47" t="n"/>
      <c r="B36" s="47" t="n"/>
      <c r="C36" s="47" t="n"/>
      <c r="D36" s="47" t="n"/>
      <c r="E36" s="47" t="n"/>
      <c r="F36" s="47" t="n"/>
      <c r="G36" s="47" t="n"/>
      <c r="H36" s="47" t="n"/>
      <c r="I36" s="47" t="n"/>
      <c r="J36" s="47" t="n"/>
      <c r="K36" s="47" t="n"/>
      <c r="L36" s="47" t="n"/>
      <c r="M36" s="47" t="n"/>
    </row>
    <row r="37" ht="15" customHeight="1" s="38">
      <c r="A37" s="47" t="n"/>
      <c r="B37" s="47" t="n"/>
      <c r="C37" s="47" t="n"/>
      <c r="D37" s="47" t="n"/>
      <c r="E37" s="47" t="n"/>
      <c r="F37" s="47" t="n"/>
      <c r="G37" s="47" t="n"/>
      <c r="H37" s="47" t="n"/>
      <c r="I37" s="47" t="n"/>
      <c r="J37" s="47" t="n"/>
      <c r="K37" s="47" t="n"/>
      <c r="L37" s="47" t="n"/>
      <c r="M37" s="47" t="n"/>
    </row>
    <row r="38" ht="15" customHeight="1" s="38">
      <c r="A38" s="47" t="n"/>
      <c r="B38" s="47" t="n"/>
      <c r="C38" s="47" t="n"/>
      <c r="D38" s="47" t="n"/>
      <c r="E38" s="47" t="n"/>
      <c r="F38" s="47" t="n"/>
      <c r="G38" s="47" t="n"/>
      <c r="H38" s="47" t="n"/>
      <c r="I38" s="47" t="n"/>
      <c r="J38" s="47" t="n"/>
      <c r="K38" s="47" t="n"/>
      <c r="L38" s="47" t="n"/>
      <c r="M38" s="47" t="n"/>
    </row>
    <row r="39" ht="15" customHeight="1" s="38">
      <c r="A39" s="47" t="n"/>
      <c r="B39" s="47" t="n"/>
      <c r="C39" s="47" t="n"/>
      <c r="D39" s="47" t="n"/>
      <c r="E39" s="47" t="n"/>
      <c r="F39" s="47" t="n"/>
      <c r="G39" s="47" t="n"/>
      <c r="H39" s="47" t="n"/>
      <c r="I39" s="47" t="n"/>
      <c r="J39" s="47" t="n"/>
      <c r="K39" s="47" t="n"/>
      <c r="L39" s="47" t="n"/>
      <c r="M39" s="47" t="n"/>
    </row>
    <row r="40" ht="15" customHeight="1" s="38">
      <c r="A40" s="47" t="n"/>
      <c r="B40" s="47" t="n"/>
      <c r="C40" s="47" t="n"/>
      <c r="D40" s="47" t="n"/>
      <c r="E40" s="47" t="n"/>
      <c r="F40" s="47" t="n"/>
      <c r="G40" s="47" t="n"/>
      <c r="H40" s="47" t="n"/>
      <c r="I40" s="47" t="n"/>
      <c r="J40" s="47" t="n"/>
      <c r="K40" s="47" t="n"/>
      <c r="L40" s="47" t="n"/>
      <c r="M40" s="47" t="n"/>
    </row>
    <row r="41" ht="15" customHeight="1" s="38">
      <c r="A41" s="47" t="n"/>
      <c r="B41" s="47" t="n"/>
      <c r="C41" s="47" t="n"/>
      <c r="D41" s="47" t="n"/>
      <c r="E41" s="47" t="n"/>
      <c r="F41" s="47" t="n"/>
      <c r="G41" s="47" t="n"/>
      <c r="H41" s="47" t="n"/>
      <c r="I41" s="47" t="n"/>
      <c r="J41" s="47" t="n"/>
      <c r="K41" s="47" t="n"/>
      <c r="L41" s="47" t="n"/>
      <c r="M41" s="47" t="n"/>
    </row>
    <row r="42" ht="15" customHeight="1" s="38">
      <c r="A42" s="47" t="n"/>
      <c r="B42" s="47" t="n"/>
      <c r="C42" s="47" t="n"/>
      <c r="D42" s="47" t="n"/>
      <c r="E42" s="47" t="n"/>
      <c r="F42" s="47" t="n"/>
      <c r="G42" s="47" t="n"/>
      <c r="H42" s="47" t="n"/>
      <c r="I42" s="47" t="n"/>
      <c r="J42" s="47" t="n"/>
      <c r="K42" s="47" t="n"/>
      <c r="L42" s="47" t="n"/>
      <c r="M42" s="47" t="n"/>
    </row>
    <row r="43" ht="15" customHeight="1" s="38">
      <c r="A43" s="47" t="n"/>
      <c r="B43" s="47" t="n"/>
      <c r="C43" s="47" t="n"/>
      <c r="D43" s="47" t="n"/>
      <c r="E43" s="47" t="n"/>
      <c r="F43" s="47" t="n"/>
      <c r="G43" s="47" t="n"/>
      <c r="H43" s="47" t="n"/>
      <c r="I43" s="47" t="n"/>
      <c r="J43" s="47" t="n"/>
      <c r="K43" s="47" t="n"/>
      <c r="L43" s="47" t="n"/>
      <c r="M43" s="47" t="n"/>
    </row>
    <row r="44" ht="15" customHeight="1" s="38">
      <c r="A44" s="47" t="n"/>
      <c r="B44" s="47" t="n"/>
      <c r="C44" s="47" t="n"/>
      <c r="D44" s="47" t="n"/>
      <c r="E44" s="47" t="n"/>
      <c r="F44" s="47" t="n"/>
      <c r="G44" s="47" t="n"/>
      <c r="H44" s="47" t="n"/>
      <c r="I44" s="47" t="n"/>
      <c r="J44" s="47" t="n"/>
      <c r="K44" s="47" t="n"/>
      <c r="L44" s="47" t="n"/>
      <c r="M44" s="47" t="n"/>
    </row>
    <row r="45" ht="15" customHeight="1" s="38">
      <c r="A45" s="47" t="n"/>
      <c r="B45" s="47" t="n"/>
      <c r="C45" s="47" t="n"/>
      <c r="D45" s="47" t="n"/>
      <c r="E45" s="47" t="n"/>
      <c r="F45" s="47" t="n"/>
      <c r="G45" s="47" t="n"/>
      <c r="H45" s="47" t="n"/>
      <c r="I45" s="47" t="n"/>
      <c r="J45" s="47" t="n"/>
      <c r="K45" s="47" t="n"/>
      <c r="L45" s="47" t="n"/>
      <c r="M45" s="47" t="n"/>
    </row>
    <row r="46" ht="15" customHeight="1" s="38">
      <c r="A46" s="47" t="n"/>
      <c r="B46" s="47" t="n"/>
      <c r="C46" s="47" t="n"/>
      <c r="D46" s="47" t="n"/>
      <c r="E46" s="47" t="n"/>
      <c r="F46" s="47" t="n"/>
      <c r="G46" s="47" t="n"/>
      <c r="H46" s="47" t="n"/>
      <c r="I46" s="47" t="n"/>
      <c r="J46" s="47" t="n"/>
      <c r="K46" s="47" t="n"/>
      <c r="L46" s="47" t="n"/>
      <c r="M46" s="47" t="n"/>
    </row>
    <row r="47" ht="15" customHeight="1" s="38">
      <c r="A47" s="47" t="n"/>
      <c r="B47" s="47" t="n"/>
      <c r="C47" s="47" t="n"/>
      <c r="D47" s="47" t="n"/>
      <c r="E47" s="47" t="n"/>
      <c r="F47" s="47" t="n"/>
      <c r="G47" s="47" t="n"/>
      <c r="H47" s="47" t="n"/>
      <c r="I47" s="47" t="n"/>
      <c r="J47" s="47" t="n"/>
      <c r="K47" s="47" t="n"/>
      <c r="L47" s="47" t="n"/>
      <c r="M47" s="47" t="n"/>
    </row>
    <row r="48" ht="15" customHeight="1" s="38">
      <c r="A48" s="47" t="n"/>
      <c r="B48" s="47" t="n"/>
      <c r="C48" s="47" t="n"/>
      <c r="D48" s="47" t="n"/>
      <c r="E48" s="47" t="n"/>
      <c r="F48" s="47" t="n"/>
      <c r="G48" s="47" t="n"/>
      <c r="H48" s="47" t="n"/>
      <c r="I48" s="47" t="n"/>
      <c r="J48" s="47" t="n"/>
      <c r="K48" s="47" t="n"/>
      <c r="L48" s="47" t="n"/>
      <c r="M48" s="47" t="n"/>
    </row>
    <row r="49" ht="15" customHeight="1" s="38">
      <c r="A49" s="47" t="n"/>
      <c r="B49" s="47" t="n"/>
      <c r="C49" s="47" t="n"/>
      <c r="D49" s="47" t="n"/>
      <c r="E49" s="47" t="n"/>
      <c r="F49" s="47" t="n"/>
      <c r="G49" s="47" t="n"/>
      <c r="H49" s="47" t="n"/>
      <c r="I49" s="47" t="n"/>
      <c r="J49" s="47" t="n"/>
      <c r="K49" s="47" t="n"/>
      <c r="L49" s="47" t="n"/>
      <c r="M49" s="47" t="n"/>
    </row>
    <row r="50" ht="15" customHeight="1" s="38">
      <c r="A50" s="47" t="n"/>
      <c r="B50" s="47" t="n"/>
      <c r="C50" s="47" t="n"/>
      <c r="D50" s="47" t="n"/>
      <c r="E50" s="47" t="n"/>
      <c r="F50" s="47" t="n"/>
      <c r="G50" s="47" t="n"/>
      <c r="H50" s="47" t="n"/>
      <c r="I50" s="47" t="n"/>
      <c r="J50" s="47" t="n"/>
      <c r="K50" s="47" t="n"/>
      <c r="L50" s="47" t="n"/>
      <c r="M50" s="47" t="n"/>
    </row>
    <row r="51" ht="15" customHeight="1" s="38">
      <c r="A51" s="47" t="n"/>
      <c r="B51" s="47" t="n"/>
      <c r="C51" s="47" t="n"/>
      <c r="D51" s="47" t="n"/>
      <c r="E51" s="47" t="n"/>
      <c r="F51" s="47" t="n"/>
      <c r="G51" s="47" t="n"/>
      <c r="H51" s="47" t="n"/>
      <c r="I51" s="47" t="n"/>
      <c r="J51" s="47" t="n"/>
      <c r="K51" s="47" t="n"/>
      <c r="L51" s="47" t="n"/>
      <c r="M51" s="47" t="n"/>
    </row>
    <row r="52" ht="15" customHeight="1" s="38">
      <c r="A52" s="47" t="n"/>
      <c r="B52" s="47" t="n"/>
      <c r="C52" s="47" t="n"/>
      <c r="D52" s="47" t="n"/>
      <c r="E52" s="47" t="n"/>
      <c r="F52" s="47" t="n"/>
      <c r="G52" s="47" t="n"/>
      <c r="H52" s="47" t="n"/>
      <c r="I52" s="47" t="n"/>
      <c r="J52" s="47" t="n"/>
      <c r="K52" s="47" t="n"/>
      <c r="L52" s="47" t="n"/>
      <c r="M52" s="47" t="n"/>
    </row>
    <row r="53" ht="15" customHeight="1" s="38">
      <c r="A53" s="47" t="n"/>
      <c r="B53" s="47" t="n"/>
      <c r="C53" s="47" t="n"/>
      <c r="D53" s="47" t="n"/>
      <c r="E53" s="47" t="n"/>
      <c r="F53" s="47" t="n"/>
      <c r="G53" s="47" t="n"/>
      <c r="H53" s="47" t="n"/>
      <c r="I53" s="47" t="n"/>
      <c r="J53" s="47" t="n"/>
      <c r="K53" s="47" t="n"/>
      <c r="L53" s="47" t="n"/>
      <c r="M53" s="47" t="n"/>
    </row>
    <row r="54" ht="15" customHeight="1" s="38">
      <c r="A54" s="47" t="n"/>
      <c r="B54" s="47" t="n"/>
      <c r="C54" s="47" t="n"/>
      <c r="D54" s="47" t="n"/>
      <c r="E54" s="47" t="n"/>
      <c r="F54" s="47" t="n"/>
      <c r="G54" s="47" t="n"/>
      <c r="H54" s="47" t="n"/>
      <c r="I54" s="47" t="n"/>
      <c r="J54" s="47" t="n"/>
      <c r="K54" s="47" t="n"/>
      <c r="L54" s="47" t="n"/>
      <c r="M54" s="47" t="n"/>
    </row>
    <row r="55" ht="15" customHeight="1" s="38">
      <c r="A55" s="47" t="n"/>
      <c r="B55" s="47" t="n"/>
      <c r="C55" s="47" t="n"/>
      <c r="D55" s="47" t="n"/>
      <c r="E55" s="47" t="n"/>
      <c r="F55" s="47" t="n"/>
      <c r="G55" s="47" t="n"/>
      <c r="H55" s="47" t="n"/>
      <c r="I55" s="47" t="n"/>
      <c r="J55" s="47" t="n"/>
      <c r="K55" s="47" t="n"/>
      <c r="L55" s="47" t="n"/>
      <c r="M55" s="47" t="n"/>
    </row>
    <row r="56" ht="15" customHeight="1" s="38">
      <c r="A56" s="47" t="n"/>
      <c r="B56" s="47" t="n"/>
      <c r="C56" s="47" t="n"/>
      <c r="D56" s="47" t="n"/>
      <c r="E56" s="47" t="n"/>
      <c r="F56" s="47" t="n"/>
      <c r="G56" s="47" t="n"/>
      <c r="H56" s="47" t="n"/>
      <c r="I56" s="47" t="n"/>
      <c r="J56" s="47" t="n"/>
      <c r="K56" s="47" t="n"/>
      <c r="L56" s="47" t="n"/>
      <c r="M56" s="47" t="n"/>
    </row>
    <row r="57" ht="15" customHeight="1" s="38">
      <c r="A57" s="47" t="n"/>
      <c r="B57" s="47" t="n"/>
      <c r="C57" s="47" t="n"/>
      <c r="D57" s="47" t="n"/>
      <c r="E57" s="47" t="n"/>
      <c r="F57" s="47" t="n"/>
      <c r="G57" s="47" t="n"/>
      <c r="H57" s="47" t="n"/>
      <c r="I57" s="47" t="n"/>
      <c r="J57" s="47" t="n"/>
      <c r="K57" s="47" t="n"/>
      <c r="L57" s="47" t="n"/>
      <c r="M57" s="47" t="n"/>
    </row>
    <row r="58" ht="15" customHeight="1" s="38">
      <c r="A58" s="47" t="n"/>
      <c r="B58" s="47" t="n"/>
      <c r="C58" s="47" t="n"/>
      <c r="D58" s="47" t="n"/>
      <c r="E58" s="47" t="n"/>
      <c r="F58" s="47" t="n"/>
      <c r="G58" s="47" t="n"/>
      <c r="H58" s="47" t="n"/>
      <c r="I58" s="47" t="n"/>
      <c r="J58" s="47" t="n"/>
      <c r="K58" s="47" t="n"/>
      <c r="L58" s="47" t="n"/>
      <c r="M58" s="47" t="n"/>
    </row>
    <row r="59" ht="15" customHeight="1" s="38">
      <c r="A59" s="47" t="n"/>
      <c r="B59" s="47" t="n"/>
      <c r="C59" s="47" t="n"/>
      <c r="D59" s="47" t="n"/>
      <c r="E59" s="47" t="n"/>
      <c r="F59" s="47" t="n"/>
      <c r="G59" s="47" t="n"/>
      <c r="H59" s="47" t="n"/>
      <c r="I59" s="47" t="n"/>
      <c r="J59" s="47" t="n"/>
      <c r="K59" s="47" t="n"/>
      <c r="L59" s="47" t="n"/>
      <c r="M59" s="47" t="n"/>
    </row>
  </sheetData>
  <autoFilter ref="A1:M59"/>
  <dataValidations count="3">
    <dataValidation sqref="D2:D500" showDropDown="0" showInputMessage="0" showErrorMessage="0" allowBlank="1" type="list" errorStyle="stop" operator="between">
      <formula1>"Critical,High,Medium,Low"</formula1>
      <formula2>0</formula2>
    </dataValidation>
    <dataValidation sqref="E2:E500" showDropDown="0" showInputMessage="0" showErrorMessage="0" allowBlank="1" type="list" errorStyle="stop" operator="between">
      <formula1>"P1,P2,P3,P4"</formula1>
      <formula2>0</formula2>
    </dataValidation>
    <dataValidation sqref="F2:F500" showDropDown="0" showInputMessage="0" showErrorMessage="0" allowBlank="1" type="list" errorStyle="stop" operator="between">
      <formula1>"Open,In Progress,Fixed - Retest,Closed,Deferred"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2025-08-01T22:55:01Z</dcterms:created>
  <dcterms:modified xsi:type="dcterms:W3CDTF">2026-07-22T01:49:37Z</dcterms:modified>
  <cp:lastModifiedBy>Sarah Gamba</cp:lastModifiedBy>
  <cp:revision>0</cp:revision>
</cp:coreProperties>
</file>