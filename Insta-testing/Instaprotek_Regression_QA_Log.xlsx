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27.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26.xml" ContentType="application/vnd.openxmlformats-officedocument.spreadsheetml.worksheet+xml"/>
  <Override PartName="/xl/worksheets/sheet13.xml" ContentType="application/vnd.openxmlformats-officedocument.spreadsheetml.worksheet+xml"/>
  <Override PartName="/xl/worksheets/sheet25.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2.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8.xml" ContentType="application/vnd.openxmlformats-officedocument.spreadsheetml.worksheet+xml"/>
  <Override PartName="/xl/worksheets/sheet24.xml" ContentType="application/vnd.openxmlformats-officedocument.spreadsheetml.worksheet+xml"/>
  <Override PartName="/xl/worksheets/sheet15.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xl/drawings/drawing4.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8.xml" ContentType="application/vnd.openxmlformats-officedocument.drawing+xml"/>
  <Override PartName="/xl/drawings/drawing13.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18.xml" ContentType="application/vnd.openxmlformats-officedocument.drawing+xml"/>
  <Override PartName="/xl/drawings/drawing7.xml" ContentType="application/vnd.openxmlformats-officedocument.drawing+xml"/>
  <Override PartName="/xl/drawings/drawing3.xml" ContentType="application/vnd.openxmlformats-officedocument.drawing+xml"/>
  <Override PartName="/xl/drawings/drawing25.xml" ContentType="application/vnd.openxmlformats-officedocument.drawing+xml"/>
  <Override PartName="/xl/drawings/drawing9.xml" ContentType="application/vnd.openxmlformats-officedocument.drawing+xml"/>
  <Override PartName="/xl/drawings/drawing5.xml" ContentType="application/vnd.openxmlformats-officedocument.drawing+xml"/>
  <Override PartName="/xl/drawings/drawing22.xml" ContentType="application/vnd.openxmlformats-officedocument.drawing+xml"/>
  <Override PartName="/xl/drawings/drawing19.xml" ContentType="application/vnd.openxmlformats-officedocument.drawing+xml"/>
  <Override PartName="/xl/drawings/drawing24.xml" ContentType="application/vnd.openxmlformats-officedocument.drawing+xml"/>
  <Override PartName="/xl/drawings/drawing14.xml" ContentType="application/vnd.openxmlformats-officedocument.drawing+xml"/>
  <Override PartName="/xl/drawings/drawing10.xml" ContentType="application/vnd.openxmlformats-officedocument.drawing+xml"/>
  <Override PartName="/xl/drawings/drawing15.xml" ContentType="application/vnd.openxmlformats-officedocument.drawing+xml"/>
  <Override PartName="/xl/drawings/drawing23.xml" ContentType="application/vnd.openxmlformats-officedocument.drawing+xml"/>
  <Override PartName="/xl/drawings/drawing21.xml" ContentType="application/vnd.openxmlformats-officedocument.drawing+xml"/>
  <Override PartName="/xl/drawings/drawing6.xml" ContentType="application/vnd.openxmlformats-officedocument.drawing+xml"/>
  <Override PartName="/xl/drawings/drawing16.xml" ContentType="application/vnd.openxmlformats-officedocument.drawing+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USERS" sheetId="3" state="visible" r:id="rId5"/>
    <sheet name="PORTAL - REGISTRATION" sheetId="4" state="visible" r:id="rId6"/>
    <sheet name="ORDERS" sheetId="5" state="visible" r:id="rId7"/>
    <sheet name="REPAIR SHOPS" sheetId="6" state="visible" r:id="rId8"/>
    <sheet name="AFFILIATES" sheetId="7" state="visible" r:id="rId9"/>
    <sheet name="CLAIM REPORTS" sheetId="8" state="visible" r:id="rId10"/>
    <sheet name="PRODUCT REVIEWS" sheetId="9" state="visible" r:id="rId11"/>
    <sheet name="DEVICE BUYBACK" sheetId="10" state="visible" r:id="rId12"/>
    <sheet name="SETTINGS - DEVICE  CATEGORY" sheetId="11" state="visible" r:id="rId13"/>
    <sheet name="SETTINGS - PRODUCT CATEGORY " sheetId="12" state="visible" r:id="rId14"/>
    <sheet name="SETTINGS - BRAND" sheetId="13" state="visible" r:id="rId15"/>
    <sheet name="SETTINGS - REGISTRATION SURVEY " sheetId="14" state="visible" r:id="rId16"/>
    <sheet name="SETTINGS - PLAN " sheetId="15" state="visible" r:id="rId17"/>
    <sheet name="SETTINGS - REPAIR NETWORk " sheetId="16" state="visible" r:id="rId18"/>
    <sheet name="SETTINGS - COMPANY " sheetId="17" state="visible" r:id="rId19"/>
    <sheet name="SETTINGS - LANGUAGE" sheetId="18" state="visible" r:id="rId20"/>
    <sheet name="SETTINGS - REGIONS" sheetId="19" state="visible" r:id="rId21"/>
    <sheet name="SETTINGS - ADMINISTRATORS" sheetId="20" state="visible" r:id="rId22"/>
    <sheet name="SETTINGS - UNDERWRITERS" sheetId="21" state="visible" r:id="rId23"/>
    <sheet name="SETTINGS - SUPPORT" sheetId="22" state="visible" r:id="rId24"/>
    <sheet name="SETTINGS - COVERAGE TYPE " sheetId="23" state="visible" r:id="rId25"/>
    <sheet name="SETTINGS - COVERAGE COST TYPE " sheetId="24" state="visible" r:id="rId26"/>
    <sheet name="SETTINGS - SHARE" sheetId="25" state="visible" r:id="rId27"/>
    <sheet name="SETTINGS-REVIEW QUESTIONS" sheetId="26" state="visible" r:id="rId28"/>
    <sheet name="DEFECT LOG" sheetId="27" state="visible" r:id="rId29"/>
  </sheets>
  <definedNames>
    <definedName function="false" hidden="true" localSheetId="6" name="_xlnm._FilterDatabase" vbProcedure="false">AFFILIATES!$A$1:$G$51</definedName>
    <definedName function="false" hidden="true" localSheetId="7" name="_xlnm._FilterDatabase" vbProcedure="false">'CLAIM REPORTS'!$A$1:$G$70</definedName>
    <definedName function="false" hidden="true" localSheetId="26" name="_xlnm._FilterDatabase" vbProcedure="false">'DEFECT LOG'!$A$1:$M$59</definedName>
    <definedName function="false" hidden="true" localSheetId="9" name="_xlnm._FilterDatabase" vbProcedure="false">'DEVICE BUYBACK'!$A$1:$G$47</definedName>
    <definedName function="false" hidden="true" localSheetId="4" name="_xlnm._FilterDatabase" vbProcedure="false">ORDERS!$A$1:$G$78</definedName>
    <definedName function="false" hidden="true" localSheetId="3" name="_xlnm._FilterDatabase" vbProcedure="false">'PORTAL - REGISTRATION'!$A$1:$G$46</definedName>
    <definedName function="false" hidden="true" localSheetId="8" name="_xlnm._FilterDatabase" vbProcedure="false">'PRODUCT REVIEWS'!$A$1:$G$53</definedName>
    <definedName function="false" hidden="true" localSheetId="5" name="_xlnm._FilterDatabase" vbProcedure="false">'REPAIR SHOPS'!$A$1:$G$63</definedName>
    <definedName function="false" hidden="true" localSheetId="19" name="_xlnm._FilterDatabase" vbProcedure="false">'SETTINGS - ADMINISTRATORS'!$A$1:$G$21</definedName>
    <definedName function="false" hidden="true" localSheetId="12" name="_xlnm._FilterDatabase" vbProcedure="false">'SETTINGS - BRAND'!$A$1:$G$62</definedName>
    <definedName function="false" hidden="true" localSheetId="16" name="_xlnm._FilterDatabase" vbProcedure="false">'SETTINGS - COMPANY '!$A$1:$G$172</definedName>
    <definedName function="false" hidden="true" localSheetId="23" name="_xlnm._FilterDatabase" vbProcedure="false">'SETTINGS - COVERAGE COST TYPE '!$A$1:$G$19</definedName>
    <definedName function="false" hidden="true" localSheetId="22" name="_xlnm._FilterDatabase" vbProcedure="false">'SETTINGS - COVERAGE TYPE '!$A$1:$G$19</definedName>
    <definedName function="false" hidden="true" localSheetId="10" name="_xlnm._FilterDatabase" vbProcedure="false">'SETTINGS - DEVICE  CATEGORY'!$A$1:$G$49</definedName>
    <definedName function="false" hidden="true" localSheetId="17" name="_xlnm._FilterDatabase" vbProcedure="false">'SETTINGS - LANGUAGE'!$A$1:$G$25</definedName>
    <definedName function="false" hidden="true" localSheetId="14" name="_xlnm._FilterDatabase" vbProcedure="false">'SETTINGS - PLAN '!$A$1:$G$68</definedName>
    <definedName function="false" hidden="true" localSheetId="11" name="_xlnm._FilterDatabase" vbProcedure="false">'SETTINGS - PRODUCT CATEGORY '!$A$1:$G$51</definedName>
    <definedName function="false" hidden="true" localSheetId="18" name="_xlnm._FilterDatabase" vbProcedure="false">'SETTINGS - REGIONS'!$A$1:$G$21</definedName>
    <definedName function="false" hidden="true" localSheetId="13" name="_xlnm._FilterDatabase" vbProcedure="false">'SETTINGS - REGISTRATION SURVEY '!$A$1:$G$12</definedName>
    <definedName function="false" hidden="true" localSheetId="15" name="_xlnm._FilterDatabase" vbProcedure="false">'SETTINGS - REPAIR NETWORk '!$A$1:$G$19</definedName>
    <definedName function="false" hidden="true" localSheetId="24" name="_xlnm._FilterDatabase" vbProcedure="false">'SETTINGS - SHARE'!$A$1:$G$28</definedName>
    <definedName function="false" hidden="true" localSheetId="21" name="_xlnm._FilterDatabase" vbProcedure="false">'SETTINGS - SUPPORT'!$A$1:$G$30</definedName>
    <definedName function="false" hidden="true" localSheetId="20" name="_xlnm._FilterDatabase" vbProcedure="false">'SETTINGS - UNDERWRITERS'!$A$1:$G$21</definedName>
    <definedName function="false" hidden="true" localSheetId="25" name="_xlnm._FilterDatabase" vbProcedure="false">'SETTINGS-REVIEW QUESTIONS'!$A$1:$G$21</definedName>
    <definedName function="false" hidden="true" localSheetId="2" name="_xlnm._FilterDatabase" vbProcedure="false">USERS!$A$1:$G$38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<sst xmlns="http://schemas.openxmlformats.org/spreadsheetml/2006/main" count="3477" uniqueCount="1022">
  <si>
    <t xml:space="preserve">Instaprotek Portal - Regression QA Log</t>
  </si>
  <si>
    <t xml:space="preserve">Your test cases, one sheet per module, set up for logging results. This workbook is the QA log.</t>
  </si>
  <si>
    <t xml:space="preserve">How to log a run</t>
  </si>
  <si>
    <t xml:space="preserve">1. Copy this workbook per release, e.g. Regression_QA_Log_&lt;version&gt;.xlsx.</t>
  </si>
  <si>
    <t xml:space="preserve">2. In each module sheet set the 'Actual Result' column to Pass / Fail / Blocked / Not Tested / N/A (dropdown); put detail in 'Notes/Remarks'.</t>
  </si>
  <si>
    <t xml:space="preserve">3. For any Fail, add a row on the DEFECT LOG tab and put its Defect ID in the 'Defect ID' column of the test row.</t>
  </si>
  <si>
    <t xml:space="preserve">4. The SUMMARY tab totals pass/fail per module and overall automatically.</t>
  </si>
  <si>
    <t xml:space="preserve">Environment &amp; login</t>
  </si>
  <si>
    <t xml:space="preserve">Test on QA-environment (qa.crm.instaprotek.com) with the QA login in credentials.json. Delete any test records you create when done - never against Production.</t>
  </si>
  <si>
    <t xml:space="preserve">Test data (registration)</t>
  </si>
  <si>
    <t xml:space="preserve">Product barcode to use: 810135810326</t>
  </si>
  <si>
    <t xml:space="preserve">Example device from past runs: Samsung, Model SM-A156UZKDXAA. Use a QA/test serial number and delete the record after testing.</t>
  </si>
  <si>
    <t xml:space="preserve">Mock registration data (for claim-dependent tests)</t>
  </si>
  <si>
    <t xml:space="preserve">Use this throwaway data to create a claim-eligible registration in QA, then file a claim so claim-record tests (CLAIM REPORTS S23-34) can run. Not real - delete the record when done.</t>
  </si>
  <si>
    <t xml:space="preserve">Product barcode: 810135810326</t>
  </si>
  <si>
    <t xml:space="preserve">First name: Jordan    Last name: Testwell</t>
  </si>
  <si>
    <t xml:space="preserve">Email: qa.jordan.testwell@example.com    Phone: (202) 555-0142</t>
  </si>
  <si>
    <t xml:space="preserve">Address: 100 QA Street, Testville, CA 94016</t>
  </si>
  <si>
    <t xml:space="preserve">Manufacturer: Samsung    Model: SM-A156UZKDXAA</t>
  </si>
  <si>
    <t xml:space="preserve">Serial / IMEI: 350776860000142</t>
  </si>
  <si>
    <t xml:space="preserve">Purchase date: within the last few days (inside 30-day window &amp; 1-yr warranty)    Price: 80    New?: No</t>
  </si>
  <si>
    <t xml:space="preserve">Rule: registration &amp; claim dependencies</t>
  </si>
  <si>
    <t xml:space="preserve">Any test that needs a registration or a claim uses ONE shared test registration - do not create a new one per test.</t>
  </si>
  <si>
    <t xml:space="preserve">1. Create it once in QA from the mock data above (barcode 810135810326) BEFORE running registration- or claim-dependent tests.</t>
  </si>
  <si>
    <t xml:space="preserve">2. Use that SAME registration to file claims. A registration can hold only one claim, so file the claim once, then run the claim-record tests against it (a second filing is the 'already claimed' negative case).</t>
  </si>
  <si>
    <t xml:space="preserve">3. Suggested order: create registration -&gt; run Portal Registration tests -&gt; file the claim -&gt; run Claim Reports S14-34.</t>
  </si>
  <si>
    <t xml:space="preserve">4. Delete the test registration (and its claim/order) at the end of the run - never in Production.</t>
  </si>
  <si>
    <t xml:space="preserve">Modules that depend on it: Portal - Registration, Claim Reports.</t>
  </si>
  <si>
    <t xml:space="preserve">Excluded from this regression (marked N/A): Orders (app only), Product Reviews, Device Buyback.</t>
  </si>
  <si>
    <t xml:space="preserve">Regression QA Log - Summary</t>
  </si>
  <si>
    <t xml:space="preserve">Total cases</t>
  </si>
  <si>
    <t xml:space="preserve">Pass rate (of executed)</t>
  </si>
  <si>
    <t xml:space="preserve">Executed</t>
  </si>
  <si>
    <t xml:space="preserve">Module</t>
  </si>
  <si>
    <t xml:space="preserve">Total</t>
  </si>
  <si>
    <t xml:space="preserve">Pass</t>
  </si>
  <si>
    <t xml:space="preserve">Fail</t>
  </si>
  <si>
    <t xml:space="preserve">Blocked</t>
  </si>
  <si>
    <t xml:space="preserve">Not Tested</t>
  </si>
  <si>
    <t xml:space="preserve">N/A</t>
  </si>
  <si>
    <t xml:space="preserve">USERS</t>
  </si>
  <si>
    <t xml:space="preserve">PORTAL - REGISTRATION</t>
  </si>
  <si>
    <t xml:space="preserve">ORDERS</t>
  </si>
  <si>
    <t xml:space="preserve">REPAIR SHOPS</t>
  </si>
  <si>
    <t xml:space="preserve">AFFILIATES</t>
  </si>
  <si>
    <t xml:space="preserve">CLAIM REPORTS</t>
  </si>
  <si>
    <t xml:space="preserve">PRODUCT REVIEWS</t>
  </si>
  <si>
    <t xml:space="preserve">DEVICE BUYBACK</t>
  </si>
  <si>
    <t xml:space="preserve">SETTINGS - DEVICE  CATEGORY</t>
  </si>
  <si>
    <t xml:space="preserve">SETTINGS - PRODUCT CATEGORY </t>
  </si>
  <si>
    <t xml:space="preserve">SETTINGS - BRAND</t>
  </si>
  <si>
    <t xml:space="preserve">SETTINGS - REGISTRATION SURVEY </t>
  </si>
  <si>
    <t xml:space="preserve">SETTINGS - PLAN </t>
  </si>
  <si>
    <t xml:space="preserve">SETTINGS - REPAIR NETWORk </t>
  </si>
  <si>
    <t xml:space="preserve">SETTINGS - COMPANY </t>
  </si>
  <si>
    <t xml:space="preserve">SETTINGS - LANGUAGE</t>
  </si>
  <si>
    <t xml:space="preserve">SETTINGS - REGIONS</t>
  </si>
  <si>
    <t xml:space="preserve">SETTINGS - ADMINISTRATORS</t>
  </si>
  <si>
    <t xml:space="preserve">SETTINGS - UNDERWRITERS</t>
  </si>
  <si>
    <t xml:space="preserve">SETTINGS - SUPPORT</t>
  </si>
  <si>
    <t xml:space="preserve">SETTINGS - COVERAGE TYPE </t>
  </si>
  <si>
    <t xml:space="preserve">SETTINGS - COVERAGE COST TYPE </t>
  </si>
  <si>
    <t xml:space="preserve">SETTINGS - SHARE</t>
  </si>
  <si>
    <t xml:space="preserve">SETTINGS-REVIEW QUESTIONS</t>
  </si>
  <si>
    <t xml:space="preserve">TOTAL</t>
  </si>
  <si>
    <t xml:space="preserve">Scenario ID</t>
  </si>
  <si>
    <t xml:space="preserve">Test Description </t>
  </si>
  <si>
    <t xml:space="preserve">Expected Result </t>
  </si>
  <si>
    <t xml:space="preserve">Actual Result</t>
  </si>
  <si>
    <t xml:space="preserve">Notes/Remarks</t>
  </si>
  <si>
    <t xml:space="preserve">Defect ID</t>
  </si>
  <si>
    <t xml:space="preserve">Grid</t>
  </si>
  <si>
    <t xml:space="preserve">Verify if User grid displayed</t>
  </si>
  <si>
    <t xml:space="preserve">1. Users grid should display
2. All created users should display
</t>
  </si>
  <si>
    <t xml:space="preserve">Click filter users </t>
  </si>
  <si>
    <t xml:space="preserve">Filter dropdown should display</t>
  </si>
  <si>
    <t xml:space="preserve">Click "Select a filter" field</t>
  </si>
  <si>
    <t xml:space="preserve">1. Dropdown with options should display
2. Options displayed are the header columns on the grid
</t>
  </si>
  <si>
    <t xml:space="preserve">Verify if user able to select an option</t>
  </si>
  <si>
    <t xml:space="preserve">1. Selected option should reflect on the field
2. "Select a value" field should display</t>
  </si>
  <si>
    <t xml:space="preserve">Click "Select a value"</t>
  </si>
  <si>
    <t xml:space="preserve">1. Dropdown with option should display
2. Options displayed is dependent on what value is selected on the first field </t>
  </si>
  <si>
    <t xml:space="preserve">Verify if user able to select a value</t>
  </si>
  <si>
    <t xml:space="preserve">1.Selected value should reflect on the field
2. Selected value should reflect on the field
3. Add filter button should display</t>
  </si>
  <si>
    <t xml:space="preserve">Click Add Filter button</t>
  </si>
  <si>
    <t xml:space="preserve"> Should create a new tab in users grid and should filter depending on the filter setup</t>
  </si>
  <si>
    <t xml:space="preserve">Verify if user is able to search </t>
  </si>
  <si>
    <t xml:space="preserve">User should be able to search </t>
  </si>
  <si>
    <t xml:space="preserve">Verify if user able to export</t>
  </si>
  <si>
    <t xml:space="preserve">Should be able to export data from the rgid</t>
  </si>
  <si>
    <t xml:space="preserve">New User</t>
  </si>
  <si>
    <t xml:space="preserve">Click New button on the grid </t>
  </si>
  <si>
    <t xml:space="preserve">1. A pop-up modal should display
2. New user form should display</t>
  </si>
  <si>
    <t xml:space="preserve">Click profile section</t>
  </si>
  <si>
    <t xml:space="preserve"> File explorer should open</t>
  </si>
  <si>
    <t xml:space="preserve">Select an image and click open button </t>
  </si>
  <si>
    <t xml:space="preserve">Selected image should reflect in profile section</t>
  </si>
  <si>
    <t xml:space="preserve">Click Save and close button leaving the form empty</t>
  </si>
  <si>
    <t xml:space="preserve">1. Required fields should validate
-Email is required
-Role is required
-Password is required</t>
  </si>
  <si>
    <t xml:space="preserve">Input Email</t>
  </si>
  <si>
    <t xml:space="preserve">Inputted email should reflect on the field</t>
  </si>
  <si>
    <t xml:space="preserve">Input First Name</t>
  </si>
  <si>
    <t xml:space="preserve">Inputted first name should reflect on the field</t>
  </si>
  <si>
    <t xml:space="preserve">Input Last Name</t>
  </si>
  <si>
    <t xml:space="preserve">Inputted last name should reflect on the field</t>
  </si>
  <si>
    <t xml:space="preserve">Click Role field</t>
  </si>
  <si>
    <t xml:space="preserve">Dropdown with role options should display</t>
  </si>
  <si>
    <t xml:space="preserve">Select Role</t>
  </si>
  <si>
    <t xml:space="preserve">Selected role should reflect on the field</t>
  </si>
  <si>
    <t xml:space="preserve">Click Company field</t>
  </si>
  <si>
    <t xml:space="preserve">Dropdown with company options should display</t>
  </si>
  <si>
    <t xml:space="preserve">Select a company</t>
  </si>
  <si>
    <t xml:space="preserve">Selected company should reflect on the field</t>
  </si>
  <si>
    <t xml:space="preserve">Click country field</t>
  </si>
  <si>
    <t xml:space="preserve">1. Dropdown with country options should display
2. Only these countries should display:
-Canada
-Japan
-Mexico
-Spain
-United Kingdom
-United States</t>
  </si>
  <si>
    <t xml:space="preserve">Select country</t>
  </si>
  <si>
    <t xml:space="preserve">Selected country should reflect on the field</t>
  </si>
  <si>
    <t xml:space="preserve">Click Country Code </t>
  </si>
  <si>
    <t xml:space="preserve">Dropdown with country code options should display</t>
  </si>
  <si>
    <t xml:space="preserve">Select country code</t>
  </si>
  <si>
    <t xml:space="preserve">Selected country code should reflect on field</t>
  </si>
  <si>
    <t xml:space="preserve">Input Phone Number</t>
  </si>
  <si>
    <t xml:space="preserve">Inputted phone number should reflect on the field</t>
  </si>
  <si>
    <t xml:space="preserve">Verify if Affiliate should display </t>
  </si>
  <si>
    <t xml:space="preserve">Affiliate field should display and shouls have an Enterprise value</t>
  </si>
  <si>
    <t xml:space="preserve">Input Password</t>
  </si>
  <si>
    <t xml:space="preserve">Inputted password should reflect on the field</t>
  </si>
  <si>
    <t xml:space="preserve">Click Save &amp; Close button</t>
  </si>
  <si>
    <t xml:space="preserve">1. Modal should close
2. Success message should toast</t>
  </si>
  <si>
    <t xml:space="preserve">Record</t>
  </si>
  <si>
    <t xml:space="preserve">Verify if profile section displayed</t>
  </si>
  <si>
    <t xml:space="preserve">1. Uplaoded profile image should display
2. Email should display
3. Date created should displa
4. Date Updated should display</t>
  </si>
  <si>
    <t xml:space="preserve">Click change password button </t>
  </si>
  <si>
    <t xml:space="preserve">1. Change password modal should display
2. New password field should display</t>
  </si>
  <si>
    <t xml:space="preserve">Input new password</t>
  </si>
  <si>
    <t xml:space="preserve">1. Inputted new password should reflect on the field
2. Save and close button should enable</t>
  </si>
  <si>
    <t xml:space="preserve">Click save and close button </t>
  </si>
  <si>
    <t xml:space="preserve">1. Modal should close
2. Success message should toast
3. Should be able to login the portal with the new password</t>
  </si>
  <si>
    <t xml:space="preserve">Verify if user details displayed</t>
  </si>
  <si>
    <t xml:space="preserve">1. User details should display
2. Fields should be editable</t>
  </si>
  <si>
    <t xml:space="preserve">Edit/Update fields</t>
  </si>
  <si>
    <t xml:space="preserve">Inputted new details should reflect on the field/s</t>
  </si>
  <si>
    <t xml:space="preserve">Click either Save or Save &amp; Close button</t>
  </si>
  <si>
    <t xml:space="preserve">New details shopuld be save</t>
  </si>
  <si>
    <t xml:space="preserve">PRECONDITION: uses the shared test registration - create/reuse it first (barcode 810135810326). See READ ME.</t>
  </si>
  <si>
    <t xml:space="preserve">Registration</t>
  </si>
  <si>
    <t xml:space="preserve">Verify if registration displayed/created record on the grid in registration menu in portal</t>
  </si>
  <si>
    <t xml:space="preserve">1. Record should reflect on the main grid
2. Details should reflect on the columns on the grid
3. Registration number should display
4. First Name should display
5. Last Name should display
6. Registration Date should display
7. Purchase Date should display
8. Email should display 
9. Phone should display
10. Device should display 
11. Company Name should display
12. Product Barcode should display
13. Plan should display
14. Coverage Amount should display 
15. App should display
16. OS Version should display
17. Data Source should display</t>
  </si>
  <si>
    <t xml:space="preserve">Verify is user able to open the record</t>
  </si>
  <si>
    <t xml:space="preserve">1. Should route to record shell 
2. Default tab should be "Details" tab </t>
  </si>
  <si>
    <t xml:space="preserve">Verify if tabs displayed</t>
  </si>
  <si>
    <t xml:space="preserve">1. Details tab should displayed, default tab 
2. Customer details tab should display
3. Claim details tab should display
4. Registration Survey tab should display 
5. Cummonication tab should display
6. Product Review tab should display
7. Timeline tab should display
8. Notes tab should display</t>
  </si>
  <si>
    <t xml:space="preserve">Verify if details displayed in details tab</t>
  </si>
  <si>
    <t xml:space="preserve">Details should display</t>
  </si>
  <si>
    <t xml:space="preserve">Verify if Customer Details is working</t>
  </si>
  <si>
    <t xml:space="preserve">1. Should route to Customer Details page when tab is clicked
2. Customer details should display
3. Fields should be editable</t>
  </si>
  <si>
    <t xml:space="preserve">Verify if Claim is working</t>
  </si>
  <si>
    <t xml:space="preserve">1. Should route to Claim page when tab is clicked
2. Claim grid should display</t>
  </si>
  <si>
    <t xml:space="preserve">Verify if Registration Survey is working</t>
  </si>
  <si>
    <t xml:space="preserve">1. Should route to Registration Survey when tab is clicked
2. Registration Survey during regsitration should display</t>
  </si>
  <si>
    <t xml:space="preserve">Verify if Communication is working</t>
  </si>
  <si>
    <t xml:space="preserve">1. Should route to Communication page when tab is clicked
2. Communication should display </t>
  </si>
  <si>
    <t xml:space="preserve">Verify if Product Review is working</t>
  </si>
  <si>
    <t xml:space="preserve">1. Should route to Product Review page when tab is clicked 
2. Saved/submitted product review should display </t>
  </si>
  <si>
    <t xml:space="preserve">Verify if Timeline is working </t>
  </si>
  <si>
    <t xml:space="preserve">1. Should route to Timeline page when tab is clicked 
2. Timeline grid should display </t>
  </si>
  <si>
    <t xml:space="preserve">Verify if Notes is working</t>
  </si>
  <si>
    <t xml:space="preserve">1. Should route to Notes page when tab is clicked 
2. Notes grid should display </t>
  </si>
  <si>
    <t xml:space="preserve">Details</t>
  </si>
  <si>
    <t xml:space="preserve">Verify if Registration details displayed</t>
  </si>
  <si>
    <t xml:space="preserve">Following details should display:
1.Device
2. Device Category
3. Identifier for Vendor
4. App Version
5. Device Name
6. Device OS Version 
7. Initiated By
8. Language Code 
9. Source
10. Company Name
11. Responsible Claim Payer
12. Data Source 
13. App
14. Protection Plan Purchase Date
15. Registration Date
16. Claim Eligibility
17. Protection Expiration Date
18. Claim Processing Fee
19. Terms and Conditions</t>
  </si>
  <si>
    <t xml:space="preserve">Verify if Product details dsplayed</t>
  </si>
  <si>
    <t xml:space="preserve">Following details should display:
1. Product Barcode
2. Product Name
3. Device Category </t>
  </si>
  <si>
    <t xml:space="preserve">Verify if Store Receipt section displayed</t>
  </si>
  <si>
    <t xml:space="preserve">1. Uploaded Receipt should display
2. Store field should display
3. Branch field should display 
4. Receipt Number field should display 
5. Receipt Date should display 
6. Coverage Type should display 
7. View Receipt button should display </t>
  </si>
  <si>
    <t xml:space="preserve">Verify if user able to input in Store, Branch, Receipt Number fields</t>
  </si>
  <si>
    <t xml:space="preserve">User should be able to input on the field </t>
  </si>
  <si>
    <t xml:space="preserve">Verify if user able to view the uploaded receipt</t>
  </si>
  <si>
    <t xml:space="preserve">1. A modal should should display, displaying the uploaded receipt
2. Replace file button should display </t>
  </si>
  <si>
    <t xml:space="preserve">Verify if the replace file button is working</t>
  </si>
  <si>
    <t xml:space="preserve">File Eplorer should open </t>
  </si>
  <si>
    <t xml:space="preserve">Select a file and click open button</t>
  </si>
  <si>
    <t xml:space="preserve">1. Modal should close
2. Selected file should replace the first uploaded  receipt photo</t>
  </si>
  <si>
    <t xml:space="preserve">Click view receipt button </t>
  </si>
  <si>
    <t xml:space="preserve">Receipt should view in a new tab </t>
  </si>
  <si>
    <t xml:space="preserve">Customer Details</t>
  </si>
  <si>
    <t xml:space="preserve">Verify if customer details displayed on the fields</t>
  </si>
  <si>
    <t xml:space="preserve">Customer details should display on the fields</t>
  </si>
  <si>
    <t xml:space="preserve">Verify if all fields are editable </t>
  </si>
  <si>
    <t xml:space="preserve">All fields should be editable</t>
  </si>
  <si>
    <t xml:space="preserve">Verify if user able to update any field </t>
  </si>
  <si>
    <t xml:space="preserve">1. User should be able to update any field
2. For instance user updated the email address, registration is still attached on the logged in user in app where it was registered </t>
  </si>
  <si>
    <t xml:space="preserve">Claim</t>
  </si>
  <si>
    <t xml:space="preserve">Verify if New button is working </t>
  </si>
  <si>
    <t xml:space="preserve">New claim report modal should display </t>
  </si>
  <si>
    <t xml:space="preserve">Verify if Product details displayed in step 1</t>
  </si>
  <si>
    <t xml:space="preserve">1. Pin should display
2. Plan should display
3. Device should display
4. Product Barcode should display 
5. Product Name should display </t>
  </si>
  <si>
    <t xml:space="preserve">Verify if Next button is working </t>
  </si>
  <si>
    <t xml:space="preserve">Should route to next step which is Step 2</t>
  </si>
  <si>
    <t xml:space="preserve">Verify if customer details  displayed in step 2</t>
  </si>
  <si>
    <t xml:space="preserve">1. Email address should display
2. First Name should display
3. Last Name should display 
4. Phone Number should display
5. Country should display 
6. Language should display
7. Street should display 
8. Unit/Apartment/Suite should display
9. Province should display
10. Postal Code should display 
11. Notes field should display</t>
  </si>
  <si>
    <t xml:space="preserve">Verify if Notes field is required on this step</t>
  </si>
  <si>
    <t xml:space="preserve">Notes field should validate and user cannot proceed on the next step when field is left empty</t>
  </si>
  <si>
    <t xml:space="preserve">Verify if user able to input on Notes field</t>
  </si>
  <si>
    <t xml:space="preserve">Click Next button </t>
  </si>
  <si>
    <t xml:space="preserve">Should route to next stepwhich is step 3</t>
  </si>
  <si>
    <t xml:space="preserve">Verify if details displayed in Customer Information section </t>
  </si>
  <si>
    <t xml:space="preserve">1. Name should display
2. Phone Number should display 
3. Email Address should display </t>
  </si>
  <si>
    <t xml:space="preserve">Verify if details displayed in Coverage information section </t>
  </si>
  <si>
    <t xml:space="preserve">1. Coverage Amount should display
2.  Coverage Type should display 
3.  Protection Expiration should display</t>
  </si>
  <si>
    <t xml:space="preserve">Verify if Device Product Guarantee Information section </t>
  </si>
  <si>
    <t xml:space="preserve">1. Covered Product should display </t>
  </si>
  <si>
    <t xml:space="preserve">Click Done button</t>
  </si>
  <si>
    <t xml:space="preserve">1. New claim report modal should reflect
2. Send Email modal should display
3. Email content should display on the modal
4. Claim record should display on the grid</t>
  </si>
  <si>
    <t xml:space="preserve">Click send email button </t>
  </si>
  <si>
    <t xml:space="preserve">1. Modal should close
2. Email should be sent on the email of the registered customer
3. Success message should display</t>
  </si>
  <si>
    <t xml:space="preserve">Notes</t>
  </si>
  <si>
    <t xml:space="preserve">Verify if New button is working</t>
  </si>
  <si>
    <t xml:space="preserve">New note modal should display </t>
  </si>
  <si>
    <t xml:space="preserve">Verify if user able to input in title field</t>
  </si>
  <si>
    <t xml:space="preserve">Should be able to input on the field </t>
  </si>
  <si>
    <t xml:space="preserve">Verify if user able to input on the message/content box </t>
  </si>
  <si>
    <t xml:space="preserve">Should be able to input on the content/message box</t>
  </si>
  <si>
    <t xml:space="preserve">Click Save and Close button</t>
  </si>
  <si>
    <t xml:space="preserve">1. Modal should close
2. Created note should display on the grid</t>
  </si>
  <si>
    <t xml:space="preserve">Verify if edit button is working </t>
  </si>
  <si>
    <t xml:space="preserve">1. Edit note  modal should display 
2. Details should populate on the field and on the content box</t>
  </si>
  <si>
    <t xml:space="preserve">Edit field or the content box</t>
  </si>
  <si>
    <t xml:space="preserve">1. Changes should display on the field/content box
2. Save and close button should enable</t>
  </si>
  <si>
    <t xml:space="preserve">Click save and close button</t>
  </si>
  <si>
    <t xml:space="preserve">1. Modal should close
2. Changes should be saved</t>
  </si>
  <si>
    <t xml:space="preserve">SKIPPED - Orders exist in the app only; excluded from the portal regression.</t>
  </si>
  <si>
    <t xml:space="preserve">Verify if Orders grid displayed</t>
  </si>
  <si>
    <t xml:space="preserve">1. Orders grid should display 
2. Data came from when a  user filed a claim with add-ons</t>
  </si>
  <si>
    <t xml:space="preserve">App only - not tested in portal regression (skipped)</t>
  </si>
  <si>
    <t xml:space="preserve">Click filter orders</t>
  </si>
  <si>
    <t xml:space="preserve">Verify if able to export data</t>
  </si>
  <si>
    <t xml:space="preserve">Should be able to export data from the grid</t>
  </si>
  <si>
    <t xml:space="preserve">Verify if record buttons displayed</t>
  </si>
  <si>
    <t xml:space="preserve">Following buttons should display:
1. Save 
2. Save &amp; Close
3. Delete Claim
4. Resend
5. View PDF
6. Download PDF
7. Send Email</t>
  </si>
  <si>
    <t xml:space="preserve">Click Delete button </t>
  </si>
  <si>
    <t xml:space="preserve">Delete confimation modal should display, having a message "Are you sure you want to delete [Claim Number]"</t>
  </si>
  <si>
    <t xml:space="preserve">Verify if Yes &amp; No buttons are working</t>
  </si>
  <si>
    <t xml:space="preserve">1. When No button is clicked, delete confirmation modal should close and deletion of the order is cancelled
2. When Yes button is clicked, Delete confirmation modal should close and the Order record should be deleted </t>
  </si>
  <si>
    <t xml:space="preserve">Click Resen button</t>
  </si>
  <si>
    <t xml:space="preserve">1. Resend Warranty Claim Receipt modal should display
2. Customer's email should display on the email field</t>
  </si>
  <si>
    <t xml:space="preserve">Verify if user able to change the displayed email</t>
  </si>
  <si>
    <t xml:space="preserve">User should be able to delete and change the displayed email, where she want to resend the email of the order</t>
  </si>
  <si>
    <t xml:space="preserve">Verify if Resend &amp; Close button is working</t>
  </si>
  <si>
    <t xml:space="preserve">Modal should close and email should be resent to what email was being inputted on the field</t>
  </si>
  <si>
    <t xml:space="preserve">Click View PDF button </t>
  </si>
  <si>
    <t xml:space="preserve">Should open a new tab and display the Warranty Replacement Confirmation receipt</t>
  </si>
  <si>
    <t xml:space="preserve">Verify if Download PDF is working</t>
  </si>
  <si>
    <t xml:space="preserve">Should be able to download PDF file </t>
  </si>
  <si>
    <t xml:space="preserve">Verify if Status section displayed</t>
  </si>
  <si>
    <t xml:space="preserve">1. Status section should display
2. Default status should display which is Submitted
3. In this section update of status should display</t>
  </si>
  <si>
    <t xml:space="preserve">Verify if Date when the order was created displayed</t>
  </si>
  <si>
    <t xml:space="preserve">Date when the order was created should display inside the circle</t>
  </si>
  <si>
    <t xml:space="preserve">Verify if Claim Number displayed</t>
  </si>
  <si>
    <t xml:space="preserve">Claim Number should display</t>
  </si>
  <si>
    <t xml:space="preserve">Verify if Date Created displayed</t>
  </si>
  <si>
    <t xml:space="preserve">Date created should display</t>
  </si>
  <si>
    <t xml:space="preserve">Verify if Date &amp; Time of Claim displayed</t>
  </si>
  <si>
    <t xml:space="preserve">Date &amp; Time of Claim should display</t>
  </si>
  <si>
    <t xml:space="preserve">Verify if Date Updated displayed</t>
  </si>
  <si>
    <t xml:space="preserve">Date Updated should display</t>
  </si>
  <si>
    <t xml:space="preserve">Verify if the default opened tab is registration</t>
  </si>
  <si>
    <t xml:space="preserve">Default opened tab should be Registration</t>
  </si>
  <si>
    <t xml:space="preserve">Verify if Customer Details tab is working</t>
  </si>
  <si>
    <t xml:space="preserve">Should route to customer details page when tab is clicked</t>
  </si>
  <si>
    <t xml:space="preserve">Verify if Location tab is working</t>
  </si>
  <si>
    <t xml:space="preserve">Should route to location page when tab is clicked</t>
  </si>
  <si>
    <t xml:space="preserve">Verify if Appointment tab is working</t>
  </si>
  <si>
    <t xml:space="preserve">Should route to appointment page when tab is clicked</t>
  </si>
  <si>
    <t xml:space="preserve">Verify if Claim Receipt tab is working</t>
  </si>
  <si>
    <t xml:space="preserve">Should route to claim receipt page when tab is clicked</t>
  </si>
  <si>
    <t xml:space="preserve">Verify if Repair Receipt tab is working</t>
  </si>
  <si>
    <t xml:space="preserve">Should route to repair receipt page when tab is clicked</t>
  </si>
  <si>
    <t xml:space="preserve">Verify if Repair App tab is working</t>
  </si>
  <si>
    <t xml:space="preserve">Should route to repair app page whne tab is clicked</t>
  </si>
  <si>
    <t xml:space="preserve">Verify if Reimbursement tab is working</t>
  </si>
  <si>
    <t xml:space="preserve">Should route to reimbursement page when tab is clicked</t>
  </si>
  <si>
    <t xml:space="preserve">Verify if Payment tab is working</t>
  </si>
  <si>
    <t xml:space="preserve">Should route to payment page when tab is clicked</t>
  </si>
  <si>
    <t xml:space="preserve">Verify if Timeline tab is working</t>
  </si>
  <si>
    <t xml:space="preserve">Should route to timeline page when tab is clicked</t>
  </si>
  <si>
    <t xml:space="preserve">Verify if Notes tab is working</t>
  </si>
  <si>
    <t xml:space="preserve">Should route to notes page when tab is clicked</t>
  </si>
  <si>
    <t xml:space="preserve">Verify if Registration Number displayed</t>
  </si>
  <si>
    <t xml:space="preserve">Registration Number should display</t>
  </si>
  <si>
    <t xml:space="preserve">Verify if Plan displayed</t>
  </si>
  <si>
    <t xml:space="preserve">Plan should display</t>
  </si>
  <si>
    <t xml:space="preserve">Verify if Coverage Amount displayed</t>
  </si>
  <si>
    <t xml:space="preserve">Coverage Amount should display</t>
  </si>
  <si>
    <t xml:space="preserve">Verify if Device details displayed</t>
  </si>
  <si>
    <t xml:space="preserve">1. Device Category should display
2. Identifier for Vendor should display
3. App Version should display
4. Device Name should display 
5. Device OS Version
6. Initiated By should display
7. Language Code should display 
8. Source should display 
9. Company Name should display
10. Responsible Claim Payer should display
11. Data Source should display
12. App should display
13. Protection Plan Purchase date should display
14. Registration Date should display
15. Claim Eligibility should display
16. Protection Expiration Date should display
17. Claim Processing Fee should display
18. Terms and Conditions should display</t>
  </si>
  <si>
    <t xml:space="preserve">Verify if Terms and Conditions is clickable</t>
  </si>
  <si>
    <t xml:space="preserve">Should open a new tab and should route to terms and conditions site</t>
  </si>
  <si>
    <t xml:space="preserve">Verify if Product Details displayed</t>
  </si>
  <si>
    <t xml:space="preserve">1. Product image should display
2. Product Barcode should display
3. Product Name should display
4. Device Category should display</t>
  </si>
  <si>
    <t xml:space="preserve">Verify if Store Receipt displayed</t>
  </si>
  <si>
    <t xml:space="preserve">1. Uploaded store receipt image should display
2. Receipt Date should display
3. Coverage Type should display
4. View Receipt button should display</t>
  </si>
  <si>
    <t xml:space="preserve">Verify is Store field displayed</t>
  </si>
  <si>
    <t xml:space="preserve">Store field should display and inputtable</t>
  </si>
  <si>
    <t xml:space="preserve">Verify if user able to input in Store field</t>
  </si>
  <si>
    <t xml:space="preserve">Should be able to input in store field and inputted data should reflect on the field</t>
  </si>
  <si>
    <t xml:space="preserve">Verify if Branch field displayed</t>
  </si>
  <si>
    <t xml:space="preserve">Branch field should display</t>
  </si>
  <si>
    <t xml:space="preserve">Verify if user able to input in Branch field</t>
  </si>
  <si>
    <t xml:space="preserve">Should be able to input on the field and inputted value should reflect on the field</t>
  </si>
  <si>
    <t xml:space="preserve">Verify if Receipt Number field displayed</t>
  </si>
  <si>
    <t xml:space="preserve">Receipt Number field should display and inputtable</t>
  </si>
  <si>
    <t xml:space="preserve">Verify if user able to input in Receipt Number field</t>
  </si>
  <si>
    <t xml:space="preserve">Should be able to input in Receipt Number field and inputted data should reflect on the field</t>
  </si>
  <si>
    <t xml:space="preserve">Verify if View Receipt button is working</t>
  </si>
  <si>
    <t xml:space="preserve">Should  route to a new tab where the receipt is displayed</t>
  </si>
  <si>
    <t xml:space="preserve">Verify if Customer Details dispayed</t>
  </si>
  <si>
    <t xml:space="preserve">Follwoing data should display:
1. First Name
2. Last name
3. Email Address
4. Country Code
5. Phone Number
6. Country
7. Language
8. Street
9. Unit/Apartment/Suite
10. City
11. Country
12. Province
13. Postal Code</t>
  </si>
  <si>
    <t xml:space="preserve"> </t>
  </si>
  <si>
    <t xml:space="preserve">Claim Receipt</t>
  </si>
  <si>
    <t xml:space="preserve">Verify if Order Date displayed</t>
  </si>
  <si>
    <t xml:space="preserve">Order date should display</t>
  </si>
  <si>
    <t xml:space="preserve">Verify if Shipping details displayed</t>
  </si>
  <si>
    <t xml:space="preserve">Following should display in Shipping Details section:
1. Customer's First Name + Last Name 
2. Email
3. Address
4. Phone Number</t>
  </si>
  <si>
    <t xml:space="preserve">Verify if Order Details displayed</t>
  </si>
  <si>
    <t xml:space="preserve">Following data should display in Order Details section:
1. Product and it's cost
2. Shipping and Handling cost
3. Total
4. Card used in payment and it's amount paid
5. Balance Due</t>
  </si>
  <si>
    <t xml:space="preserve">Verify if "For support please use the following information:" section displayed</t>
  </si>
  <si>
    <t xml:space="preserve">Following should display on this section:
1. Business Hours 
2. Instaprotek Support email</t>
  </si>
  <si>
    <t xml:space="preserve">Repair Receipt</t>
  </si>
  <si>
    <t xml:space="preserve">Verify if Device Insurance Details displayed</t>
  </si>
  <si>
    <t xml:space="preserve">Checkbox "Is the customer using an insurance ?" should display</t>
  </si>
  <si>
    <t xml:space="preserve">Verify if user able to check "Is the customer using an insurance ?"</t>
  </si>
  <si>
    <t xml:space="preserve">1. User should be able to check the question
2. Device Insurance field should display</t>
  </si>
  <si>
    <t xml:space="preserve">Click device insurance field </t>
  </si>
  <si>
    <t xml:space="preserve">Insurance options should display</t>
  </si>
  <si>
    <t xml:space="preserve">Verify if user able to select device insurance options</t>
  </si>
  <si>
    <t xml:space="preserve">Selected option should reflect on the field</t>
  </si>
  <si>
    <t xml:space="preserve">Verify if Receipt Details section displayed</t>
  </si>
  <si>
    <t xml:space="preserve">Following should display:
1. Date field 
2. Amount field
3. Device field
Covered Amount field</t>
  </si>
  <si>
    <t xml:space="preserve">Verify if user able to select date in Date field</t>
  </si>
  <si>
    <t xml:space="preserve">1. Should be able to select
2. Selected date should reflect on the field</t>
  </si>
  <si>
    <t xml:space="preserve">Verify if user able to input on Amount field</t>
  </si>
  <si>
    <t xml:space="preserve">1. Should be able to input in Amount field
2. Inputted amount should reflect on the field</t>
  </si>
  <si>
    <t xml:space="preserve">Verify if user able to select device</t>
  </si>
  <si>
    <t xml:space="preserve">1. Should be able to select a device
2. Selected device should reflect on the field</t>
  </si>
  <si>
    <t xml:space="preserve">Verify if user able to input in covered amount field</t>
  </si>
  <si>
    <t xml:space="preserve">1. Should be able to input covered amount
2. Inputted amount should reflect on the field</t>
  </si>
  <si>
    <t xml:space="preserve">Verify if user able to upload an image </t>
  </si>
  <si>
    <t xml:space="preserve">1. Should be able to upload image 
2. Uploaded image should reflect on the container</t>
  </si>
  <si>
    <t xml:space="preserve">Verify if repair shops grid displayed</t>
  </si>
  <si>
    <t xml:space="preserve">1. Repair shops grid should display </t>
  </si>
  <si>
    <t xml:space="preserve">Click filter repair shops</t>
  </si>
  <si>
    <t xml:space="preserve">1. Dropdown with options should display
2. Options displayed are the header columns on the grid</t>
  </si>
  <si>
    <t xml:space="preserve">New Repair Shop</t>
  </si>
  <si>
    <t xml:space="preserve">Click new button </t>
  </si>
  <si>
    <t xml:space="preserve">Should open a new repair shop modal </t>
  </si>
  <si>
    <t xml:space="preserve">Click profile image section </t>
  </si>
  <si>
    <t xml:space="preserve">Should open file explorer</t>
  </si>
  <si>
    <t xml:space="preserve">Selected image should reflect in profile image section </t>
  </si>
  <si>
    <t xml:space="preserve">Input repair shop name</t>
  </si>
  <si>
    <t xml:space="preserve">1. Inputted repair shop name should reflect on the field
2. Save &amp; Continue button should enable </t>
  </si>
  <si>
    <t xml:space="preserve">Click Save and Continue button </t>
  </si>
  <si>
    <t xml:space="preserve">1. Modal should close 
2. Should route to it's record </t>
  </si>
  <si>
    <t xml:space="preserve">Following buttons should display :
1. Save 
2. Save &amp; Close</t>
  </si>
  <si>
    <t xml:space="preserve">Verify if Repair Shop details displayed</t>
  </si>
  <si>
    <t xml:space="preserve">1.Repair Shop image should display
2. Repair shop name should display
3. Date created should display
4. Date updated should display</t>
  </si>
  <si>
    <t xml:space="preserve">Verify if Branches tab is the default opened tab </t>
  </si>
  <si>
    <t xml:space="preserve">Branches tab should be the default tab </t>
  </si>
  <si>
    <t xml:space="preserve">Branches</t>
  </si>
  <si>
    <t xml:space="preserve">Click New button </t>
  </si>
  <si>
    <t xml:space="preserve">1.Should open a New Branch modal 
2. New Branch form should display </t>
  </si>
  <si>
    <t xml:space="preserve">Click branch profile image section </t>
  </si>
  <si>
    <t xml:space="preserve">Should open file explorer </t>
  </si>
  <si>
    <t xml:space="preserve">Select image and click open button </t>
  </si>
  <si>
    <t xml:space="preserve">Selected image should reflect in branch profile image section </t>
  </si>
  <si>
    <t xml:space="preserve">Verify if user able to input branch name</t>
  </si>
  <si>
    <t xml:space="preserve">Should be able to input branch name and inputted name should reflect on the field</t>
  </si>
  <si>
    <t xml:space="preserve">Click operating days field in operating hours section </t>
  </si>
  <si>
    <t xml:space="preserve">1. Dropdown with options should display
2. Options displayed should be a checkbox from Sunday to Saturday</t>
  </si>
  <si>
    <t xml:space="preserve">Select an option </t>
  </si>
  <si>
    <t xml:space="preserve">Click AM field for time </t>
  </si>
  <si>
    <t xml:space="preserve">1. Dropdown with option should display
2. Options displayed should be from 6:00 AM to 11:30 AM</t>
  </si>
  <si>
    <t xml:space="preserve">Select AM time </t>
  </si>
  <si>
    <t xml:space="preserve">Selected option should reflect on the field </t>
  </si>
  <si>
    <t xml:space="preserve">Click PM field for time </t>
  </si>
  <si>
    <t xml:space="preserve">1. Dropdown with options should display
2. Options displayed should be from 5:00 PM to 11:30 PM </t>
  </si>
  <si>
    <t xml:space="preserve">Select PM time </t>
  </si>
  <si>
    <t xml:space="preserve">Check "Open 24 Hours"</t>
  </si>
  <si>
    <t xml:space="preserve">AM and PM time fields should be disabled</t>
  </si>
  <si>
    <t xml:space="preserve">Verify if "Work" is the default selected phone type </t>
  </si>
  <si>
    <t xml:space="preserve">Work should be the default selected phone type </t>
  </si>
  <si>
    <t xml:space="preserve">Click phone type field</t>
  </si>
  <si>
    <t xml:space="preserve">Dropdown with option "Mobile" should reflect </t>
  </si>
  <si>
    <t xml:space="preserve">Input Phone number</t>
  </si>
  <si>
    <t xml:space="preserve">Inputted phone number should reflect on the field </t>
  </si>
  <si>
    <t xml:space="preserve">Input/serach address</t>
  </si>
  <si>
    <t xml:space="preserve">A suggested result address should display</t>
  </si>
  <si>
    <t xml:space="preserve">Select a suggested result address</t>
  </si>
  <si>
    <t xml:space="preserve"> A breakdown address should display</t>
  </si>
  <si>
    <t xml:space="preserve">Click Save andcontinue button </t>
  </si>
  <si>
    <t xml:space="preserve">1. Modal should close 
2. Should route to it's record 
3. It's record should display in branch grid </t>
  </si>
  <si>
    <t xml:space="preserve">Timeline</t>
  </si>
  <si>
    <t xml:space="preserve">1. Dropdown with options should display
2. Options displayed are the header columns on the grid
-Email
-First Name
-Last Name
-Role
-Allow Device Buyback
-Company
-User Type
-Affiliate
-Status</t>
  </si>
  <si>
    <t xml:space="preserve">Verify if all actions, isertions, updates the user did on the record displayed in timeline tab</t>
  </si>
  <si>
    <t xml:space="preserve">Should create a record in timeline tab all the actions the user did </t>
  </si>
  <si>
    <t xml:space="preserve">Verify if affiliates grid displayed</t>
  </si>
  <si>
    <t xml:space="preserve">Affiliates grid should display </t>
  </si>
  <si>
    <t xml:space="preserve">Click filter affiliates</t>
  </si>
  <si>
    <t xml:space="preserve">Record </t>
  </si>
  <si>
    <t xml:space="preserve">New affiliate modal should display </t>
  </si>
  <si>
    <t xml:space="preserve">Input affiliate name </t>
  </si>
  <si>
    <t xml:space="preserve">1. Inputted name should reflect on the field 
2. Save and continue button should enable </t>
  </si>
  <si>
    <t xml:space="preserve">Click save and continue button </t>
  </si>
  <si>
    <t xml:space="preserve">1. New affiliate modal should close 
2. Should route to it's record
3. It's record should reflect on the main grid </t>
  </si>
  <si>
    <t xml:space="preserve">Verify if record details displayed </t>
  </si>
  <si>
    <t xml:space="preserve">1. Uploaded profile image should display
2. Affiliate name should display
3. Date created should display
4. Date updated should display</t>
  </si>
  <si>
    <t xml:space="preserve">Stores</t>
  </si>
  <si>
    <t xml:space="preserve">Click filter stores</t>
  </si>
  <si>
    <t xml:space="preserve">New store modal should display </t>
  </si>
  <si>
    <t xml:space="preserve">Input name</t>
  </si>
  <si>
    <t xml:space="preserve">Inputted anme should reflect on the field </t>
  </si>
  <si>
    <t xml:space="preserve">Input phone number</t>
  </si>
  <si>
    <t xml:space="preserve">Suggested result address should display </t>
  </si>
  <si>
    <t xml:space="preserve">Select suggested result address</t>
  </si>
  <si>
    <t xml:space="preserve">Breakdown address should display </t>
  </si>
  <si>
    <t xml:space="preserve">1. Modal should close
2. Success message should display
3. Created record should display in All Stores grid </t>
  </si>
  <si>
    <t xml:space="preserve">Claim Reports</t>
  </si>
  <si>
    <t xml:space="preserve">1. New claim modal should display 
2. Step 1 "Search Registration" should display </t>
  </si>
  <si>
    <t xml:space="preserve">Verify if grid displayed </t>
  </si>
  <si>
    <t xml:space="preserve">All registrations should display</t>
  </si>
  <si>
    <t xml:space="preserve">Verify if able to search registration</t>
  </si>
  <si>
    <t xml:space="preserve">Should be able to search registration</t>
  </si>
  <si>
    <t xml:space="preserve">Verify if able to select registration </t>
  </si>
  <si>
    <t xml:space="preserve">1. Radio button should be pilled green 
2. Next button should be enabled</t>
  </si>
  <si>
    <t xml:space="preserve">Verify if Next button is working</t>
  </si>
  <si>
    <t xml:space="preserve">1. Should route to step 2
2. If a selected registration has already a claim, an error should toast having a message "This registration has already been claimed"</t>
  </si>
  <si>
    <t xml:space="preserve">Verify if Product Details in step 2 displayed</t>
  </si>
  <si>
    <t xml:space="preserve">Product Details should display:
1. Pin should display
2. Plan should display
3. Device should display
4. IMEI should display
5. Product Barcode should display
6. Product Name should display</t>
  </si>
  <si>
    <t xml:space="preserve">Click Next button</t>
  </si>
  <si>
    <t xml:space="preserve">Should route to Step 3</t>
  </si>
  <si>
    <t xml:space="preserve">Verify if Customer Details displayed</t>
  </si>
  <si>
    <t xml:space="preserve">1. Customer details should display
2. Customer details should populate on the fields:
-Email Address should populate on the field
-First Name should populate
-Last Name should populate
-Country Code should populate
-Phone Number should populate
-Country should populate
-Language should populate
-Street should populate
-Unit/Aprtment/Suite should populate
-City should populate
-Country should populate
-Province should populate
-Postal Code should populate
-Notes field should populate</t>
  </si>
  <si>
    <t xml:space="preserve">Verify if able to update customer details </t>
  </si>
  <si>
    <t xml:space="preserve">Should be able to update customer details </t>
  </si>
  <si>
    <t xml:space="preserve">Should route to step 4</t>
  </si>
  <si>
    <t xml:space="preserve">Verify if Problem Summary displayed</t>
  </si>
  <si>
    <t xml:space="preserve">Following fields should display:
1. Problem Date
2. Was in Use
3. Problem Type
4. Problem Description
5. Trouble Shooting Made</t>
  </si>
  <si>
    <t xml:space="preserve">Verify if user able to input on the fields</t>
  </si>
  <si>
    <t xml:space="preserve">1. User should be able to input on the fields
2. When Damaged option is selected in Problem type, Damage Cause field should display/apepar</t>
  </si>
  <si>
    <t xml:space="preserve">Click Done button </t>
  </si>
  <si>
    <t xml:space="preserve">1. Modal should close
2. Should route directly to it's claim record</t>
  </si>
  <si>
    <t xml:space="preserve">Verify if status section dispalyed</t>
  </si>
  <si>
    <t xml:space="preserve">1. Status section display, any changes or update of the status should display on this section
2. Default status "Request" should display
</t>
  </si>
  <si>
    <t xml:space="preserve">Verify if Claim section displayed</t>
  </si>
  <si>
    <t xml:space="preserve">1. Date should display inside the circle
2. Claim Number should display
3. Date created should display
4. Date &amp; Time of claim should display
5. Date updated should display</t>
  </si>
  <si>
    <t xml:space="preserve">Verify if the default tab is registration </t>
  </si>
  <si>
    <t xml:space="preserve">Registration tab should be the default tab when opening a claim record</t>
  </si>
  <si>
    <t xml:space="preserve">Verify if customer details tab is working</t>
  </si>
  <si>
    <t xml:space="preserve">Verify if location tab is working</t>
  </si>
  <si>
    <t xml:space="preserve">Verify if appointment tab is working</t>
  </si>
  <si>
    <t xml:space="preserve">Verify if Claim Summary tab is working</t>
  </si>
  <si>
    <t xml:space="preserve">Should route to Claim Summary page when tab is clicked</t>
  </si>
  <si>
    <t xml:space="preserve">Verify if Claim Status Details tab is working</t>
  </si>
  <si>
    <t xml:space="preserve">Should route to Claim Status Details page when tab is clicked</t>
  </si>
  <si>
    <t xml:space="preserve">Should route to Timeline page when tab is clicked</t>
  </si>
  <si>
    <t xml:space="preserve">Should route to Notes page when tab is clicked</t>
  </si>
  <si>
    <t xml:space="preserve">BLOCKED - prerequisite: create a claim-eligible registration first (test barcode 810135810326 + mock data in READ ME), then file a claim to open the claim record, then run. Delete the test record after.</t>
  </si>
  <si>
    <t xml:space="preserve">Customer Detail</t>
  </si>
  <si>
    <t xml:space="preserve">Verify if customer details displayed</t>
  </si>
  <si>
    <t xml:space="preserve">These following data should display:
1. First Name
2. last Name
3. Email Address
4. Country Code
5. Phone Number
6. Country
7. Language
8. Street
9. Unit/Apartment/Suite
10. City
11. Country
12. Province
13. Postal Code</t>
  </si>
  <si>
    <t xml:space="preserve">Appointment</t>
  </si>
  <si>
    <t xml:space="preserve">Verify if able to select date in Appointment Date field </t>
  </si>
  <si>
    <t xml:space="preserve">1. Should be able to select appointment date
2. Selected date should reflect on the field</t>
  </si>
  <si>
    <t xml:space="preserve">Verify if able to select time in Appointment Time field</t>
  </si>
  <si>
    <t xml:space="preserve">1. Should be able to select appointment time
2. Selected appointment time should reflect on the field</t>
  </si>
  <si>
    <t xml:space="preserve">EXCLUDED from the portal regression run.</t>
  </si>
  <si>
    <t xml:space="preserve">Verify if product reviews grid displayed</t>
  </si>
  <si>
    <t xml:space="preserve">1. Orders grid should display 
2. Data came from when a  user create a registration where product review is enabled </t>
  </si>
  <si>
    <t xml:space="preserve">Excluded from this regression run (out of scope)</t>
  </si>
  <si>
    <t xml:space="preserve">Verify if record details displayed</t>
  </si>
  <si>
    <t xml:space="preserve">Following should display:
1. Device Image
2, Registration Number
3. Batch Number
4. Plan
5. Coverage Amount
6. Date Created
7. Date Updated</t>
  </si>
  <si>
    <t xml:space="preserve">Verify if details tab is the default opened tab </t>
  </si>
  <si>
    <t xml:space="preserve">Details tab should be the default opened tab </t>
  </si>
  <si>
    <t xml:space="preserve">Customer Details </t>
  </si>
  <si>
    <t xml:space="preserve">Product Review</t>
  </si>
  <si>
    <t xml:space="preserve">Verify if the submitted product review displayed </t>
  </si>
  <si>
    <t xml:space="preserve">Submitted product review should display</t>
  </si>
  <si>
    <t xml:space="preserve">Verify if details displayed</t>
  </si>
  <si>
    <t xml:space="preserve">1. User should display
2. Date and time should display
3. Rating should display
4. Review should display</t>
  </si>
  <si>
    <t xml:space="preserve">Verify if device buyback  grid displayed</t>
  </si>
  <si>
    <t xml:space="preserve">1.Device buyback grid should display 
2. Data came from when a  user create a registration where product review is enabled </t>
  </si>
  <si>
    <t xml:space="preserve">New Device Buyback </t>
  </si>
  <si>
    <t xml:space="preserve">1. Create new device buyback modal should display 
2. Step 1: Search Registration should display </t>
  </si>
  <si>
    <t xml:space="preserve">Verify if able to search registration </t>
  </si>
  <si>
    <t xml:space="preserve">1. Should be able to search registration 
2. Searched registration should be filtered on the grid </t>
  </si>
  <si>
    <t xml:space="preserve">Select registration </t>
  </si>
  <si>
    <t xml:space="preserve">1. Radio button of the selected registration should be colored green 
2. Next button should enable </t>
  </si>
  <si>
    <t xml:space="preserve">Click next button </t>
  </si>
  <si>
    <t xml:space="preserve">1. Should route to Step 2: Customer Details 
2. Customer Details should auto-populate on the fields</t>
  </si>
  <si>
    <t xml:space="preserve">Verify if user able to update the fields</t>
  </si>
  <si>
    <t xml:space="preserve">1. Should be able to update the fields 
2. New inputted data should reflect on the field</t>
  </si>
  <si>
    <t xml:space="preserve">Should route to Step 3: Device Details </t>
  </si>
  <si>
    <t xml:space="preserve">Verify if Device Details displayed</t>
  </si>
  <si>
    <t xml:space="preserve">Following should display:
1. Device
2. IMEI
3. Select Color field
4. Select Capacity field
5. Select Condition field
6. Payout Field</t>
  </si>
  <si>
    <t xml:space="preserve">Click color field </t>
  </si>
  <si>
    <t xml:space="preserve">1. Dropdown with options should display
2. Options displayed arethe following:
-Aluminum
-Black
-Blue
-Coral
-Coral Green
-Gold
-Graphite
-Green
-Midnight Green
-No Color
-Pacific Blue
-Pink
-Purple
-Red
-Rose Gold
-Silver
-Sky Blue
-Space Grey
-White
-Yellow</t>
  </si>
  <si>
    <t xml:space="preserve">Select option </t>
  </si>
  <si>
    <t xml:space="preserve">Click select capacity field </t>
  </si>
  <si>
    <t xml:space="preserve">1. Dropdown with options should display
2. Options are:
-64GB
-128GB
-256GB</t>
  </si>
  <si>
    <t xml:space="preserve">Selected capacity should display on the field </t>
  </si>
  <si>
    <t xml:space="preserve">Click condition</t>
  </si>
  <si>
    <t xml:space="preserve">1. Dropdown with options should display
2. OPtions are:
-New
-Excellent
-Average
-Poor
-Broken</t>
  </si>
  <si>
    <t xml:space="preserve">Select an option</t>
  </si>
  <si>
    <t xml:space="preserve">Verify if payout field automatically calculate after selecting condition </t>
  </si>
  <si>
    <t xml:space="preserve">Payout field should automatically calculate</t>
  </si>
  <si>
    <t xml:space="preserve">1. Should route to Step 4: Payout Method 
2. Payout Method form should display </t>
  </si>
  <si>
    <t xml:space="preserve">Click payout method field </t>
  </si>
  <si>
    <t xml:space="preserve">1. Options with display should display 
2. Options are the following:
-Paper Check 
-Paypal
-Bank Transfer</t>
  </si>
  <si>
    <t xml:space="preserve">Verify if other fields will display depending on the option selected </t>
  </si>
  <si>
    <t xml:space="preserve">PAPER CHECK:
-First Name
-Last Name
-Country Code
-Phone Number
-Address
PAYPAL
-Email Address
BANK TRANSFER
-Account Type
-Full Name of the Account Holder
-Email Address
-Account Number
-Routing Number
-Address</t>
  </si>
  <si>
    <t xml:space="preserve">Input on the fields displayed </t>
  </si>
  <si>
    <t xml:space="preserve">Inputted data should reflect on the field/s</t>
  </si>
  <si>
    <t xml:space="preserve">Click submit button </t>
  </si>
  <si>
    <t xml:space="preserve">1. Modal should close
2. Should route to it's record</t>
  </si>
  <si>
    <t xml:space="preserve">1.Default record status should display on the status section 
2. Update of status should reflect on this section </t>
  </si>
  <si>
    <t xml:space="preserve">Verify if the default opened tab is Details </t>
  </si>
  <si>
    <t xml:space="preserve">Details tab should be the default open tab </t>
  </si>
  <si>
    <t xml:space="preserve">Should route to customer details page when this tab is clicked </t>
  </si>
  <si>
    <t xml:space="preserve">Verify if device details tab is working</t>
  </si>
  <si>
    <t xml:space="preserve">Should route to device details page when this tab is clicked</t>
  </si>
  <si>
    <t xml:space="preserve">Verify if payment details tab is working</t>
  </si>
  <si>
    <t xml:space="preserve">Should route to payment details page when this tab is clicked</t>
  </si>
  <si>
    <t xml:space="preserve">Following should display:
1. Registration Number
2. Plan
3. Coverage Amount
4. Device 
5. IMEI
6. Device Category
7. Company Name
8. Responsible Claim Payer 
9. Data Source
10. App
11. Protection Plan Purchase Dtae
12. Registration Date 
13. terms and Conditions
14. Buyback ID
15. Customer Portal URL</t>
  </si>
  <si>
    <t xml:space="preserve">Device details</t>
  </si>
  <si>
    <t xml:space="preserve">Device details selected during device buyback creation should display</t>
  </si>
  <si>
    <t xml:space="preserve">Payment Details</t>
  </si>
  <si>
    <t xml:space="preserve">Verify if payment details during device buyback creation displayed</t>
  </si>
  <si>
    <t xml:space="preserve">Payment details during buyback creation should display </t>
  </si>
  <si>
    <t xml:space="preserve">Verify if device categories grid displayed</t>
  </si>
  <si>
    <t xml:space="preserve">Devicecategories grid should display </t>
  </si>
  <si>
    <t xml:space="preserve">Click filter device categories</t>
  </si>
  <si>
    <t xml:space="preserve">New Device Categories</t>
  </si>
  <si>
    <t xml:space="preserve">Clcik new button</t>
  </si>
  <si>
    <t xml:space="preserve">New device category modal should display </t>
  </si>
  <si>
    <t xml:space="preserve">Input device category name</t>
  </si>
  <si>
    <t xml:space="preserve">1. Inputted name should display on the field
2. Save and Continue button should enable </t>
  </si>
  <si>
    <t xml:space="preserve">1. Modal should close
2. Should route to its record </t>
  </si>
  <si>
    <t xml:space="preserve">Devices</t>
  </si>
  <si>
    <t xml:space="preserve">Click filter devices </t>
  </si>
  <si>
    <t xml:space="preserve">Click add button </t>
  </si>
  <si>
    <t xml:space="preserve">1. Add devices modal should display
2. Step 1: Select Brand should display</t>
  </si>
  <si>
    <t xml:space="preserve">Verify if able to search brand </t>
  </si>
  <si>
    <t xml:space="preserve">Should be able to search brand</t>
  </si>
  <si>
    <t xml:space="preserve">Verify if able to select a brand</t>
  </si>
  <si>
    <t xml:space="preserve">1. Should be able to select a brand
2. Next button should enable </t>
  </si>
  <si>
    <t xml:space="preserve">Should route to Step 2: Select Devices </t>
  </si>
  <si>
    <t xml:space="preserve">Verify if able to search devices </t>
  </si>
  <si>
    <t xml:space="preserve">Should be able to search devices</t>
  </si>
  <si>
    <t xml:space="preserve">Verify if able to select a device</t>
  </si>
  <si>
    <t xml:space="preserve">1. Should be able to select a device 
2. Save and Close button should enable</t>
  </si>
  <si>
    <t xml:space="preserve">1. Modal should close
2. Created record should dispaly on the grid </t>
  </si>
  <si>
    <t xml:space="preserve">Verify if product categories grid displayed</t>
  </si>
  <si>
    <t xml:space="preserve">Product categories grid should display </t>
  </si>
  <si>
    <t xml:space="preserve">New Product Category</t>
  </si>
  <si>
    <t xml:space="preserve">New product category modal should display </t>
  </si>
  <si>
    <t xml:space="preserve">Follwoing should display:
1. Uploaded profile image should display
2. Product Category Name 
3. Date Created
4. Date Updated</t>
  </si>
  <si>
    <t xml:space="preserve">Verify if product tab is the defualt open tab </t>
  </si>
  <si>
    <t xml:space="preserve">Product s tab should be the default open tab </t>
  </si>
  <si>
    <t xml:space="preserve">Verify if timeline tab is working </t>
  </si>
  <si>
    <t xml:space="preserve">Should route to timeline page when this tab is clicked </t>
  </si>
  <si>
    <t xml:space="preserve">Verify if notes tab is working </t>
  </si>
  <si>
    <t xml:space="preserve">Should route to notes page when this tab is clicked</t>
  </si>
  <si>
    <t xml:space="preserve">Products</t>
  </si>
  <si>
    <t xml:space="preserve">Click filter products</t>
  </si>
  <si>
    <t xml:space="preserve">Add products modal should display</t>
  </si>
  <si>
    <t xml:space="preserve">Verify if able to search product </t>
  </si>
  <si>
    <t xml:space="preserve">Should be able to search product</t>
  </si>
  <si>
    <t xml:space="preserve">Select product/s</t>
  </si>
  <si>
    <t xml:space="preserve">1. The check box of the selected product/s should be checked
2. Save and close button should enable </t>
  </si>
  <si>
    <t xml:space="preserve">1. Modal should close 
2. Selected products should display on the products grid </t>
  </si>
  <si>
    <t xml:space="preserve">New Brand</t>
  </si>
  <si>
    <t xml:space="preserve">New brand modal should display </t>
  </si>
  <si>
    <t xml:space="preserve">Verify if recor details displayed</t>
  </si>
  <si>
    <t xml:space="preserve">Following should display:
1. UPloaded profile image should display
2. Brand name should display
3. Date Created should display
4. Date Updated should display </t>
  </si>
  <si>
    <t xml:space="preserve">Verify if devices tab is the default open tab </t>
  </si>
  <si>
    <t xml:space="preserve">Devices tab shoudl be the default open tab </t>
  </si>
  <si>
    <t xml:space="preserve">Verify if timeline tab is working</t>
  </si>
  <si>
    <t xml:space="preserve">Should route to notes page when this tab is clicked </t>
  </si>
  <si>
    <t xml:space="preserve">Verify if devices displayed on the grid </t>
  </si>
  <si>
    <t xml:space="preserve">Added devices should display </t>
  </si>
  <si>
    <t xml:space="preserve">New device modal should display </t>
  </si>
  <si>
    <t xml:space="preserve">Input device name</t>
  </si>
  <si>
    <t xml:space="preserve">Inputted device name should reflect on the field </t>
  </si>
  <si>
    <t xml:space="preserve">Click identifier field </t>
  </si>
  <si>
    <t xml:space="preserve">Dropdown with options should display </t>
  </si>
  <si>
    <t xml:space="preserve">Select identifier option </t>
  </si>
  <si>
    <t xml:space="preserve">Click categories field</t>
  </si>
  <si>
    <t xml:space="preserve">Select category option </t>
  </si>
  <si>
    <t xml:space="preserve">Click internet connection type field</t>
  </si>
  <si>
    <t xml:space="preserve">Select internet connection type option </t>
  </si>
  <si>
    <t xml:space="preserve">Verify if IMEI is the default selected device ID type </t>
  </si>
  <si>
    <t xml:space="preserve">IMEI should be the default selected device ID type </t>
  </si>
  <si>
    <t xml:space="preserve">Select another device ID type </t>
  </si>
  <si>
    <t xml:space="preserve">Selected device ID type should be checked</t>
  </si>
  <si>
    <t xml:space="preserve">Select workflow</t>
  </si>
  <si>
    <t xml:space="preserve">Selected workflow should be checked </t>
  </si>
  <si>
    <t xml:space="preserve">1. Modal should close 
2. Record should display in devices grid </t>
  </si>
  <si>
    <t xml:space="preserve">Grid </t>
  </si>
  <si>
    <t xml:space="preserve">Verify if registration survey questions displayed on the grid </t>
  </si>
  <si>
    <t xml:space="preserve">Created registration survery questions should display on the grid </t>
  </si>
  <si>
    <t xml:space="preserve">Click edit button on the grid </t>
  </si>
  <si>
    <t xml:space="preserve">Should display the question record on a modal </t>
  </si>
  <si>
    <t xml:space="preserve">Update the question </t>
  </si>
  <si>
    <t xml:space="preserve">1.Inputted new change/s should reflect on the field 
2. Save nad close button should enable </t>
  </si>
  <si>
    <t xml:space="preserve">Click save and close </t>
  </si>
  <si>
    <t xml:space="preserve">1. Modal should close 
2. Changes should be saved </t>
  </si>
  <si>
    <t xml:space="preserve">Click delete button </t>
  </si>
  <si>
    <t xml:space="preserve">Delete confirmation modal should displayhaving this message " Are you sure you want to delete "Question "</t>
  </si>
  <si>
    <t xml:space="preserve">Click No button </t>
  </si>
  <si>
    <t xml:space="preserve">1. Modal should close
2. Delete will be cancelled</t>
  </si>
  <si>
    <t xml:space="preserve">Click Yes button </t>
  </si>
  <si>
    <t xml:space="preserve">1. Modal should close
2. Selected question should be deleted and will be remved from the grid </t>
  </si>
  <si>
    <t xml:space="preserve">New Registration Survey </t>
  </si>
  <si>
    <t xml:space="preserve">New registration survey modal should display </t>
  </si>
  <si>
    <t xml:space="preserve">Input question </t>
  </si>
  <si>
    <t xml:space="preserve">1. Inputted question should reflect on the field 
2. Save and close button should enable </t>
  </si>
  <si>
    <t xml:space="preserve">1. Modal should close 
2. Created survey question should display on the grid </t>
  </si>
  <si>
    <t xml:space="preserve">Verify if plans grid displayed</t>
  </si>
  <si>
    <t xml:space="preserve">Plans categories grid should display </t>
  </si>
  <si>
    <t xml:space="preserve">Click filter plans</t>
  </si>
  <si>
    <t xml:space="preserve">New Plan </t>
  </si>
  <si>
    <t xml:space="preserve">1. New plan modal should display 
2. Step 1: Plan Details should display </t>
  </si>
  <si>
    <t xml:space="preserve">Input plan name</t>
  </si>
  <si>
    <t xml:space="preserve">Inputted plan name should reflect on the field </t>
  </si>
  <si>
    <t xml:space="preserve">Verify if single is the default selected plan type </t>
  </si>
  <si>
    <t xml:space="preserve">Single should be the default selected plan type </t>
  </si>
  <si>
    <t xml:space="preserve">Click plan type field </t>
  </si>
  <si>
    <t xml:space="preserve">Dropdown with other plan type options should display</t>
  </si>
  <si>
    <t xml:space="preserve">Select plan type </t>
  </si>
  <si>
    <t xml:space="preserve">Selected plan type option should reflect on the field </t>
  </si>
  <si>
    <t xml:space="preserve">Click region field </t>
  </si>
  <si>
    <t xml:space="preserve">Dropdown with region options should display </t>
  </si>
  <si>
    <t xml:space="preserve">Select a region option </t>
  </si>
  <si>
    <t xml:space="preserve">Input a SKU </t>
  </si>
  <si>
    <t xml:space="preserve">Inputted SKU should reflect on the field </t>
  </si>
  <si>
    <t xml:space="preserve">Click administrator field </t>
  </si>
  <si>
    <t xml:space="preserve">Dropdown with administrator options should display </t>
  </si>
  <si>
    <t xml:space="preserve">Select an administratot option </t>
  </si>
  <si>
    <t xml:space="preserve">Selected administrator option should reflect on the field </t>
  </si>
  <si>
    <t xml:space="preserve">Click underwriter field </t>
  </si>
  <si>
    <t xml:space="preserve">Dropdown with underwriter options should display</t>
  </si>
  <si>
    <t xml:space="preserve">Select an undewriter option </t>
  </si>
  <si>
    <t xml:space="preserve">Click coverage type field</t>
  </si>
  <si>
    <t xml:space="preserve">Dropdown with coverage type options should display </t>
  </si>
  <si>
    <t xml:space="preserve">Select a coverage type option </t>
  </si>
  <si>
    <t xml:space="preserve">Click coverage cost type field </t>
  </si>
  <si>
    <t xml:space="preserve">Dropdown with coverage cost type options should display </t>
  </si>
  <si>
    <t xml:space="preserve">Input coverage period</t>
  </si>
  <si>
    <t xml:space="preserve">Inputted covergae perios should reflect on the field </t>
  </si>
  <si>
    <t xml:space="preserve">Click channel field </t>
  </si>
  <si>
    <t xml:space="preserve">Dropdown with channel options should display </t>
  </si>
  <si>
    <t xml:space="preserve">Select a channel option </t>
  </si>
  <si>
    <t xml:space="preserve">Should route to Step 2: Support &amp; Term Details </t>
  </si>
  <si>
    <t xml:space="preserve">Click support field </t>
  </si>
  <si>
    <t xml:space="preserve">Dropdown with support options should display </t>
  </si>
  <si>
    <t xml:space="preserve">Select a support option </t>
  </si>
  <si>
    <t xml:space="preserve">Click upload PDF file button </t>
  </si>
  <si>
    <t xml:space="preserve">Select PDF file and click open button </t>
  </si>
  <si>
    <t xml:space="preserve">Should reflect in terms section </t>
  </si>
  <si>
    <t xml:space="preserve">Should route to Step 3: Summary </t>
  </si>
  <si>
    <t xml:space="preserve">Verify if Plan details displayed</t>
  </si>
  <si>
    <t xml:space="preserve">Plan details inputted in step 1 should display </t>
  </si>
  <si>
    <t xml:space="preserve">Verify if support &amp; term details displayed</t>
  </si>
  <si>
    <t xml:space="preserve">Support &amp; term details in step 2 should display </t>
  </si>
  <si>
    <t xml:space="preserve">Click save nad close button </t>
  </si>
  <si>
    <t xml:space="preserve">1. Modal should close
2. Should route to its record 
3. Record should display on the grid </t>
  </si>
  <si>
    <t xml:space="preserve">Following should display:
1. Uploaded profile image
2. Plan Name 
3. Region 
4. Coverage Amount
5. Plan Type 
6. Date Created 
7. Date Updated </t>
  </si>
  <si>
    <t xml:space="preserve">Update any field </t>
  </si>
  <si>
    <t xml:space="preserve">Inputted new change should reflect on the field </t>
  </si>
  <si>
    <t xml:space="preserve">Click save button </t>
  </si>
  <si>
    <t xml:space="preserve">Changes should be saved </t>
  </si>
  <si>
    <t xml:space="preserve">Verify if details tab is the default open tab </t>
  </si>
  <si>
    <t xml:space="preserve">Details tab should be the defualt open tab </t>
  </si>
  <si>
    <t xml:space="preserve">Should route to timeline tab when this tab is clicked </t>
  </si>
  <si>
    <t xml:space="preserve">Verify if Notes tab is working </t>
  </si>
  <si>
    <t xml:space="preserve">Verify if plan details displayed </t>
  </si>
  <si>
    <t xml:space="preserve">Plan details during plan creation should display </t>
  </si>
  <si>
    <t xml:space="preserve">Edit or Update any field</t>
  </si>
  <si>
    <t xml:space="preserve">New changes should reflect on the field/s</t>
  </si>
  <si>
    <t xml:space="preserve">Click save or save and close button </t>
  </si>
  <si>
    <t xml:space="preserve">Changes should be saved , and record should close when save nad close button is clicked </t>
  </si>
  <si>
    <t xml:space="preserve">Verify if repair network grid displayed</t>
  </si>
  <si>
    <t xml:space="preserve">Repair network  grid should display </t>
  </si>
  <si>
    <t xml:space="preserve">Click filter repair network</t>
  </si>
  <si>
    <t xml:space="preserve">Click any record on the grid </t>
  </si>
  <si>
    <t xml:space="preserve">Should open its record </t>
  </si>
  <si>
    <t xml:space="preserve">Edit repair network name </t>
  </si>
  <si>
    <t xml:space="preserve">Change/s shoudl reflect on the grid </t>
  </si>
  <si>
    <t xml:space="preserve">Click save anad continue button </t>
  </si>
  <si>
    <t xml:space="preserve">1. Modal should close 
2. Changes should display on the grid </t>
  </si>
  <si>
    <t xml:space="preserve">Clcik delet button of any record </t>
  </si>
  <si>
    <t xml:space="preserve">Delete confirmation modal should display having a message "Are you sure you want to delete "Repair Network name" </t>
  </si>
  <si>
    <t xml:space="preserve">Verify if yes or no buttons are working </t>
  </si>
  <si>
    <t xml:space="preserve">1. If no button is clicked , modal should close and transaction is cancelled
2, If yes button is clicked, modal should close and record should be deleted </t>
  </si>
  <si>
    <t xml:space="preserve">New Repair Network </t>
  </si>
  <si>
    <t xml:space="preserve">Clcik new button </t>
  </si>
  <si>
    <t xml:space="preserve">New repair network modal should display</t>
  </si>
  <si>
    <t xml:space="preserve">Input repair network name </t>
  </si>
  <si>
    <t xml:space="preserve">1. Modal should close 
2. Record should display on the grid </t>
  </si>
  <si>
    <t xml:space="preserve">Verify if company  grid displayed</t>
  </si>
  <si>
    <t xml:space="preserve">Company categories grid should display </t>
  </si>
  <si>
    <t xml:space="preserve">Click filter companies</t>
  </si>
  <si>
    <t xml:space="preserve">New Company </t>
  </si>
  <si>
    <t xml:space="preserve">New company modal should display  </t>
  </si>
  <si>
    <t xml:space="preserve">Input company name </t>
  </si>
  <si>
    <t xml:space="preserve">Inputted company name should reflect on the field </t>
  </si>
  <si>
    <t xml:space="preserve">Click country code field </t>
  </si>
  <si>
    <t xml:space="preserve">Dropdown with country code options should display </t>
  </si>
  <si>
    <t xml:space="preserve">Select country code option </t>
  </si>
  <si>
    <t xml:space="preserve">Input phone number </t>
  </si>
  <si>
    <t xml:space="preserve">1. Modal should close 
2. Should route to its record </t>
  </si>
  <si>
    <t xml:space="preserve">Following should display:
1. Uploaded profile image
2. Company Name
3. Date Created
4. Date Updated </t>
  </si>
  <si>
    <t xml:space="preserve">Verify if details tab is the defualt open tab </t>
  </si>
  <si>
    <t xml:space="preserve">Verify if users tab is working </t>
  </si>
  <si>
    <t xml:space="preserve">Should route to users page when this tab is clicked </t>
  </si>
  <si>
    <t xml:space="preserve">Verify if plans tab is working </t>
  </si>
  <si>
    <t xml:space="preserve">Should route to plans page when this tab is clicked </t>
  </si>
  <si>
    <t xml:space="preserve">Verify if products tab is working </t>
  </si>
  <si>
    <t xml:space="preserve">Should route to products page when tab is clicked</t>
  </si>
  <si>
    <t xml:space="preserve">Should route to timeline page when tab is clicked </t>
  </si>
  <si>
    <t xml:space="preserve">Should route to notes page when tab is clicked </t>
  </si>
  <si>
    <t xml:space="preserve">Verify if enterprise program displayed</t>
  </si>
  <si>
    <t xml:space="preserve">1. Enterprise program section should display
2. Should have a check box, "Enable Enterprise Program"</t>
  </si>
  <si>
    <t xml:space="preserve">Verify if company details section displayed </t>
  </si>
  <si>
    <t xml:space="preserve">1. Company details should display 
2. When enterprise program is not checked , the following should only display:
-Country Code
- Phone Number</t>
  </si>
  <si>
    <t xml:space="preserve">Enable enterprise program </t>
  </si>
  <si>
    <t xml:space="preserve">1. Another fields in company details should display
2. The following should display:
- Company Code
-Repair Network
-Device Management System
-Country
-First Name
-Last Name
-Email Address
- Address</t>
  </si>
  <si>
    <t xml:space="preserve">Input company code </t>
  </si>
  <si>
    <t xml:space="preserve">Inputted company code should reflect on the field </t>
  </si>
  <si>
    <t xml:space="preserve">Click repair network field </t>
  </si>
  <si>
    <t xml:space="preserve">Dropdown with options should display</t>
  </si>
  <si>
    <t xml:space="preserve">Select repair network option </t>
  </si>
  <si>
    <t xml:space="preserve">Click device management system field </t>
  </si>
  <si>
    <t xml:space="preserve">Dropdown with device management options should display </t>
  </si>
  <si>
    <t xml:space="preserve">Select a device management system option</t>
  </si>
  <si>
    <t xml:space="preserve">Click country field </t>
  </si>
  <si>
    <t xml:space="preserve">Dropdown with country options should display</t>
  </si>
  <si>
    <t xml:space="preserve">Select a country option </t>
  </si>
  <si>
    <t xml:space="preserve">Input first name </t>
  </si>
  <si>
    <t xml:space="preserve">Inputted first name should reflect on the field </t>
  </si>
  <si>
    <t xml:space="preserve">Input last name</t>
  </si>
  <si>
    <t xml:space="preserve">Inputted last name should reflect on teh field </t>
  </si>
  <si>
    <t xml:space="preserve">Input email address </t>
  </si>
  <si>
    <t xml:space="preserve">Inputted email address should reflect on the field </t>
  </si>
  <si>
    <t xml:space="preserve">Input/search address </t>
  </si>
  <si>
    <t xml:space="preserve">Suggested address result should display </t>
  </si>
  <si>
    <t xml:space="preserve">Select a suggested address result </t>
  </si>
  <si>
    <t xml:space="preserve">Changes added should be saved </t>
  </si>
  <si>
    <t xml:space="preserve">Users</t>
  </si>
  <si>
    <t xml:space="preserve">Verify if users grid displayed</t>
  </si>
  <si>
    <t xml:space="preserve">1. Users categories grid should display 
2. Added users should display on the grid </t>
  </si>
  <si>
    <t xml:space="preserve">Click filter users</t>
  </si>
  <si>
    <t xml:space="preserve">Verify if resend invite on the grid is working </t>
  </si>
  <si>
    <t xml:space="preserve">When button is clciked , a modal should display having a message "This will send an invitation email to "First Name + Last Name" to activate the user's account. Do you wish to continue?</t>
  </si>
  <si>
    <t xml:space="preserve">1. New user button should display 
2. Step 1: Search User should display </t>
  </si>
  <si>
    <t xml:space="preserve">Verify if No and Yes buttons are working</t>
  </si>
  <si>
    <t xml:space="preserve">1. When No is clicked, modal should close and the process is cancelled 
2. When Yes button is clciked, modal should close and invitation will be sent to the email of the user's account </t>
  </si>
  <si>
    <t xml:space="preserve">Verify is users displayed on the grid </t>
  </si>
  <si>
    <t xml:space="preserve">Users should display on the grid </t>
  </si>
  <si>
    <t xml:space="preserve">Verify if able to search a user </t>
  </si>
  <si>
    <t xml:space="preserve">Should be able to search a user </t>
  </si>
  <si>
    <t xml:space="preserve">Select a user </t>
  </si>
  <si>
    <t xml:space="preserve">Radio button of the selected user should be pilled </t>
  </si>
  <si>
    <t xml:space="preserve">Should route to Step 2: User Details </t>
  </si>
  <si>
    <t xml:space="preserve">Verify if user details reflect on the fields </t>
  </si>
  <si>
    <t xml:space="preserve">User details should reflect on the fields</t>
  </si>
  <si>
    <t xml:space="preserve">Click add user button </t>
  </si>
  <si>
    <t xml:space="preserve">1. User should be added on the company 
2. Added user should reflect on the grid </t>
  </si>
  <si>
    <t xml:space="preserve">Verify if the user need to fill up user details form in step 2, when the user did not select a record in step 1 and just clicked next button </t>
  </si>
  <si>
    <t xml:space="preserve">1. Fileds in step 2 should be empty
2. User needs to fillup the form to add a user to the company </t>
  </si>
  <si>
    <t xml:space="preserve">Plans</t>
  </si>
  <si>
    <t xml:space="preserve">Verify if plan grid displayed</t>
  </si>
  <si>
    <t xml:space="preserve">1.Plans categories grid should display 
2. Added plan should display on the grid </t>
  </si>
  <si>
    <t xml:space="preserve">New product modal should display </t>
  </si>
  <si>
    <t xml:space="preserve">Add new plan modal should display </t>
  </si>
  <si>
    <t xml:space="preserve">Verify if plans from the main plan menu displayed on the modal grid </t>
  </si>
  <si>
    <t xml:space="preserve">All active plans from the plan menu should display on the modal grid </t>
  </si>
  <si>
    <t xml:space="preserve">Select a plan/s </t>
  </si>
  <si>
    <t xml:space="preserve">1. Should be able to select a plan/s 
2. Select plan button should enable </t>
  </si>
  <si>
    <t xml:space="preserve">Click select plan button </t>
  </si>
  <si>
    <t xml:space="preserve">Should route to step 2</t>
  </si>
  <si>
    <t xml:space="preserve">Input plan code </t>
  </si>
  <si>
    <t xml:space="preserve">1. Inputted plan code should reflect on the field 
2. Save button should enable </t>
  </si>
  <si>
    <t xml:space="preserve">1. Modal should close 
2. Success message should display 
3. Added plan should display on the grid </t>
  </si>
  <si>
    <t xml:space="preserve">Open a plan record </t>
  </si>
  <si>
    <t xml:space="preserve">1. Should route to its record 
2. Details should be the default open tab </t>
  </si>
  <si>
    <t xml:space="preserve">Click batches tab </t>
  </si>
  <si>
    <t xml:space="preserve">Should route to batch page </t>
  </si>
  <si>
    <t xml:space="preserve">Verify if batches grid displayed</t>
  </si>
  <si>
    <t xml:space="preserve">1.Batches grid should display 
2. Added batch should display on the grid </t>
  </si>
  <si>
    <t xml:space="preserve">Click filter batches</t>
  </si>
  <si>
    <t xml:space="preserve">New batch modal should display </t>
  </si>
  <si>
    <t xml:space="preserve">Clcik product field </t>
  </si>
  <si>
    <t xml:space="preserve">1. Dropdown with options should display 
2. Options displayed are the products under the company </t>
  </si>
  <si>
    <t xml:space="preserve">Seelct a product option </t>
  </si>
  <si>
    <t xml:space="preserve">Input number of pins </t>
  </si>
  <si>
    <t xml:space="preserve">Inputted number should reflect on the field </t>
  </si>
  <si>
    <t xml:space="preserve">Click plan purchase date field </t>
  </si>
  <si>
    <t xml:space="preserve">A calendar should display </t>
  </si>
  <si>
    <t xml:space="preserve">Select a date </t>
  </si>
  <si>
    <t xml:space="preserve">Selected date should reflect on the field </t>
  </si>
  <si>
    <t xml:space="preserve">Click vertical field </t>
  </si>
  <si>
    <t xml:space="preserve">Select a vertical option </t>
  </si>
  <si>
    <t xml:space="preserve">1. Modal shouldclose
2. Created batch should reflect on the field </t>
  </si>
  <si>
    <t xml:space="preserve">Company </t>
  </si>
  <si>
    <t xml:space="preserve">Input product barcode</t>
  </si>
  <si>
    <t xml:space="preserve">Inputted barcode should reflect on the field </t>
  </si>
  <si>
    <t xml:space="preserve">Input product name </t>
  </si>
  <si>
    <t xml:space="preserve">Inputted name should reflect on the field </t>
  </si>
  <si>
    <t xml:space="preserve">Click plan field </t>
  </si>
  <si>
    <t xml:space="preserve">1. Dropdown with plan options should display
2. Displayed options are the plans added to the company </t>
  </si>
  <si>
    <t xml:space="preserve">Select a plan option </t>
  </si>
  <si>
    <t xml:space="preserve">Click device categories field </t>
  </si>
  <si>
    <t xml:space="preserve">1. Dropdown with device categories options should display
2. Device categories are the active records from the main menu </t>
  </si>
  <si>
    <t xml:space="preserve">Select a device category option </t>
  </si>
  <si>
    <t xml:space="preserve">Click product category field </t>
  </si>
  <si>
    <t xml:space="preserve">Dropdown with product category options should display</t>
  </si>
  <si>
    <t xml:space="preserve">Input agreement </t>
  </si>
  <si>
    <t xml:space="preserve">Inputted agreement should reflect on the field </t>
  </si>
  <si>
    <t xml:space="preserve">Select a workflow to bypass</t>
  </si>
  <si>
    <t xml:space="preserve">Should be able to seelct a workflow to bypass</t>
  </si>
  <si>
    <t xml:space="preserve">Clcik save and continue button </t>
  </si>
  <si>
    <t xml:space="preserve">1. Modal should close 
2. Added product should display on the product grid </t>
  </si>
  <si>
    <t xml:space="preserve">Clcik a product record </t>
  </si>
  <si>
    <t xml:space="preserve">Should route to its record </t>
  </si>
  <si>
    <t xml:space="preserve">Verify if product details displayed</t>
  </si>
  <si>
    <t xml:space="preserve">Product details during its creation should display </t>
  </si>
  <si>
    <t xml:space="preserve">Should route to batches page </t>
  </si>
  <si>
    <t xml:space="preserve">Verify if batches where the product is added displayed on the grid</t>
  </si>
  <si>
    <t xml:space="preserve">Batches where the product was added should display on the grid </t>
  </si>
  <si>
    <t xml:space="preserve">Click  review questions </t>
  </si>
  <si>
    <t xml:space="preserve">Should route to review questions page </t>
  </si>
  <si>
    <t xml:space="preserve">Clcik add button </t>
  </si>
  <si>
    <t xml:space="preserve">Add review question modal should display </t>
  </si>
  <si>
    <t xml:space="preserve">Select review questions </t>
  </si>
  <si>
    <t xml:space="preserve">1. Should be able to select review questions 
2. Add selected button should enable </t>
  </si>
  <si>
    <t xml:space="preserve">Click add selected button </t>
  </si>
  <si>
    <t xml:space="preserve">1. Modal should close 
2. Added review question should display on the grid </t>
  </si>
  <si>
    <t xml:space="preserve">Click shop set-up tab </t>
  </si>
  <si>
    <t xml:space="preserve">Should route to shop set-up page 
NOTE: shop set-up is used in remarketing </t>
  </si>
  <si>
    <t xml:space="preserve">Verify if Order flow displayed</t>
  </si>
  <si>
    <t xml:space="preserve">1. Order flow section should display
2. On this section there should be two itesm that should display:
-Claim 
-Remarketing</t>
  </si>
  <si>
    <t xml:space="preserve">Select order flow</t>
  </si>
  <si>
    <t xml:space="preserve">Selected option/s should be checked </t>
  </si>
  <si>
    <t xml:space="preserve">Click select all devices </t>
  </si>
  <si>
    <t xml:space="preserve">All devices should display on the device list field </t>
  </si>
  <si>
    <t xml:space="preserve">When select all device is not checked, and user only selected specific devices from the device list </t>
  </si>
  <si>
    <t xml:space="preserve">Selected specific devices should reflect on the field </t>
  </si>
  <si>
    <t xml:space="preserve">Verify if associated products section displayed </t>
  </si>
  <si>
    <t xml:space="preserve">Following fields should display on this section:
1. Product category
2. Products</t>
  </si>
  <si>
    <t xml:space="preserve">Clcik product category field </t>
  </si>
  <si>
    <t xml:space="preserve">Click products field </t>
  </si>
  <si>
    <t xml:space="preserve">1. Dropdown with options should display 
2. Options displayed will depend on what category was selected 
3. Products that will display are those having a category that was selected in product category field </t>
  </si>
  <si>
    <t xml:space="preserve">Click add product button </t>
  </si>
  <si>
    <t xml:space="preserve">A new product category and product field should display</t>
  </si>
  <si>
    <t xml:space="preserve">Click remove button </t>
  </si>
  <si>
    <t xml:space="preserve">Selected product will be removed </t>
  </si>
  <si>
    <t xml:space="preserve">Verify if product order details section displayed </t>
  </si>
  <si>
    <t xml:space="preserve">Product order section should display </t>
  </si>
  <si>
    <t xml:space="preserve">Input original price </t>
  </si>
  <si>
    <t xml:space="preserve">Inputted originla price should reflect on the field </t>
  </si>
  <si>
    <t xml:space="preserve">Click discount type field </t>
  </si>
  <si>
    <t xml:space="preserve">Should display fix and percentage options on a dropdown </t>
  </si>
  <si>
    <t xml:space="preserve">Select discount type option </t>
  </si>
  <si>
    <t xml:space="preserve">Input discount value </t>
  </si>
  <si>
    <t xml:space="preserve">Inputted discount value should reflect on the field </t>
  </si>
  <si>
    <t xml:space="preserve">Input shipping and handling </t>
  </si>
  <si>
    <t xml:space="preserve">Inputted value should reflect on the field </t>
  </si>
  <si>
    <t xml:space="preserve">Input maximum order quantity </t>
  </si>
  <si>
    <t xml:space="preserve">Input product description </t>
  </si>
  <si>
    <t xml:space="preserve">Inputted description should reflect on the editor </t>
  </si>
  <si>
    <t xml:space="preserve">Clcik save button </t>
  </si>
  <si>
    <t xml:space="preserve">All inputted data/details should be saved </t>
  </si>
  <si>
    <t xml:space="preserve">Verify if language grid displayed</t>
  </si>
  <si>
    <t xml:space="preserve">Lanuage  grid should display </t>
  </si>
  <si>
    <t xml:space="preserve">Click filter languages</t>
  </si>
  <si>
    <t xml:space="preserve">Edit language</t>
  </si>
  <si>
    <t xml:space="preserve">Delete confirmation modal should display having a message "Are you sure you want to delete "Language name" </t>
  </si>
  <si>
    <t xml:space="preserve">New Language</t>
  </si>
  <si>
    <t xml:space="preserve">Should open new language modal </t>
  </si>
  <si>
    <t xml:space="preserve">Input language </t>
  </si>
  <si>
    <t xml:space="preserve">Inputted language should reflect on the field </t>
  </si>
  <si>
    <t xml:space="preserve">Input ISO code</t>
  </si>
  <si>
    <t xml:space="preserve">Inputted code should reflect on the field </t>
  </si>
  <si>
    <t xml:space="preserve">Click date format field </t>
  </si>
  <si>
    <t xml:space="preserve">Dropwon with format options should display</t>
  </si>
  <si>
    <t xml:space="preserve">Select date format option </t>
  </si>
  <si>
    <t xml:space="preserve">Selected option should dispaly on the field </t>
  </si>
  <si>
    <t xml:space="preserve">Select time format</t>
  </si>
  <si>
    <t xml:space="preserve">Radio button of the selected time format should be colored </t>
  </si>
  <si>
    <t xml:space="preserve">1. Modal should close 
2. record should display on the grid </t>
  </si>
  <si>
    <t xml:space="preserve">Verify if regions grid displayed</t>
  </si>
  <si>
    <t xml:space="preserve">Regions  grid should display </t>
  </si>
  <si>
    <t xml:space="preserve">Click filter regions </t>
  </si>
  <si>
    <t xml:space="preserve">Edit regions</t>
  </si>
  <si>
    <t xml:space="preserve">Delete confirmation modal should display having a message "Are you sure you want to delete "Region name" </t>
  </si>
  <si>
    <t xml:space="preserve">New Region </t>
  </si>
  <si>
    <t xml:space="preserve">New region modal should display </t>
  </si>
  <si>
    <t xml:space="preserve">Input region name </t>
  </si>
  <si>
    <t xml:space="preserve">1. Inputted region anme should reflect on the field 
2. Save and continue button should enable </t>
  </si>
  <si>
    <t xml:space="preserve">1. Modal should close 
2. Record should display on the grid</t>
  </si>
  <si>
    <t xml:space="preserve">Verify if administrators grid displayed</t>
  </si>
  <si>
    <t xml:space="preserve">Administrators  grid should display </t>
  </si>
  <si>
    <t xml:space="preserve">Click filter administrators</t>
  </si>
  <si>
    <t xml:space="preserve">Edit administrators</t>
  </si>
  <si>
    <t xml:space="preserve">Delete confirmation modal should display having a message "Are you sure you want to delete "Company name" </t>
  </si>
  <si>
    <t xml:space="preserve">New Administrator</t>
  </si>
  <si>
    <t xml:space="preserve">New Administrator modal should display </t>
  </si>
  <si>
    <t xml:space="preserve">Input company name</t>
  </si>
  <si>
    <t xml:space="preserve">1. Inputted name should reflect on the field 
2. Save and close button should enable </t>
  </si>
  <si>
    <t xml:space="preserve">1. Modal should close
2. Record should display on the grid </t>
  </si>
  <si>
    <t xml:space="preserve">Verify if underwriters grid displayed</t>
  </si>
  <si>
    <t xml:space="preserve">Underwriters grid should display </t>
  </si>
  <si>
    <t xml:space="preserve">Click filter underwiters</t>
  </si>
  <si>
    <t xml:space="preserve">Edit underwriter</t>
  </si>
  <si>
    <t xml:space="preserve">New Underwriter</t>
  </si>
  <si>
    <t xml:space="preserve">New underwriter modal should display </t>
  </si>
  <si>
    <t xml:space="preserve">1. Inputted name should reflect on the field 
2. Save and close should enable </t>
  </si>
  <si>
    <t xml:space="preserve">Clcik save and close button </t>
  </si>
  <si>
    <t xml:space="preserve">1. Modal should close 
2. Record should dispaly on the grid </t>
  </si>
  <si>
    <t xml:space="preserve">Verify if supportgrid displayed</t>
  </si>
  <si>
    <t xml:space="preserve">Support grid should display </t>
  </si>
  <si>
    <t xml:space="preserve">Click filter support </t>
  </si>
  <si>
    <t xml:space="preserve">Edit support name </t>
  </si>
  <si>
    <t xml:space="preserve">Support </t>
  </si>
  <si>
    <t xml:space="preserve">New support modal should display </t>
  </si>
  <si>
    <t xml:space="preserve">Inputted anme should display on the field </t>
  </si>
  <si>
    <t xml:space="preserve">Clcik country code field </t>
  </si>
  <si>
    <t xml:space="preserve">Selected option should reflect on teh field</t>
  </si>
  <si>
    <t xml:space="preserve">Inputted number should reflect on teh field</t>
  </si>
  <si>
    <t xml:space="preserve">Input website </t>
  </si>
  <si>
    <t xml:space="preserve">Inputted website should reflect on the field </t>
  </si>
  <si>
    <t xml:space="preserve">Input business hours</t>
  </si>
  <si>
    <t xml:space="preserve">Inputted data should reflect on the field </t>
  </si>
  <si>
    <t xml:space="preserve">Click language field </t>
  </si>
  <si>
    <t xml:space="preserve">Select language option </t>
  </si>
  <si>
    <t xml:space="preserve">Input address</t>
  </si>
  <si>
    <t xml:space="preserve">Select address </t>
  </si>
  <si>
    <t xml:space="preserve">Input notes</t>
  </si>
  <si>
    <t xml:space="preserve">Inputted notes should display on th editor</t>
  </si>
  <si>
    <t xml:space="preserve">1. modal should close 
2. Record should display on the grid </t>
  </si>
  <si>
    <t xml:space="preserve">Verify if coverage types tgrid displayed</t>
  </si>
  <si>
    <t xml:space="preserve">Coverage Types grid should display </t>
  </si>
  <si>
    <t xml:space="preserve">Click filter coverage types</t>
  </si>
  <si>
    <t xml:space="preserve">Delete confirmation modal should display having a message "Are you sure you want to delete "Coverage Type" </t>
  </si>
  <si>
    <t xml:space="preserve">New Coverage Type</t>
  </si>
  <si>
    <t xml:space="preserve">New coverage type modal should display </t>
  </si>
  <si>
    <t xml:space="preserve">Input coverage type name</t>
  </si>
  <si>
    <t xml:space="preserve">1. Inputted anme should reflect on the modal 
2. Save and close button should enable </t>
  </si>
  <si>
    <t xml:space="preserve">Verify if coverage cost types tgrid displayed</t>
  </si>
  <si>
    <t xml:space="preserve">Coverage Cost Types grid should display </t>
  </si>
  <si>
    <t xml:space="preserve">Click filter coverage cost types</t>
  </si>
  <si>
    <t xml:space="preserve">Edit coverage cost type</t>
  </si>
  <si>
    <t xml:space="preserve">Delete confirmation modal should display having a message "Are you sure you want to delete "Coverage Cost Type" </t>
  </si>
  <si>
    <t xml:space="preserve">New Coverage Cost Type</t>
  </si>
  <si>
    <t xml:space="preserve">New coverage cost type modal should display </t>
  </si>
  <si>
    <t xml:space="preserve">Input coverage cost type name</t>
  </si>
  <si>
    <t xml:space="preserve">Verify if shares grid displayed</t>
  </si>
  <si>
    <t xml:space="preserve">Sahres grid should display </t>
  </si>
  <si>
    <t xml:space="preserve">Click filter shares</t>
  </si>
  <si>
    <t xml:space="preserve">Edit any field</t>
  </si>
  <si>
    <t xml:space="preserve">Change/s shoudl reflect on the field </t>
  </si>
  <si>
    <t xml:space="preserve">Delete confirmation modal should display having a message "Are you sure you want to delete "Store Name" </t>
  </si>
  <si>
    <t xml:space="preserve">New Share</t>
  </si>
  <si>
    <t xml:space="preserve">New share modal should display </t>
  </si>
  <si>
    <t xml:space="preserve">Click uplaod icon section </t>
  </si>
  <si>
    <t xml:space="preserve">Select image and clcik open button </t>
  </si>
  <si>
    <t xml:space="preserve">Selected image should reflect in icon section </t>
  </si>
  <si>
    <t xml:space="preserve">Clcik upload logo section </t>
  </si>
  <si>
    <t xml:space="preserve">Selected image should reflect in logosection </t>
  </si>
  <si>
    <t xml:space="preserve">Input store name </t>
  </si>
  <si>
    <t xml:space="preserve">Input mobile script </t>
  </si>
  <si>
    <t xml:space="preserve">Inputted script should reflect on the grid </t>
  </si>
  <si>
    <t xml:space="preserve">Check bypass product review</t>
  </si>
  <si>
    <t xml:space="preserve">Byoass product review should be checked </t>
  </si>
  <si>
    <t xml:space="preserve">Check is show done button </t>
  </si>
  <si>
    <t xml:space="preserve">Is show done button should be checked </t>
  </si>
  <si>
    <t xml:space="preserve">Input done button title </t>
  </si>
  <si>
    <t xml:space="preserve">Inputted title should reflect on the field </t>
  </si>
  <si>
    <t xml:space="preserve">Input review done url </t>
  </si>
  <si>
    <t xml:space="preserve">Verify if review questions grid displayed</t>
  </si>
  <si>
    <t xml:space="preserve">Review questions grid should display </t>
  </si>
  <si>
    <t xml:space="preserve">Click filter review questions </t>
  </si>
  <si>
    <t xml:space="preserve">New Review Question </t>
  </si>
  <si>
    <t xml:space="preserve">Should open a new review question modal </t>
  </si>
  <si>
    <t xml:space="preserve">Input title</t>
  </si>
  <si>
    <t xml:space="preserve">Inputted question should reflect on the field </t>
  </si>
  <si>
    <t xml:space="preserve">Input option </t>
  </si>
  <si>
    <t xml:space="preserve">Inputted option should reflect on the field </t>
  </si>
  <si>
    <t xml:space="preserve">Linked (module / scenario)</t>
  </si>
  <si>
    <t xml:space="preserve">Summary</t>
  </si>
  <si>
    <t xml:space="preserve">Severity</t>
  </si>
  <si>
    <t xml:space="preserve">Priority</t>
  </si>
  <si>
    <t xml:space="preserve">Status</t>
  </si>
  <si>
    <t xml:space="preserve">Steps to reproduce</t>
  </si>
  <si>
    <t xml:space="preserve">Environment</t>
  </si>
  <si>
    <t xml:space="preserve">Reported by</t>
  </si>
  <si>
    <t xml:space="preserve">Date reported</t>
  </si>
  <si>
    <t xml:space="preserve">Assigned to</t>
  </si>
  <si>
    <t xml:space="preserve">Resolution / notes</t>
  </si>
  <si>
    <t xml:space="preserve">Date resolved</t>
  </si>
  <si>
    <t xml:space="preserve">DEF-001</t>
  </si>
  <si>
    <t xml:space="preserve">PORTAL - REGISTRATION / 12</t>
  </si>
  <si>
    <t xml:space="preserve">Product Barcode not shown on registration grid</t>
  </si>
  <si>
    <t xml:space="preserve">High</t>
  </si>
  <si>
    <t xml:space="preserve">P2</t>
  </si>
  <si>
    <t xml:space="preserve">Open</t>
  </si>
  <si>
    <t xml:space="preserve">1. Open Registration grid 2. Check Product Barcode column</t>
  </si>
  <si>
    <t xml:space="preserve">QA</t>
  </si>
  <si>
    <t xml:space="preserve">Sarah</t>
  </si>
  <si>
    <t xml:space="preserve">2026-07-15</t>
  </si>
  <si>
    <t xml:space="preserve">Under investigation</t>
  </si>
</sst>
</file>

<file path=xl/styles.xml><?xml version="1.0" encoding="utf-8"?>
<styleSheet xmlns="http://schemas.openxmlformats.org/spreadsheetml/2006/main">
  <numFmts count="2">
    <numFmt numFmtId="164" formatCode="General"/>
    <numFmt numFmtId="165" formatCode="0.0%"/>
  </numFmts>
  <fonts count="16">
    <font>
      <sz val="11"/>
      <color theme="1"/>
      <name val="Aptos Narrow"/>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i val="true"/>
      <sz val="10"/>
      <color rgb="FF9C0006"/>
      <name val="Arial"/>
      <family val="0"/>
      <charset val="1"/>
    </font>
    <font>
      <b val="true"/>
      <sz val="10"/>
      <name val="Arial"/>
      <family val="0"/>
      <charset val="1"/>
    </font>
    <font>
      <b val="true"/>
      <sz val="10"/>
      <color rgb="FFFFFFFF"/>
      <name val="Arial"/>
      <family val="0"/>
      <charset val="1"/>
    </font>
    <font>
      <b val="true"/>
      <sz val="11"/>
      <color rgb="FF000000"/>
      <name val="Aptos Narrow"/>
      <family val="0"/>
      <charset val="1"/>
    </font>
    <font>
      <b val="true"/>
      <sz val="11"/>
      <color theme="1"/>
      <name val="Aptos Narrow"/>
      <family val="2"/>
      <charset val="1"/>
    </font>
    <font>
      <b val="true"/>
      <sz val="9"/>
      <color rgb="FF9C5700"/>
      <name val="Arial"/>
      <family val="0"/>
      <charset val="1"/>
    </font>
    <font>
      <sz val="12"/>
      <color theme="1"/>
      <name val="Aptos Narrow"/>
      <family val="2"/>
      <charset val="1"/>
    </font>
    <font>
      <b val="true"/>
      <sz val="9"/>
      <color rgb="FF9C0006"/>
      <name val="Arial"/>
      <family val="0"/>
      <charset val="1"/>
    </font>
    <font>
      <sz val="11"/>
      <color rgb="FF000000"/>
      <name val="Aptos Narrow"/>
      <family val="0"/>
      <charset val="1"/>
    </font>
  </fonts>
  <fills count="9">
    <fill>
      <patternFill patternType="none"/>
    </fill>
    <fill>
      <patternFill patternType="gray125"/>
    </fill>
    <fill>
      <patternFill patternType="solid">
        <fgColor rgb="FFD9E1F2"/>
        <bgColor rgb="FFD9D9D9"/>
      </patternFill>
    </fill>
    <fill>
      <patternFill patternType="solid">
        <fgColor rgb="FF2F5496"/>
        <bgColor rgb="FF1F3864"/>
      </patternFill>
    </fill>
    <fill>
      <patternFill patternType="solid">
        <fgColor theme="9"/>
        <bgColor rgb="FF808000"/>
      </patternFill>
    </fill>
    <fill>
      <patternFill patternType="solid">
        <fgColor theme="2" tint="-0.1"/>
        <bgColor rgb="FFD9D9D9"/>
      </patternFill>
    </fill>
    <fill>
      <patternFill patternType="solid">
        <fgColor rgb="FFFFF2CC"/>
        <bgColor rgb="FFFCFCC5"/>
      </patternFill>
    </fill>
    <fill>
      <patternFill patternType="solid">
        <fgColor theme="2"/>
        <bgColor rgb="FFD9E1F2"/>
      </patternFill>
    </fill>
    <fill>
      <patternFill patternType="solid">
        <fgColor rgb="FFFFC7CE"/>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11" fillId="4" borderId="0" xfId="0" applyFont="true" applyBorder="false" applyAlignment="true" applyProtection="false">
      <alignment horizontal="center" vertical="bottom" textRotation="0" wrapText="false" indent="0" shrinkToFit="false"/>
      <protection locked="true" hidden="false"/>
    </xf>
    <xf numFmtId="164" fontId="9" fillId="3"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4" fontId="12" fillId="6" borderId="0" xfId="0" applyFont="true" applyBorder="false" applyAlignment="true" applyProtection="false">
      <alignment horizontal="general" vertical="center" textRotation="0" wrapText="true" indent="0" shrinkToFit="false"/>
      <protection locked="true" hidden="false"/>
    </xf>
    <xf numFmtId="164" fontId="13" fillId="7"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14" fillId="8"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4EA72E"/>
          <bgColor rgb="FF000000"/>
        </patternFill>
      </fill>
    </dxf>
    <dxf>
      <fill>
        <patternFill patternType="solid">
          <bgColor rgb="FF000000"/>
        </patternFill>
      </fill>
    </dxf>
    <dxf>
      <fill>
        <patternFill patternType="solid">
          <fgColor rgb="FF000000"/>
          <bgColor rgb="FF000000"/>
        </patternFill>
      </fill>
    </dxf>
    <dxf>
      <fill>
        <patternFill patternType="solid">
          <fgColor rgb="FFD1D1D1"/>
          <bgColor rgb="FF000000"/>
        </patternFill>
      </fill>
    </dxf>
    <dxf>
      <fill>
        <patternFill patternType="solid">
          <fgColor rgb="FFFCFCC5"/>
          <bgColor rgb="FF000000"/>
        </patternFill>
      </fill>
    </dxf>
    <dxf>
      <fill>
        <patternFill patternType="solid">
          <fgColor rgb="FFCC9A02"/>
          <bgColor rgb="FF000000"/>
        </patternFill>
      </fill>
    </dxf>
    <dxf>
      <fill>
        <patternFill patternType="solid">
          <fgColor rgb="FF2F5496"/>
          <bgColor rgb="FF000000"/>
        </patternFill>
      </fill>
    </dxf>
    <dxf>
      <fill>
        <patternFill patternType="solid">
          <fgColor rgb="FFFFFFFF"/>
          <bgColor rgb="FF000000"/>
        </patternFill>
      </fill>
    </dxf>
    <dxf>
      <font>
        <color rgb="FF0E2841"/>
      </font>
      <fill>
        <patternFill>
          <bgColor theme="0" tint="-0.15"/>
        </patternFill>
      </fill>
    </dxf>
    <dxf>
      <font>
        <color rgb="FFE87331"/>
      </font>
      <fill>
        <patternFill>
          <bgColor theme="2" tint="-0.1"/>
        </patternFill>
      </fill>
    </dxf>
    <dxf>
      <font>
        <color rgb="FFCC9A02"/>
      </font>
      <fill>
        <patternFill>
          <bgColor rgb="FFFCFCC5"/>
        </patternFill>
      </fill>
    </dxf>
    <dxf>
      <font>
        <color rgb="FF186C24"/>
      </font>
      <fill>
        <patternFill>
          <bgColor theme="6" tint="0.7999"/>
        </patternFill>
      </fill>
    </dxf>
    <dxf>
      <font>
        <color rgb="FF9C0006"/>
      </font>
      <fill>
        <patternFill>
          <bgColor rgb="FFFFC7CE"/>
        </patternFill>
      </fill>
    </dxf>
    <dxf>
      <fill>
        <patternFill patternType="solid">
          <fgColor rgb="FFE8E8E8"/>
          <bgColor rgb="FF000000"/>
        </patternFill>
      </fill>
    </dxf>
    <dxf>
      <fill>
        <patternFill patternType="solid">
          <fgColor rgb="FFD9D9D9"/>
          <bgColor rgb="FF000000"/>
        </patternFill>
      </fill>
    </dxf>
    <dxf>
      <fill>
        <patternFill patternType="solid">
          <fgColor rgb="FF0E2841"/>
          <bgColor rgb="FF000000"/>
        </patternFill>
      </fill>
    </dxf>
  </dxfs>
  <colors>
    <indexedColors>
      <rgbColor rgb="FF000000"/>
      <rgbColor rgb="FFFFFFFF"/>
      <rgbColor rgb="FFFF0000"/>
      <rgbColor rgb="FF00FF00"/>
      <rgbColor rgb="FF0000FF"/>
      <rgbColor rgb="FFFFFF00"/>
      <rgbColor rgb="FFFF00FF"/>
      <rgbColor rgb="FF00FFFF"/>
      <rgbColor rgb="FF9C0006"/>
      <rgbColor rgb="FF186C24"/>
      <rgbColor rgb="FF000080"/>
      <rgbColor rgb="FF808000"/>
      <rgbColor rgb="FF800080"/>
      <rgbColor rgb="FF008080"/>
      <rgbColor rgb="FFBFBFBF"/>
      <rgbColor rgb="FF808080"/>
      <rgbColor rgb="FF9999FF"/>
      <rgbColor rgb="FF993366"/>
      <rgbColor rgb="FFFCFCC5"/>
      <rgbColor rgb="FFD9E1F2"/>
      <rgbColor rgb="FF660066"/>
      <rgbColor rgb="FFFF8080"/>
      <rgbColor rgb="FF0066CC"/>
      <rgbColor rgb="FFD1D1D1"/>
      <rgbColor rgb="FF000080"/>
      <rgbColor rgb="FFFF00FF"/>
      <rgbColor rgb="FFFFFF00"/>
      <rgbColor rgb="FF00FFFF"/>
      <rgbColor rgb="FF800080"/>
      <rgbColor rgb="FF800000"/>
      <rgbColor rgb="FF008080"/>
      <rgbColor rgb="FF0000FF"/>
      <rgbColor rgb="FF00CCFF"/>
      <rgbColor rgb="FFE8E8E8"/>
      <rgbColor rgb="FFC1F1C8"/>
      <rgbColor rgb="FFFFF2CC"/>
      <rgbColor rgb="FFD9D9D9"/>
      <rgbColor rgb="FFFF99CC"/>
      <rgbColor rgb="FFCC99FF"/>
      <rgbColor rgb="FFFFC7CE"/>
      <rgbColor rgb="FF3366FF"/>
      <rgbColor rgb="FF33CCCC"/>
      <rgbColor rgb="FF99CC00"/>
      <rgbColor rgb="FFFFCC00"/>
      <rgbColor rgb="FFCC9A02"/>
      <rgbColor rgb="FFE87331"/>
      <rgbColor rgb="FF666699"/>
      <rgbColor rgb="FF969696"/>
      <rgbColor rgb="FF0E2841"/>
      <rgbColor rgb="FF4EA72E"/>
      <rgbColor rgb="FF003300"/>
      <rgbColor rgb="FF333300"/>
      <rgbColor rgb="FF9C5700"/>
      <rgbColor rgb="FF993366"/>
      <rgbColor rgb="FF2F5496"/>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drawing" Target="../drawings/drawing11.xml"/>
</Relationships>
</file>

<file path=xl/worksheets/_rels/sheet14.xml.rels><?xml version="1.0" encoding="UTF-8"?>
<Relationships xmlns="http://schemas.openxmlformats.org/package/2006/relationships"><Relationship Id="rId1" Type="http://schemas.openxmlformats.org/officeDocument/2006/relationships/drawing" Target="../drawings/drawing12.xml"/>
</Relationships>
</file>

<file path=xl/worksheets/_rels/sheet15.xml.rels><?xml version="1.0" encoding="UTF-8"?>
<Relationships xmlns="http://schemas.openxmlformats.org/package/2006/relationships"><Relationship Id="rId1" Type="http://schemas.openxmlformats.org/officeDocument/2006/relationships/drawing" Target="../drawings/drawing13.xml"/>
</Relationships>
</file>

<file path=xl/worksheets/_rels/sheet16.xml.rels><?xml version="1.0" encoding="UTF-8"?>
<Relationships xmlns="http://schemas.openxmlformats.org/package/2006/relationships"><Relationship Id="rId1" Type="http://schemas.openxmlformats.org/officeDocument/2006/relationships/drawing" Target="../drawings/drawing14.xml"/>
</Relationships>
</file>

<file path=xl/worksheets/_rels/sheet17.xml.rels><?xml version="1.0" encoding="UTF-8"?>
<Relationships xmlns="http://schemas.openxmlformats.org/package/2006/relationships"><Relationship Id="rId1" Type="http://schemas.openxmlformats.org/officeDocument/2006/relationships/drawing" Target="../drawings/drawing15.xml"/>
</Relationships>
</file>

<file path=xl/worksheets/_rels/sheet18.xml.rels><?xml version="1.0" encoding="UTF-8"?>
<Relationships xmlns="http://schemas.openxmlformats.org/package/2006/relationships"><Relationship Id="rId1"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drawing" Target="../drawings/drawing17.xml"/>
</Relationships>
</file>

<file path=xl/worksheets/_rels/sheet20.xml.rels><?xml version="1.0" encoding="UTF-8"?>
<Relationships xmlns="http://schemas.openxmlformats.org/package/2006/relationships"><Relationship Id="rId1" Type="http://schemas.openxmlformats.org/officeDocument/2006/relationships/drawing" Target="../drawings/drawing18.xml"/>
</Relationships>
</file>

<file path=xl/worksheets/_rels/sheet21.xml.rels><?xml version="1.0" encoding="UTF-8"?>
<Relationships xmlns="http://schemas.openxmlformats.org/package/2006/relationships"><Relationship Id="rId1" Type="http://schemas.openxmlformats.org/officeDocument/2006/relationships/drawing" Target="../drawings/drawing19.xml"/>
</Relationships>
</file>

<file path=xl/worksheets/_rels/sheet22.xml.rels><?xml version="1.0" encoding="UTF-8"?>
<Relationships xmlns="http://schemas.openxmlformats.org/package/2006/relationships"><Relationship Id="rId1" Type="http://schemas.openxmlformats.org/officeDocument/2006/relationships/drawing" Target="../drawings/drawing20.xml"/>
</Relationships>
</file>

<file path=xl/worksheets/_rels/sheet23.xml.rels><?xml version="1.0" encoding="UTF-8"?>
<Relationships xmlns="http://schemas.openxmlformats.org/package/2006/relationships"><Relationship Id="rId1" Type="http://schemas.openxmlformats.org/officeDocument/2006/relationships/drawing" Target="../drawings/drawing21.xml"/>
</Relationships>
</file>

<file path=xl/worksheets/_rels/sheet24.xml.rels><?xml version="1.0" encoding="UTF-8"?>
<Relationships xmlns="http://schemas.openxmlformats.org/package/2006/relationships"><Relationship Id="rId1" Type="http://schemas.openxmlformats.org/officeDocument/2006/relationships/drawing" Target="../drawings/drawing22.xml"/>
</Relationships>
</file>

<file path=xl/worksheets/_rels/sheet25.xml.rels><?xml version="1.0" encoding="UTF-8"?>
<Relationships xmlns="http://schemas.openxmlformats.org/package/2006/relationships"><Relationship Id="rId1" Type="http://schemas.openxmlformats.org/officeDocument/2006/relationships/drawing" Target="../drawings/drawing23.xml"/>
</Relationships>
</file>

<file path=xl/worksheets/_rels/sheet26.xml.rels><?xml version="1.0" encoding="UTF-8"?>
<Relationships xmlns="http://schemas.openxmlformats.org/package/2006/relationships"><Relationship Id="rId1" Type="http://schemas.openxmlformats.org/officeDocument/2006/relationships/drawing" Target="../drawings/drawing24.xml"/>
</Relationships>
</file>

<file path=xl/worksheets/_rels/sheet27.xml.rels><?xml version="1.0" encoding="UTF-8"?>
<Relationships xmlns="http://schemas.openxmlformats.org/package/2006/relationships"><Relationship Id="rId1" Type="http://schemas.openxmlformats.org/officeDocument/2006/relationships/drawing" Target="../drawings/drawing2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false" zeroHeight="false" outlineLevelRow="0" outlineLevelCol="0"/>
  <cols>
    <col collapsed="false" customWidth="true" hidden="false" outlineLevel="0" max="1" min="1" style="1" width="105"/>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3"/>
    </row>
    <row r="4" customFormat="false" ht="15" hidden="false" customHeight="true" outlineLevel="0" collapsed="false">
      <c r="A4" s="4" t="s">
        <v>2</v>
      </c>
    </row>
    <row r="5" customFormat="false" ht="15" hidden="false" customHeight="true" outlineLevel="0" collapsed="false">
      <c r="A5" s="3" t="s">
        <v>3</v>
      </c>
    </row>
    <row r="6" customFormat="false" ht="15" hidden="false" customHeight="true" outlineLevel="0" collapsed="false">
      <c r="A6" s="3" t="s">
        <v>4</v>
      </c>
    </row>
    <row r="7" customFormat="false" ht="15" hidden="false" customHeight="true" outlineLevel="0" collapsed="false">
      <c r="A7" s="3" t="s">
        <v>5</v>
      </c>
    </row>
    <row r="8" customFormat="false" ht="15" hidden="false" customHeight="true" outlineLevel="0" collapsed="false">
      <c r="A8" s="3" t="s">
        <v>6</v>
      </c>
    </row>
    <row r="9" customFormat="false" ht="15" hidden="false" customHeight="true" outlineLevel="0" collapsed="false">
      <c r="A9" s="3"/>
    </row>
    <row r="10" customFormat="false" ht="15" hidden="false" customHeight="true" outlineLevel="0" collapsed="false">
      <c r="A10" s="4" t="s">
        <v>7</v>
      </c>
    </row>
    <row r="11" customFormat="false" ht="15" hidden="false" customHeight="true" outlineLevel="0" collapsed="false">
      <c r="A11" s="3" t="s">
        <v>8</v>
      </c>
    </row>
    <row r="13" customFormat="false" ht="15" hidden="false" customHeight="true" outlineLevel="0" collapsed="false">
      <c r="A13" s="4" t="s">
        <v>9</v>
      </c>
    </row>
    <row r="14" customFormat="false" ht="15" hidden="false" customHeight="true" outlineLevel="0" collapsed="false">
      <c r="A14" s="3" t="s">
        <v>10</v>
      </c>
    </row>
    <row r="15" customFormat="false" ht="15" hidden="false" customHeight="true" outlineLevel="0" collapsed="false">
      <c r="A15" s="3" t="s">
        <v>11</v>
      </c>
    </row>
    <row r="17" customFormat="false" ht="15" hidden="false" customHeight="true" outlineLevel="0" collapsed="false">
      <c r="A17" s="4" t="s">
        <v>12</v>
      </c>
    </row>
    <row r="18" customFormat="false" ht="23.25" hidden="false" customHeight="true" outlineLevel="0" collapsed="false">
      <c r="A18" s="3" t="s">
        <v>13</v>
      </c>
    </row>
    <row r="19" customFormat="false" ht="15" hidden="false" customHeight="true" outlineLevel="0" collapsed="false">
      <c r="A19" s="3" t="s">
        <v>14</v>
      </c>
    </row>
    <row r="20" customFormat="false" ht="15" hidden="false" customHeight="true" outlineLevel="0" collapsed="false">
      <c r="A20" s="3" t="s">
        <v>15</v>
      </c>
    </row>
    <row r="21" customFormat="false" ht="15" hidden="false" customHeight="true" outlineLevel="0" collapsed="false">
      <c r="A21" s="3" t="s">
        <v>16</v>
      </c>
    </row>
    <row r="22" customFormat="false" ht="15" hidden="false" customHeight="true" outlineLevel="0" collapsed="false">
      <c r="A22" s="3" t="s">
        <v>17</v>
      </c>
    </row>
    <row r="23" customFormat="false" ht="15" hidden="false" customHeight="true" outlineLevel="0" collapsed="false">
      <c r="A23" s="3" t="s">
        <v>18</v>
      </c>
    </row>
    <row r="24" customFormat="false" ht="15" hidden="false" customHeight="true" outlineLevel="0" collapsed="false">
      <c r="A24" s="3" t="s">
        <v>19</v>
      </c>
    </row>
    <row r="25" customFormat="false" ht="15" hidden="false" customHeight="true" outlineLevel="0" collapsed="false">
      <c r="A25" s="3" t="s">
        <v>20</v>
      </c>
    </row>
    <row r="27" customFormat="false" ht="15" hidden="false" customHeight="true" outlineLevel="0" collapsed="false">
      <c r="A27" s="4" t="s">
        <v>21</v>
      </c>
    </row>
    <row r="28" customFormat="false" ht="15" hidden="false" customHeight="true" outlineLevel="0" collapsed="false">
      <c r="A28" s="3" t="s">
        <v>22</v>
      </c>
    </row>
    <row r="29" customFormat="false" ht="15" hidden="false" customHeight="true" outlineLevel="0" collapsed="false">
      <c r="A29" s="3" t="s">
        <v>23</v>
      </c>
    </row>
    <row r="30" customFormat="false" ht="23.25" hidden="false" customHeight="true" outlineLevel="0" collapsed="false">
      <c r="A30" s="3" t="s">
        <v>24</v>
      </c>
    </row>
    <row r="31" customFormat="false" ht="23.25" hidden="false" customHeight="true" outlineLevel="0" collapsed="false">
      <c r="A31" s="3" t="s">
        <v>25</v>
      </c>
    </row>
    <row r="32" customFormat="false" ht="15" hidden="false" customHeight="true" outlineLevel="0" collapsed="false">
      <c r="A32" s="3" t="s">
        <v>26</v>
      </c>
    </row>
    <row r="33" customFormat="false" ht="15" hidden="false" customHeight="true" outlineLevel="0" collapsed="false">
      <c r="A33" s="3" t="s">
        <v>27</v>
      </c>
    </row>
    <row r="34" customFormat="false" ht="15" hidden="false" customHeight="true" outlineLevel="0" collapsed="false">
      <c r="A34" s="5"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false" zeroHeight="false" outlineLevelRow="0" outlineLevelCol="0"/>
  <cols>
    <col collapsed="false" customWidth="true" hidden="false" outlineLevel="0" max="1" min="1" style="1" width="34"/>
    <col collapsed="false" customWidth="true" hidden="false" outlineLevel="0" max="2" min="2" style="1" width="10"/>
    <col collapsed="false" customWidth="true" hidden="false" outlineLevel="0" max="4" min="3" style="1" width="9"/>
    <col collapsed="false" customWidth="true" hidden="false" outlineLevel="0" max="5" min="5" style="1" width="10"/>
    <col collapsed="false" customWidth="true" hidden="false" outlineLevel="0" max="6" min="6" style="1" width="12"/>
    <col collapsed="false" customWidth="true" hidden="false" outlineLevel="0" max="7" min="7" style="1" width="8"/>
  </cols>
  <sheetData>
    <row r="1" customFormat="false" ht="17.25" hidden="false" customHeight="true" outlineLevel="0" collapsed="false">
      <c r="A1" s="6" t="s">
        <v>29</v>
      </c>
    </row>
    <row r="3" customFormat="false" ht="15" hidden="false" customHeight="true" outlineLevel="0" collapsed="false">
      <c r="A3" s="7" t="s">
        <v>30</v>
      </c>
      <c r="B3" s="8" t="n">
        <f aca="false">B31</f>
        <v>979</v>
      </c>
      <c r="D3" s="7" t="s">
        <v>31</v>
      </c>
      <c r="E3" s="9" t="n">
        <f aca="false">IFERROR(C31/(C31+D31+E31),0)</f>
        <v>0</v>
      </c>
    </row>
    <row r="4" customFormat="false" ht="15" hidden="false" customHeight="true" outlineLevel="0" collapsed="false">
      <c r="A4" s="7" t="s">
        <v>32</v>
      </c>
      <c r="B4" s="8" t="n">
        <f aca="false">C31+D31+E31</f>
        <v>12</v>
      </c>
    </row>
    <row r="6" customFormat="false" ht="15" hidden="false" customHeight="true" outlineLevel="0" collapsed="false">
      <c r="A6" s="10" t="s">
        <v>33</v>
      </c>
      <c r="B6" s="10" t="s">
        <v>34</v>
      </c>
      <c r="C6" s="10" t="s">
        <v>35</v>
      </c>
      <c r="D6" s="10" t="s">
        <v>36</v>
      </c>
      <c r="E6" s="10" t="s">
        <v>37</v>
      </c>
      <c r="F6" s="10" t="s">
        <v>38</v>
      </c>
      <c r="G6" s="10" t="s">
        <v>39</v>
      </c>
    </row>
    <row r="7" customFormat="false" ht="15" hidden="false" customHeight="true" outlineLevel="0" collapsed="false">
      <c r="A7" s="11" t="s">
        <v>40</v>
      </c>
      <c r="B7" s="12" t="n">
        <f aca="false">COUNTA(USERS!$B$2:$B$2000)</f>
        <v>35</v>
      </c>
      <c r="C7" s="12" t="n">
        <f aca="false">COUNTIF(USERS!$E$2:$E$2000,"Pass")</f>
        <v>0</v>
      </c>
      <c r="D7" s="12" t="n">
        <f aca="false">COUNTIF(USERS!$E$2:$E$2000,"Fail")</f>
        <v>0</v>
      </c>
      <c r="E7" s="12" t="n">
        <f aca="false">COUNTIF(USERS!$E$2:$E$2000,"Blocked")</f>
        <v>0</v>
      </c>
      <c r="F7" s="12" t="n">
        <f aca="false">COUNTIF(USERS!$E$2:$E$2000,"Not Tested")</f>
        <v>35</v>
      </c>
      <c r="G7" s="12" t="n">
        <f aca="false">COUNTIF(USERS!$E$2:$E$2000,"N/A")</f>
        <v>0</v>
      </c>
    </row>
    <row r="8" customFormat="false" ht="15" hidden="false" customHeight="true" outlineLevel="0" collapsed="false">
      <c r="A8" s="11" t="s">
        <v>41</v>
      </c>
      <c r="B8" s="12" t="n">
        <f aca="false">COUNTA('PORTAL - REGISTRATION'!$B$2:$B$2000)</f>
        <v>41</v>
      </c>
      <c r="C8" s="12" t="n">
        <f aca="false">COUNTIF('PORTAL - REGISTRATION'!$E$2:$E$2000,"Pass")</f>
        <v>0</v>
      </c>
      <c r="D8" s="12" t="n">
        <f aca="false">COUNTIF('PORTAL - REGISTRATION'!$E$2:$E$2000,"Fail")</f>
        <v>0</v>
      </c>
      <c r="E8" s="12" t="n">
        <f aca="false">COUNTIF('PORTAL - REGISTRATION'!$E$2:$E$2000,"Blocked")</f>
        <v>0</v>
      </c>
      <c r="F8" s="12" t="n">
        <f aca="false">COUNTIF('PORTAL - REGISTRATION'!$E$2:$E$2000,"Not Tested")</f>
        <v>41</v>
      </c>
      <c r="G8" s="12" t="n">
        <f aca="false">COUNTIF('PORTAL - REGISTRATION'!$E$2:$E$2000,"N/A")</f>
        <v>0</v>
      </c>
    </row>
    <row r="9" customFormat="false" ht="15" hidden="false" customHeight="true" outlineLevel="0" collapsed="false">
      <c r="A9" s="11" t="s">
        <v>42</v>
      </c>
      <c r="B9" s="12" t="n">
        <f aca="false">COUNTA(ORDERS!$B$2:$B$2000)</f>
        <v>71</v>
      </c>
      <c r="C9" s="12" t="n">
        <f aca="false">COUNTIF(ORDERS!$E$2:$E$2000,"Pass")</f>
        <v>0</v>
      </c>
      <c r="D9" s="12" t="n">
        <f aca="false">COUNTIF(ORDERS!$E$2:$E$2000,"Fail")</f>
        <v>0</v>
      </c>
      <c r="E9" s="12" t="n">
        <f aca="false">COUNTIF(ORDERS!$E$2:$E$2000,"Blocked")</f>
        <v>0</v>
      </c>
      <c r="F9" s="12" t="n">
        <f aca="false">COUNTIF(ORDERS!$E$2:$E$2000,"Not Tested")</f>
        <v>0</v>
      </c>
      <c r="G9" s="12" t="n">
        <f aca="false">COUNTIF(ORDERS!$E$2:$E$2000,"N/A")</f>
        <v>71</v>
      </c>
    </row>
    <row r="10" customFormat="false" ht="15" hidden="false" customHeight="true" outlineLevel="0" collapsed="false">
      <c r="A10" s="11" t="s">
        <v>43</v>
      </c>
      <c r="B10" s="12" t="n">
        <f aca="false">COUNTA('REPAIR SHOPS'!$B$2:$B$2000)</f>
        <v>57</v>
      </c>
      <c r="C10" s="12" t="n">
        <f aca="false">COUNTIF('REPAIR SHOPS'!$E$2:$E$2000,"Pass")</f>
        <v>0</v>
      </c>
      <c r="D10" s="12" t="n">
        <f aca="false">COUNTIF('REPAIR SHOPS'!$E$2:$E$2000,"Fail")</f>
        <v>0</v>
      </c>
      <c r="E10" s="12" t="n">
        <f aca="false">COUNTIF('REPAIR SHOPS'!$E$2:$E$2000,"Blocked")</f>
        <v>0</v>
      </c>
      <c r="F10" s="12" t="n">
        <f aca="false">COUNTIF('REPAIR SHOPS'!$E$2:$E$2000,"Not Tested")</f>
        <v>57</v>
      </c>
      <c r="G10" s="12" t="n">
        <f aca="false">COUNTIF('REPAIR SHOPS'!$E$2:$E$2000,"N/A")</f>
        <v>0</v>
      </c>
    </row>
    <row r="11" customFormat="false" ht="15" hidden="false" customHeight="true" outlineLevel="0" collapsed="false">
      <c r="A11" s="11" t="s">
        <v>44</v>
      </c>
      <c r="B11" s="12" t="n">
        <f aca="false">COUNTA(AFFILIATES!$B$2:$B$2000)</f>
        <v>46</v>
      </c>
      <c r="C11" s="12" t="n">
        <f aca="false">COUNTIF(AFFILIATES!$E$2:$E$2000,"Pass")</f>
        <v>0</v>
      </c>
      <c r="D11" s="12" t="n">
        <f aca="false">COUNTIF(AFFILIATES!$E$2:$E$2000,"Fail")</f>
        <v>0</v>
      </c>
      <c r="E11" s="12" t="n">
        <f aca="false">COUNTIF(AFFILIATES!$E$2:$E$2000,"Blocked")</f>
        <v>0</v>
      </c>
      <c r="F11" s="12" t="n">
        <f aca="false">COUNTIF(AFFILIATES!$E$2:$E$2000,"Not Tested")</f>
        <v>46</v>
      </c>
      <c r="G11" s="12" t="n">
        <f aca="false">COUNTIF(AFFILIATES!$E$2:$E$2000,"N/A")</f>
        <v>0</v>
      </c>
    </row>
    <row r="12" customFormat="false" ht="15" hidden="false" customHeight="true" outlineLevel="0" collapsed="false">
      <c r="A12" s="11" t="s">
        <v>45</v>
      </c>
      <c r="B12" s="12" t="n">
        <f aca="false">COUNTA('CLAIM REPORTS'!$B$2:$B$2000)</f>
        <v>62</v>
      </c>
      <c r="C12" s="12" t="n">
        <f aca="false">COUNTIF('CLAIM REPORTS'!$E$2:$E$2000,"Pass")</f>
        <v>0</v>
      </c>
      <c r="D12" s="12" t="n">
        <f aca="false">COUNTIF('CLAIM REPORTS'!$E$2:$E$2000,"Fail")</f>
        <v>0</v>
      </c>
      <c r="E12" s="12" t="n">
        <f aca="false">COUNTIF('CLAIM REPORTS'!$E$2:$E$2000,"Blocked")</f>
        <v>12</v>
      </c>
      <c r="F12" s="12" t="n">
        <f aca="false">COUNTIF('CLAIM REPORTS'!$E$2:$E$2000,"Not Tested")</f>
        <v>50</v>
      </c>
      <c r="G12" s="12" t="n">
        <f aca="false">COUNTIF('CLAIM REPORTS'!$E$2:$E$2000,"N/A")</f>
        <v>0</v>
      </c>
    </row>
    <row r="13" customFormat="false" ht="15" hidden="false" customHeight="true" outlineLevel="0" collapsed="false">
      <c r="A13" s="11" t="s">
        <v>46</v>
      </c>
      <c r="B13" s="12" t="n">
        <f aca="false">COUNTA('PRODUCT REVIEWS'!$B$2:$B$2000)</f>
        <v>46</v>
      </c>
      <c r="C13" s="12" t="n">
        <f aca="false">COUNTIF('PRODUCT REVIEWS'!$E$2:$E$2000,"Pass")</f>
        <v>0</v>
      </c>
      <c r="D13" s="12" t="n">
        <f aca="false">COUNTIF('PRODUCT REVIEWS'!$E$2:$E$2000,"Fail")</f>
        <v>0</v>
      </c>
      <c r="E13" s="12" t="n">
        <f aca="false">COUNTIF('PRODUCT REVIEWS'!$E$2:$E$2000,"Blocked")</f>
        <v>0</v>
      </c>
      <c r="F13" s="12" t="n">
        <f aca="false">COUNTIF('PRODUCT REVIEWS'!$E$2:$E$2000,"Not Tested")</f>
        <v>0</v>
      </c>
      <c r="G13" s="12" t="n">
        <f aca="false">COUNTIF('PRODUCT REVIEWS'!$E$2:$E$2000,"N/A")</f>
        <v>46</v>
      </c>
    </row>
    <row r="14" customFormat="false" ht="15" hidden="false" customHeight="true" outlineLevel="0" collapsed="false">
      <c r="A14" s="11" t="s">
        <v>47</v>
      </c>
      <c r="B14" s="12" t="n">
        <f aca="false">COUNTA('DEVICE BUYBACK'!$B$2:$B$2000)</f>
        <v>40</v>
      </c>
      <c r="C14" s="12" t="n">
        <f aca="false">COUNTIF('DEVICE BUYBACK'!$E$2:$E$2000,"Pass")</f>
        <v>0</v>
      </c>
      <c r="D14" s="12" t="n">
        <f aca="false">COUNTIF('DEVICE BUYBACK'!$E$2:$E$2000,"Fail")</f>
        <v>0</v>
      </c>
      <c r="E14" s="12" t="n">
        <f aca="false">COUNTIF('DEVICE BUYBACK'!$E$2:$E$2000,"Blocked")</f>
        <v>0</v>
      </c>
      <c r="F14" s="12" t="n">
        <f aca="false">COUNTIF('DEVICE BUYBACK'!$E$2:$E$2000,"Not Tested")</f>
        <v>0</v>
      </c>
      <c r="G14" s="12" t="n">
        <f aca="false">COUNTIF('DEVICE BUYBACK'!$E$2:$E$2000,"N/A")</f>
        <v>40</v>
      </c>
    </row>
    <row r="15" customFormat="false" ht="15" hidden="false" customHeight="true" outlineLevel="0" collapsed="false">
      <c r="A15" s="11" t="s">
        <v>48</v>
      </c>
      <c r="B15" s="12" t="n">
        <f aca="false">COUNTA('SETTINGS - DEVICE  CATEGORY'!$B$2:$B$2000)</f>
        <v>44</v>
      </c>
      <c r="C15" s="12" t="n">
        <f aca="false">COUNTIF('SETTINGS - DEVICE  CATEGORY'!$E$2:$E$2000,"Pass")</f>
        <v>0</v>
      </c>
      <c r="D15" s="12" t="n">
        <f aca="false">COUNTIF('SETTINGS - DEVICE  CATEGORY'!$E$2:$E$2000,"Fail")</f>
        <v>0</v>
      </c>
      <c r="E15" s="12" t="n">
        <f aca="false">COUNTIF('SETTINGS - DEVICE  CATEGORY'!$E$2:$E$2000,"Blocked")</f>
        <v>0</v>
      </c>
      <c r="F15" s="12" t="n">
        <f aca="false">COUNTIF('SETTINGS - DEVICE  CATEGORY'!$E$2:$E$2000,"Not Tested")</f>
        <v>44</v>
      </c>
      <c r="G15" s="12" t="n">
        <f aca="false">COUNTIF('SETTINGS - DEVICE  CATEGORY'!$E$2:$E$2000,"N/A")</f>
        <v>0</v>
      </c>
    </row>
    <row r="16" customFormat="false" ht="15" hidden="false" customHeight="true" outlineLevel="0" collapsed="false">
      <c r="A16" s="11" t="s">
        <v>49</v>
      </c>
      <c r="B16" s="12" t="n">
        <f aca="false">COUNTA('SETTINGS - PRODUCT CATEGORY '!$B$2:$B$2000)</f>
        <v>45</v>
      </c>
      <c r="C16" s="12" t="n">
        <f aca="false">COUNTIF('SETTINGS - PRODUCT CATEGORY '!$E$2:$E$2000,"Pass")</f>
        <v>0</v>
      </c>
      <c r="D16" s="12" t="n">
        <f aca="false">COUNTIF('SETTINGS - PRODUCT CATEGORY '!$E$2:$E$2000,"Fail")</f>
        <v>0</v>
      </c>
      <c r="E16" s="12" t="n">
        <f aca="false">COUNTIF('SETTINGS - PRODUCT CATEGORY '!$E$2:$E$2000,"Blocked")</f>
        <v>0</v>
      </c>
      <c r="F16" s="12" t="n">
        <f aca="false">COUNTIF('SETTINGS - PRODUCT CATEGORY '!$E$2:$E$2000,"Not Tested")</f>
        <v>45</v>
      </c>
      <c r="G16" s="12" t="n">
        <f aca="false">COUNTIF('SETTINGS - PRODUCT CATEGORY '!$E$2:$E$2000,"N/A")</f>
        <v>0</v>
      </c>
    </row>
    <row r="17" customFormat="false" ht="15" hidden="false" customHeight="true" outlineLevel="0" collapsed="false">
      <c r="A17" s="11" t="s">
        <v>50</v>
      </c>
      <c r="B17" s="12" t="n">
        <f aca="false">COUNTA('SETTINGS - BRAND'!$B$2:$B$2000)</f>
        <v>56</v>
      </c>
      <c r="C17" s="12" t="n">
        <f aca="false">COUNTIF('SETTINGS - BRAND'!$E$2:$E$2000,"Pass")</f>
        <v>0</v>
      </c>
      <c r="D17" s="12" t="n">
        <f aca="false">COUNTIF('SETTINGS - BRAND'!$E$2:$E$2000,"Fail")</f>
        <v>0</v>
      </c>
      <c r="E17" s="12" t="n">
        <f aca="false">COUNTIF('SETTINGS - BRAND'!$E$2:$E$2000,"Blocked")</f>
        <v>0</v>
      </c>
      <c r="F17" s="12" t="n">
        <f aca="false">COUNTIF('SETTINGS - BRAND'!$E$2:$E$2000,"Not Tested")</f>
        <v>56</v>
      </c>
      <c r="G17" s="12" t="n">
        <f aca="false">COUNTIF('SETTINGS - BRAND'!$E$2:$E$2000,"N/A")</f>
        <v>0</v>
      </c>
    </row>
    <row r="18" customFormat="false" ht="15" hidden="false" customHeight="true" outlineLevel="0" collapsed="false">
      <c r="A18" s="11" t="s">
        <v>51</v>
      </c>
      <c r="B18" s="12" t="n">
        <f aca="false">COUNTA('SETTINGS - REGISTRATION SURVEY '!$B$2:$B$2000)</f>
        <v>7</v>
      </c>
      <c r="C18" s="12" t="n">
        <f aca="false">COUNTIF('SETTINGS - REGISTRATION SURVEY '!$E$2:$E$2000,"Pass")</f>
        <v>0</v>
      </c>
      <c r="D18" s="12" t="n">
        <f aca="false">COUNTIF('SETTINGS - REGISTRATION SURVEY '!$E$2:$E$2000,"Fail")</f>
        <v>0</v>
      </c>
      <c r="E18" s="12" t="n">
        <f aca="false">COUNTIF('SETTINGS - REGISTRATION SURVEY '!$E$2:$E$2000,"Blocked")</f>
        <v>0</v>
      </c>
      <c r="F18" s="12" t="n">
        <f aca="false">COUNTIF('SETTINGS - REGISTRATION SURVEY '!$E$2:$E$2000,"Not Tested")</f>
        <v>7</v>
      </c>
      <c r="G18" s="12" t="n">
        <f aca="false">COUNTIF('SETTINGS - REGISTRATION SURVEY '!$E$2:$E$2000,"N/A")</f>
        <v>0</v>
      </c>
    </row>
    <row r="19" customFormat="false" ht="15" hidden="false" customHeight="true" outlineLevel="0" collapsed="false">
      <c r="A19" s="11" t="s">
        <v>52</v>
      </c>
      <c r="B19" s="12" t="n">
        <f aca="false">COUNTA('SETTINGS - PLAN '!$B$2:$B$2000)</f>
        <v>62</v>
      </c>
      <c r="C19" s="12" t="n">
        <f aca="false">COUNTIF('SETTINGS - PLAN '!$E$2:$E$2000,"Pass")</f>
        <v>0</v>
      </c>
      <c r="D19" s="12" t="n">
        <f aca="false">COUNTIF('SETTINGS - PLAN '!$E$2:$E$2000,"Fail")</f>
        <v>0</v>
      </c>
      <c r="E19" s="12" t="n">
        <f aca="false">COUNTIF('SETTINGS - PLAN '!$E$2:$E$2000,"Blocked")</f>
        <v>0</v>
      </c>
      <c r="F19" s="12" t="n">
        <f aca="false">COUNTIF('SETTINGS - PLAN '!$E$2:$E$2000,"Not Tested")</f>
        <v>62</v>
      </c>
      <c r="G19" s="12" t="n">
        <f aca="false">COUNTIF('SETTINGS - PLAN '!$E$2:$E$2000,"N/A")</f>
        <v>0</v>
      </c>
    </row>
    <row r="20" customFormat="false" ht="15" hidden="false" customHeight="true" outlineLevel="0" collapsed="false">
      <c r="A20" s="11" t="s">
        <v>53</v>
      </c>
      <c r="B20" s="12" t="n">
        <f aca="false">COUNTA('SETTINGS - REPAIR NETWORk '!$B$2:$B$2000)</f>
        <v>17</v>
      </c>
      <c r="C20" s="12" t="n">
        <f aca="false">COUNTIF('SETTINGS - REPAIR NETWORk '!$E$2:$E$2000,"Pass")</f>
        <v>0</v>
      </c>
      <c r="D20" s="12" t="n">
        <f aca="false">COUNTIF('SETTINGS - REPAIR NETWORk '!$E$2:$E$2000,"Fail")</f>
        <v>0</v>
      </c>
      <c r="E20" s="12" t="n">
        <f aca="false">COUNTIF('SETTINGS - REPAIR NETWORk '!$E$2:$E$2000,"Blocked")</f>
        <v>0</v>
      </c>
      <c r="F20" s="12" t="n">
        <f aca="false">COUNTIF('SETTINGS - REPAIR NETWORk '!$E$2:$E$2000,"Not Tested")</f>
        <v>17</v>
      </c>
      <c r="G20" s="12" t="n">
        <f aca="false">COUNTIF('SETTINGS - REPAIR NETWORk '!$E$2:$E$2000,"N/A")</f>
        <v>0</v>
      </c>
    </row>
    <row r="21" customFormat="false" ht="15" hidden="false" customHeight="true" outlineLevel="0" collapsed="false">
      <c r="A21" s="11" t="s">
        <v>54</v>
      </c>
      <c r="B21" s="12" t="n">
        <f aca="false">COUNTA('SETTINGS - COMPANY '!$B$2:$B$2000)</f>
        <v>163</v>
      </c>
      <c r="C21" s="12" t="n">
        <f aca="false">COUNTIF('SETTINGS - COMPANY '!$E$2:$E$2000,"Pass")</f>
        <v>0</v>
      </c>
      <c r="D21" s="12" t="n">
        <f aca="false">COUNTIF('SETTINGS - COMPANY '!$E$2:$E$2000,"Fail")</f>
        <v>0</v>
      </c>
      <c r="E21" s="12" t="n">
        <f aca="false">COUNTIF('SETTINGS - COMPANY '!$E$2:$E$2000,"Blocked")</f>
        <v>0</v>
      </c>
      <c r="F21" s="12" t="n">
        <f aca="false">COUNTIF('SETTINGS - COMPANY '!$E$2:$E$2000,"Not Tested")</f>
        <v>163</v>
      </c>
      <c r="G21" s="12" t="n">
        <f aca="false">COUNTIF('SETTINGS - COMPANY '!$E$2:$E$2000,"N/A")</f>
        <v>0</v>
      </c>
    </row>
    <row r="22" customFormat="false" ht="15" hidden="false" customHeight="true" outlineLevel="0" collapsed="false">
      <c r="A22" s="11" t="s">
        <v>55</v>
      </c>
      <c r="B22" s="12" t="n">
        <f aca="false">COUNTA('SETTINGS - LANGUAGE'!$B$2:$B$2000)</f>
        <v>23</v>
      </c>
      <c r="C22" s="12" t="n">
        <f aca="false">COUNTIF('SETTINGS - LANGUAGE'!$E$2:$E$2000,"Pass")</f>
        <v>0</v>
      </c>
      <c r="D22" s="12" t="n">
        <f aca="false">COUNTIF('SETTINGS - LANGUAGE'!$E$2:$E$2000,"Fail")</f>
        <v>0</v>
      </c>
      <c r="E22" s="12" t="n">
        <f aca="false">COUNTIF('SETTINGS - LANGUAGE'!$E$2:$E$2000,"Blocked")</f>
        <v>0</v>
      </c>
      <c r="F22" s="12" t="n">
        <f aca="false">COUNTIF('SETTINGS - LANGUAGE'!$E$2:$E$2000,"Not Tested")</f>
        <v>23</v>
      </c>
      <c r="G22" s="12" t="n">
        <f aca="false">COUNTIF('SETTINGS - LANGUAGE'!$E$2:$E$2000,"N/A")</f>
        <v>0</v>
      </c>
    </row>
    <row r="23" customFormat="false" ht="15" hidden="false" customHeight="true" outlineLevel="0" collapsed="false">
      <c r="A23" s="11" t="s">
        <v>56</v>
      </c>
      <c r="B23" s="12" t="n">
        <f aca="false">COUNTA('SETTINGS - REGIONS'!$B$2:$B$2000)</f>
        <v>19</v>
      </c>
      <c r="C23" s="12" t="n">
        <f aca="false">COUNTIF('SETTINGS - REGIONS'!$E$2:$E$2000,"Pass")</f>
        <v>0</v>
      </c>
      <c r="D23" s="12" t="n">
        <f aca="false">COUNTIF('SETTINGS - REGIONS'!$E$2:$E$2000,"Fail")</f>
        <v>0</v>
      </c>
      <c r="E23" s="12" t="n">
        <f aca="false">COUNTIF('SETTINGS - REGIONS'!$E$2:$E$2000,"Blocked")</f>
        <v>0</v>
      </c>
      <c r="F23" s="12" t="n">
        <f aca="false">COUNTIF('SETTINGS - REGIONS'!$E$2:$E$2000,"Not Tested")</f>
        <v>19</v>
      </c>
      <c r="G23" s="12" t="n">
        <f aca="false">COUNTIF('SETTINGS - REGIONS'!$E$2:$E$2000,"N/A")</f>
        <v>0</v>
      </c>
    </row>
    <row r="24" customFormat="false" ht="15" hidden="false" customHeight="true" outlineLevel="0" collapsed="false">
      <c r="A24" s="11" t="s">
        <v>57</v>
      </c>
      <c r="B24" s="12" t="n">
        <f aca="false">COUNTA('SETTINGS - ADMINISTRATORS'!$B$2:$B$2000)</f>
        <v>19</v>
      </c>
      <c r="C24" s="12" t="n">
        <f aca="false">COUNTIF('SETTINGS - ADMINISTRATORS'!$E$2:$E$2000,"Pass")</f>
        <v>0</v>
      </c>
      <c r="D24" s="12" t="n">
        <f aca="false">COUNTIF('SETTINGS - ADMINISTRATORS'!$E$2:$E$2000,"Fail")</f>
        <v>0</v>
      </c>
      <c r="E24" s="12" t="n">
        <f aca="false">COUNTIF('SETTINGS - ADMINISTRATORS'!$E$2:$E$2000,"Blocked")</f>
        <v>0</v>
      </c>
      <c r="F24" s="12" t="n">
        <f aca="false">COUNTIF('SETTINGS - ADMINISTRATORS'!$E$2:$E$2000,"Not Tested")</f>
        <v>19</v>
      </c>
      <c r="G24" s="12" t="n">
        <f aca="false">COUNTIF('SETTINGS - ADMINISTRATORS'!$E$2:$E$2000,"N/A")</f>
        <v>0</v>
      </c>
    </row>
    <row r="25" customFormat="false" ht="15" hidden="false" customHeight="true" outlineLevel="0" collapsed="false">
      <c r="A25" s="11" t="s">
        <v>58</v>
      </c>
      <c r="B25" s="12" t="n">
        <f aca="false">COUNTA('SETTINGS - UNDERWRITERS'!$B$2:$B$2000)</f>
        <v>19</v>
      </c>
      <c r="C25" s="12" t="n">
        <f aca="false">COUNTIF('SETTINGS - UNDERWRITERS'!$E$2:$E$2000,"Pass")</f>
        <v>0</v>
      </c>
      <c r="D25" s="12" t="n">
        <f aca="false">COUNTIF('SETTINGS - UNDERWRITERS'!$E$2:$E$2000,"Fail")</f>
        <v>0</v>
      </c>
      <c r="E25" s="12" t="n">
        <f aca="false">COUNTIF('SETTINGS - UNDERWRITERS'!$E$2:$E$2000,"Blocked")</f>
        <v>0</v>
      </c>
      <c r="F25" s="12" t="n">
        <f aca="false">COUNTIF('SETTINGS - UNDERWRITERS'!$E$2:$E$2000,"Not Tested")</f>
        <v>19</v>
      </c>
      <c r="G25" s="12" t="n">
        <f aca="false">COUNTIF('SETTINGS - UNDERWRITERS'!$E$2:$E$2000,"N/A")</f>
        <v>0</v>
      </c>
    </row>
    <row r="26" customFormat="false" ht="15" hidden="false" customHeight="true" outlineLevel="0" collapsed="false">
      <c r="A26" s="11" t="s">
        <v>59</v>
      </c>
      <c r="B26" s="12" t="n">
        <f aca="false">COUNTA('SETTINGS - SUPPORT'!$B$2:$B$2000)</f>
        <v>28</v>
      </c>
      <c r="C26" s="12" t="n">
        <f aca="false">COUNTIF('SETTINGS - SUPPORT'!$E$2:$E$2000,"Pass")</f>
        <v>0</v>
      </c>
      <c r="D26" s="12" t="n">
        <f aca="false">COUNTIF('SETTINGS - SUPPORT'!$E$2:$E$2000,"Fail")</f>
        <v>0</v>
      </c>
      <c r="E26" s="12" t="n">
        <f aca="false">COUNTIF('SETTINGS - SUPPORT'!$E$2:$E$2000,"Blocked")</f>
        <v>0</v>
      </c>
      <c r="F26" s="12" t="n">
        <f aca="false">COUNTIF('SETTINGS - SUPPORT'!$E$2:$E$2000,"Not Tested")</f>
        <v>28</v>
      </c>
      <c r="G26" s="12" t="n">
        <f aca="false">COUNTIF('SETTINGS - SUPPORT'!$E$2:$E$2000,"N/A")</f>
        <v>0</v>
      </c>
    </row>
    <row r="27" customFormat="false" ht="15" hidden="false" customHeight="true" outlineLevel="0" collapsed="false">
      <c r="A27" s="11" t="s">
        <v>60</v>
      </c>
      <c r="B27" s="12" t="n">
        <f aca="false">COUNTA('SETTINGS - COVERAGE TYPE '!$B$2:$B$2000)</f>
        <v>17</v>
      </c>
      <c r="C27" s="12" t="n">
        <f aca="false">COUNTIF('SETTINGS - COVERAGE TYPE '!$E$2:$E$2000,"Pass")</f>
        <v>0</v>
      </c>
      <c r="D27" s="12" t="n">
        <f aca="false">COUNTIF('SETTINGS - COVERAGE TYPE '!$E$2:$E$2000,"Fail")</f>
        <v>0</v>
      </c>
      <c r="E27" s="12" t="n">
        <f aca="false">COUNTIF('SETTINGS - COVERAGE TYPE '!$E$2:$E$2000,"Blocked")</f>
        <v>0</v>
      </c>
      <c r="F27" s="12" t="n">
        <f aca="false">COUNTIF('SETTINGS - COVERAGE TYPE '!$E$2:$E$2000,"Not Tested")</f>
        <v>17</v>
      </c>
      <c r="G27" s="12" t="n">
        <f aca="false">COUNTIF('SETTINGS - COVERAGE TYPE '!$E$2:$E$2000,"N/A")</f>
        <v>0</v>
      </c>
    </row>
    <row r="28" customFormat="false" ht="15" hidden="false" customHeight="true" outlineLevel="0" collapsed="false">
      <c r="A28" s="11" t="s">
        <v>61</v>
      </c>
      <c r="B28" s="12" t="n">
        <f aca="false">COUNTA('SETTINGS - COVERAGE COST TYPE '!$B$2:$B$2000)</f>
        <v>17</v>
      </c>
      <c r="C28" s="12" t="n">
        <f aca="false">COUNTIF('SETTINGS - COVERAGE COST TYPE '!$E$2:$E$2000,"Pass")</f>
        <v>0</v>
      </c>
      <c r="D28" s="12" t="n">
        <f aca="false">COUNTIF('SETTINGS - COVERAGE COST TYPE '!$E$2:$E$2000,"Fail")</f>
        <v>0</v>
      </c>
      <c r="E28" s="12" t="n">
        <f aca="false">COUNTIF('SETTINGS - COVERAGE COST TYPE '!$E$2:$E$2000,"Blocked")</f>
        <v>0</v>
      </c>
      <c r="F28" s="12" t="n">
        <f aca="false">COUNTIF('SETTINGS - COVERAGE COST TYPE '!$E$2:$E$2000,"Not Tested")</f>
        <v>17</v>
      </c>
      <c r="G28" s="12" t="n">
        <f aca="false">COUNTIF('SETTINGS - COVERAGE COST TYPE '!$E$2:$E$2000,"N/A")</f>
        <v>0</v>
      </c>
    </row>
    <row r="29" customFormat="false" ht="15" hidden="false" customHeight="true" outlineLevel="0" collapsed="false">
      <c r="A29" s="11" t="s">
        <v>62</v>
      </c>
      <c r="B29" s="12" t="n">
        <f aca="false">COUNTA('SETTINGS - SHARE'!$B$2:$B$2000)</f>
        <v>26</v>
      </c>
      <c r="C29" s="12" t="n">
        <f aca="false">COUNTIF('SETTINGS - SHARE'!$E$2:$E$2000,"Pass")</f>
        <v>0</v>
      </c>
      <c r="D29" s="12" t="n">
        <f aca="false">COUNTIF('SETTINGS - SHARE'!$E$2:$E$2000,"Fail")</f>
        <v>0</v>
      </c>
      <c r="E29" s="12" t="n">
        <f aca="false">COUNTIF('SETTINGS - SHARE'!$E$2:$E$2000,"Blocked")</f>
        <v>0</v>
      </c>
      <c r="F29" s="12" t="n">
        <f aca="false">COUNTIF('SETTINGS - SHARE'!$E$2:$E$2000,"Not Tested")</f>
        <v>26</v>
      </c>
      <c r="G29" s="12" t="n">
        <f aca="false">COUNTIF('SETTINGS - SHARE'!$E$2:$E$2000,"N/A")</f>
        <v>0</v>
      </c>
    </row>
    <row r="30" customFormat="false" ht="15" hidden="false" customHeight="true" outlineLevel="0" collapsed="false">
      <c r="A30" s="11" t="s">
        <v>63</v>
      </c>
      <c r="B30" s="12" t="n">
        <f aca="false">COUNTA('SETTINGS-REVIEW QUESTIONS'!$B$2:$B$2000)</f>
        <v>19</v>
      </c>
      <c r="C30" s="12" t="n">
        <f aca="false">COUNTIF('SETTINGS-REVIEW QUESTIONS'!$E$2:$E$2000,"Pass")</f>
        <v>0</v>
      </c>
      <c r="D30" s="12" t="n">
        <f aca="false">COUNTIF('SETTINGS-REVIEW QUESTIONS'!$E$2:$E$2000,"Fail")</f>
        <v>0</v>
      </c>
      <c r="E30" s="12" t="n">
        <f aca="false">COUNTIF('SETTINGS-REVIEW QUESTIONS'!$E$2:$E$2000,"Blocked")</f>
        <v>0</v>
      </c>
      <c r="F30" s="12" t="n">
        <f aca="false">COUNTIF('SETTINGS-REVIEW QUESTIONS'!$E$2:$E$2000,"Not Tested")</f>
        <v>19</v>
      </c>
      <c r="G30" s="12" t="n">
        <f aca="false">COUNTIF('SETTINGS-REVIEW QUESTIONS'!$E$2:$E$2000,"N/A")</f>
        <v>0</v>
      </c>
    </row>
    <row r="31" customFormat="false" ht="15" hidden="false" customHeight="true" outlineLevel="0" collapsed="false">
      <c r="A31" s="13" t="s">
        <v>64</v>
      </c>
      <c r="B31" s="14" t="n">
        <f aca="false">SUM(B7:B30)</f>
        <v>979</v>
      </c>
      <c r="C31" s="14" t="n">
        <f aca="false">SUM(C7:C30)</f>
        <v>0</v>
      </c>
      <c r="D31" s="14" t="n">
        <f aca="false">SUM(D7:D30)</f>
        <v>0</v>
      </c>
      <c r="E31" s="14" t="n">
        <f aca="false">SUM(E7:E30)</f>
        <v>12</v>
      </c>
      <c r="F31" s="14" t="n">
        <f aca="false">SUM(F7:F30)</f>
        <v>810</v>
      </c>
      <c r="G31" s="14" t="n">
        <f aca="false">SUM(G7:G30)</f>
        <v>157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true" showRowColHeaders="true" showZeros="true" rightToLeft="false" tabSelected="false" showOutlineSymbols="true" defaultGridColor="true" view="normal" topLeftCell="A29" colorId="64" zoomScale="100" zoomScaleNormal="100" zoomScalePageLayoutView="100" workbookViewId="0">
      <pane xSplit="0" ySplit="1" topLeftCell="A2" activePane="bottomLeft" state="frozen"/>
      <selection pane="topLeft" activeCell="A29" activeCellId="0" sqref="A29"/>
      <selection pane="bottomLeft" activeCell="C2" activeCellId="0" sqref="C2"/>
    </sheetView>
  </sheetViews>
  <sheetFormatPr defaultColWidth="8.5390625" defaultRowHeight="13.5" customHeight="false" zeroHeight="false" outlineLevelRow="0" outlineLevelCol="0"/>
  <cols>
    <col collapsed="false" customWidth="true" hidden="false" outlineLevel="0" max="1" min="1" style="1" width="23.3"/>
    <col collapsed="false" customWidth="true" hidden="false" outlineLevel="0" max="2" min="2" style="1" width="28.4"/>
    <col collapsed="false" customWidth="true" hidden="false" outlineLevel="0" max="3" min="3" style="1" width="34.9"/>
    <col collapsed="false" customWidth="true" hidden="false" outlineLevel="0" max="4" min="4" style="1" width="54.4"/>
    <col collapsed="false" customWidth="true" hidden="false" outlineLevel="0" max="5" min="5" style="1" width="33.7"/>
    <col collapsed="false" customWidth="true" hidden="false" outlineLevel="0" max="6" min="6" style="1" width="43"/>
    <col collapsed="false" customWidth="true" hidden="false" outlineLevel="0" max="7" min="7" style="1" width="12"/>
  </cols>
  <sheetData>
    <row r="1" customFormat="false" ht="13.5" hidden="false" customHeight="true" outlineLevel="0" collapsed="false">
      <c r="A1" s="15" t="s">
        <v>33</v>
      </c>
      <c r="B1" s="16" t="s">
        <v>65</v>
      </c>
      <c r="C1" s="16" t="s">
        <v>66</v>
      </c>
      <c r="D1" s="16" t="s">
        <v>67</v>
      </c>
      <c r="E1" s="16" t="s">
        <v>68</v>
      </c>
      <c r="F1" s="16" t="s">
        <v>69</v>
      </c>
      <c r="G1" s="17" t="s">
        <v>70</v>
      </c>
    </row>
    <row r="2" customFormat="false" ht="41.25" hidden="false" customHeight="true" outlineLevel="0" collapsed="false">
      <c r="A2" s="18" t="s">
        <v>71</v>
      </c>
      <c r="B2" s="19" t="n">
        <v>1</v>
      </c>
      <c r="C2" s="20" t="s">
        <v>72</v>
      </c>
      <c r="D2" s="21" t="s">
        <v>73</v>
      </c>
      <c r="E2" s="22" t="s">
        <v>38</v>
      </c>
    </row>
    <row r="3" customFormat="false" ht="14.25" hidden="false" customHeight="true" outlineLevel="0" collapsed="false">
      <c r="A3" s="18"/>
      <c r="B3" s="19" t="n">
        <v>2</v>
      </c>
      <c r="C3" s="1" t="s">
        <v>74</v>
      </c>
      <c r="D3" s="1" t="s">
        <v>75</v>
      </c>
      <c r="E3" s="22" t="s">
        <v>38</v>
      </c>
    </row>
    <row r="4" customFormat="false" ht="70.5" hidden="false" customHeight="true" outlineLevel="0" collapsed="false">
      <c r="A4" s="18"/>
      <c r="B4" s="19" t="n">
        <v>3</v>
      </c>
      <c r="C4" s="20" t="s">
        <v>76</v>
      </c>
      <c r="D4" s="23" t="s">
        <v>77</v>
      </c>
      <c r="E4" s="22" t="s">
        <v>38</v>
      </c>
    </row>
    <row r="5" customFormat="false" ht="27" hidden="false" customHeight="true" outlineLevel="0" collapsed="false">
      <c r="A5" s="18"/>
      <c r="B5" s="19" t="n">
        <v>4</v>
      </c>
      <c r="C5" s="20" t="s">
        <v>78</v>
      </c>
      <c r="D5" s="21" t="s">
        <v>79</v>
      </c>
      <c r="E5" s="22" t="s">
        <v>38</v>
      </c>
    </row>
    <row r="6" customFormat="false" ht="41.25" hidden="false" customHeight="true" outlineLevel="0" collapsed="false">
      <c r="A6" s="18"/>
      <c r="B6" s="19" t="n">
        <v>5</v>
      </c>
      <c r="C6" s="20" t="s">
        <v>80</v>
      </c>
      <c r="D6" s="21" t="s">
        <v>81</v>
      </c>
      <c r="E6" s="22" t="s">
        <v>38</v>
      </c>
    </row>
    <row r="7" customFormat="false" ht="41.25" hidden="false" customHeight="true" outlineLevel="0" collapsed="false">
      <c r="A7" s="18"/>
      <c r="B7" s="19" t="n">
        <v>6</v>
      </c>
      <c r="C7" s="20" t="s">
        <v>82</v>
      </c>
      <c r="D7" s="21" t="s">
        <v>83</v>
      </c>
      <c r="E7" s="22" t="s">
        <v>38</v>
      </c>
    </row>
    <row r="8" customFormat="false" ht="27" hidden="false" customHeight="true" outlineLevel="0" collapsed="false">
      <c r="A8" s="18"/>
      <c r="B8" s="19" t="n">
        <v>7</v>
      </c>
      <c r="C8" s="20" t="s">
        <v>84</v>
      </c>
      <c r="D8" s="21" t="s">
        <v>85</v>
      </c>
      <c r="E8" s="22" t="s">
        <v>38</v>
      </c>
    </row>
    <row r="9" customFormat="false" ht="14.25" hidden="false" customHeight="true" outlineLevel="0" collapsed="false">
      <c r="A9" s="18"/>
      <c r="B9" s="19" t="n">
        <v>8</v>
      </c>
      <c r="C9" s="1" t="s">
        <v>86</v>
      </c>
      <c r="D9" s="1" t="s">
        <v>87</v>
      </c>
      <c r="E9" s="22" t="s">
        <v>38</v>
      </c>
    </row>
    <row r="10" customFormat="false" ht="14.25" hidden="false" customHeight="true" outlineLevel="0" collapsed="false">
      <c r="A10" s="18"/>
      <c r="B10" s="19" t="n">
        <v>9</v>
      </c>
      <c r="C10" s="1" t="s">
        <v>88</v>
      </c>
      <c r="D10" s="1" t="s">
        <v>89</v>
      </c>
      <c r="E10" s="22" t="s">
        <v>38</v>
      </c>
    </row>
    <row r="11" customFormat="false" ht="13.5" hidden="false" customHeight="true" outlineLevel="0" collapsed="false">
      <c r="A11" s="24"/>
      <c r="B11" s="24"/>
      <c r="C11" s="24"/>
      <c r="D11" s="24"/>
      <c r="E11" s="24"/>
      <c r="F11" s="24"/>
    </row>
    <row r="12" customFormat="false" ht="27" hidden="false" customHeight="true" outlineLevel="0" collapsed="false">
      <c r="A12" s="18" t="s">
        <v>90</v>
      </c>
      <c r="B12" s="19" t="n">
        <v>1</v>
      </c>
      <c r="C12" s="20" t="s">
        <v>91</v>
      </c>
      <c r="D12" s="21" t="s">
        <v>92</v>
      </c>
      <c r="E12" s="22" t="s">
        <v>38</v>
      </c>
    </row>
    <row r="13" customFormat="false" ht="14.25" hidden="false" customHeight="true" outlineLevel="0" collapsed="false">
      <c r="A13" s="18"/>
      <c r="B13" s="19" t="n">
        <v>2</v>
      </c>
      <c r="C13" s="1" t="s">
        <v>93</v>
      </c>
      <c r="D13" s="1" t="s">
        <v>94</v>
      </c>
      <c r="E13" s="22" t="s">
        <v>38</v>
      </c>
    </row>
    <row r="14" customFormat="false" ht="14.25" hidden="false" customHeight="true" outlineLevel="0" collapsed="false">
      <c r="A14" s="18"/>
      <c r="B14" s="19" t="n">
        <v>3</v>
      </c>
      <c r="C14" s="1" t="s">
        <v>95</v>
      </c>
      <c r="D14" s="1" t="s">
        <v>96</v>
      </c>
      <c r="E14" s="22" t="s">
        <v>38</v>
      </c>
    </row>
    <row r="15" customFormat="false" ht="54.75" hidden="false" customHeight="true" outlineLevel="0" collapsed="false">
      <c r="A15" s="18"/>
      <c r="B15" s="19" t="n">
        <v>4</v>
      </c>
      <c r="C15" s="23" t="s">
        <v>97</v>
      </c>
      <c r="D15" s="21" t="s">
        <v>98</v>
      </c>
      <c r="E15" s="22" t="s">
        <v>38</v>
      </c>
    </row>
    <row r="16" customFormat="false" ht="14.25" hidden="false" customHeight="true" outlineLevel="0" collapsed="false">
      <c r="A16" s="18"/>
      <c r="B16" s="19" t="n">
        <v>5</v>
      </c>
      <c r="C16" s="1" t="s">
        <v>99</v>
      </c>
      <c r="D16" s="1" t="s">
        <v>100</v>
      </c>
      <c r="E16" s="22" t="s">
        <v>38</v>
      </c>
    </row>
    <row r="17" customFormat="false" ht="14.25" hidden="false" customHeight="true" outlineLevel="0" collapsed="false">
      <c r="A17" s="18"/>
      <c r="B17" s="19" t="n">
        <v>6</v>
      </c>
      <c r="C17" s="1" t="s">
        <v>101</v>
      </c>
      <c r="D17" s="1" t="s">
        <v>102</v>
      </c>
      <c r="E17" s="22" t="s">
        <v>38</v>
      </c>
    </row>
    <row r="18" customFormat="false" ht="14.25" hidden="false" customHeight="true" outlineLevel="0" collapsed="false">
      <c r="A18" s="18"/>
      <c r="B18" s="19" t="n">
        <v>7</v>
      </c>
      <c r="C18" s="1" t="s">
        <v>103</v>
      </c>
      <c r="D18" s="1" t="s">
        <v>104</v>
      </c>
      <c r="E18" s="22" t="s">
        <v>38</v>
      </c>
    </row>
    <row r="19" customFormat="false" ht="14.25" hidden="false" customHeight="true" outlineLevel="0" collapsed="false">
      <c r="A19" s="18"/>
      <c r="B19" s="19" t="n">
        <v>8</v>
      </c>
      <c r="C19" s="1" t="s">
        <v>105</v>
      </c>
      <c r="D19" s="1" t="s">
        <v>106</v>
      </c>
      <c r="E19" s="22" t="s">
        <v>38</v>
      </c>
    </row>
    <row r="20" customFormat="false" ht="14.25" hidden="false" customHeight="true" outlineLevel="0" collapsed="false">
      <c r="A20" s="18"/>
      <c r="B20" s="19" t="n">
        <v>9</v>
      </c>
      <c r="C20" s="1" t="s">
        <v>107</v>
      </c>
      <c r="D20" s="1" t="s">
        <v>108</v>
      </c>
      <c r="E20" s="22" t="s">
        <v>38</v>
      </c>
    </row>
    <row r="21" customFormat="false" ht="14.25" hidden="false" customHeight="true" outlineLevel="0" collapsed="false">
      <c r="A21" s="18"/>
      <c r="B21" s="19" t="n">
        <v>10</v>
      </c>
      <c r="C21" s="1" t="s">
        <v>109</v>
      </c>
      <c r="D21" s="1" t="s">
        <v>110</v>
      </c>
      <c r="E21" s="22" t="s">
        <v>38</v>
      </c>
    </row>
    <row r="22" customFormat="false" ht="14.25" hidden="false" customHeight="true" outlineLevel="0" collapsed="false">
      <c r="A22" s="18"/>
      <c r="B22" s="19" t="n">
        <v>11</v>
      </c>
      <c r="C22" s="1" t="s">
        <v>111</v>
      </c>
      <c r="D22" s="1" t="s">
        <v>112</v>
      </c>
      <c r="E22" s="22" t="s">
        <v>38</v>
      </c>
    </row>
    <row r="23" customFormat="false" ht="123.75" hidden="false" customHeight="true" outlineLevel="0" collapsed="false">
      <c r="A23" s="18"/>
      <c r="B23" s="19" t="n">
        <v>12</v>
      </c>
      <c r="C23" s="20" t="s">
        <v>113</v>
      </c>
      <c r="D23" s="21" t="s">
        <v>114</v>
      </c>
      <c r="E23" s="22" t="s">
        <v>38</v>
      </c>
    </row>
    <row r="24" customFormat="false" ht="14.25" hidden="false" customHeight="true" outlineLevel="0" collapsed="false">
      <c r="A24" s="18"/>
      <c r="B24" s="19" t="n">
        <v>13</v>
      </c>
      <c r="C24" s="1" t="s">
        <v>115</v>
      </c>
      <c r="D24" s="1" t="s">
        <v>116</v>
      </c>
      <c r="E24" s="22" t="s">
        <v>38</v>
      </c>
    </row>
    <row r="25" customFormat="false" ht="14.25" hidden="false" customHeight="true" outlineLevel="0" collapsed="false">
      <c r="A25" s="18"/>
      <c r="B25" s="19" t="n">
        <v>14</v>
      </c>
      <c r="C25" s="1" t="s">
        <v>117</v>
      </c>
      <c r="D25" s="25" t="s">
        <v>118</v>
      </c>
      <c r="E25" s="22" t="s">
        <v>38</v>
      </c>
    </row>
    <row r="26" customFormat="false" ht="14.25" hidden="false" customHeight="true" outlineLevel="0" collapsed="false">
      <c r="A26" s="18"/>
      <c r="B26" s="19" t="n">
        <v>15</v>
      </c>
      <c r="C26" s="1" t="s">
        <v>119</v>
      </c>
      <c r="D26" s="1" t="s">
        <v>120</v>
      </c>
      <c r="E26" s="22" t="s">
        <v>38</v>
      </c>
    </row>
    <row r="27" customFormat="false" ht="14.25" hidden="false" customHeight="true" outlineLevel="0" collapsed="false">
      <c r="A27" s="18"/>
      <c r="B27" s="19" t="n">
        <v>16</v>
      </c>
      <c r="C27" s="1" t="s">
        <v>121</v>
      </c>
      <c r="D27" s="1" t="s">
        <v>122</v>
      </c>
      <c r="E27" s="22" t="s">
        <v>38</v>
      </c>
    </row>
    <row r="28" customFormat="false" ht="14.25" hidden="false" customHeight="true" outlineLevel="0" collapsed="false">
      <c r="A28" s="18"/>
      <c r="B28" s="19" t="n">
        <v>17</v>
      </c>
      <c r="C28" s="1" t="s">
        <v>123</v>
      </c>
      <c r="D28" s="1" t="s">
        <v>124</v>
      </c>
      <c r="E28" s="22" t="s">
        <v>38</v>
      </c>
    </row>
    <row r="29" customFormat="false" ht="14.25" hidden="false" customHeight="true" outlineLevel="0" collapsed="false">
      <c r="A29" s="18"/>
      <c r="B29" s="19" t="n">
        <v>18</v>
      </c>
      <c r="C29" s="1" t="s">
        <v>125</v>
      </c>
      <c r="D29" s="1" t="s">
        <v>126</v>
      </c>
      <c r="E29" s="22" t="s">
        <v>38</v>
      </c>
    </row>
    <row r="30" customFormat="false" ht="27" hidden="false" customHeight="true" outlineLevel="0" collapsed="false">
      <c r="A30" s="18"/>
      <c r="B30" s="19" t="n">
        <v>19</v>
      </c>
      <c r="C30" s="20" t="s">
        <v>127</v>
      </c>
      <c r="D30" s="21" t="s">
        <v>128</v>
      </c>
      <c r="E30" s="22" t="s">
        <v>38</v>
      </c>
    </row>
    <row r="31" customFormat="false" ht="13.5" hidden="false" customHeight="true" outlineLevel="0" collapsed="false">
      <c r="A31" s="24"/>
      <c r="B31" s="24"/>
      <c r="C31" s="24"/>
      <c r="D31" s="24"/>
      <c r="E31" s="24"/>
      <c r="F31" s="24"/>
    </row>
    <row r="32" customFormat="false" ht="54.75" hidden="false" customHeight="true" outlineLevel="0" collapsed="false">
      <c r="A32" s="18" t="s">
        <v>129</v>
      </c>
      <c r="B32" s="19" t="n">
        <v>1</v>
      </c>
      <c r="C32" s="20" t="s">
        <v>130</v>
      </c>
      <c r="D32" s="21" t="s">
        <v>131</v>
      </c>
      <c r="E32" s="22" t="s">
        <v>38</v>
      </c>
    </row>
    <row r="33" customFormat="false" ht="27" hidden="false" customHeight="true" outlineLevel="0" collapsed="false">
      <c r="A33" s="18"/>
      <c r="B33" s="19" t="n">
        <v>2</v>
      </c>
      <c r="C33" s="20" t="s">
        <v>132</v>
      </c>
      <c r="D33" s="21" t="s">
        <v>133</v>
      </c>
      <c r="E33" s="22" t="s">
        <v>38</v>
      </c>
    </row>
    <row r="34" customFormat="false" ht="27" hidden="false" customHeight="true" outlineLevel="0" collapsed="false">
      <c r="A34" s="18"/>
      <c r="B34" s="19" t="n">
        <v>3</v>
      </c>
      <c r="C34" s="20" t="s">
        <v>134</v>
      </c>
      <c r="D34" s="21" t="s">
        <v>135</v>
      </c>
      <c r="E34" s="22" t="s">
        <v>38</v>
      </c>
    </row>
    <row r="35" customFormat="false" ht="41.25" hidden="false" customHeight="true" outlineLevel="0" collapsed="false">
      <c r="A35" s="18"/>
      <c r="B35" s="19" t="n">
        <v>4</v>
      </c>
      <c r="C35" s="20" t="s">
        <v>136</v>
      </c>
      <c r="D35" s="21" t="s">
        <v>137</v>
      </c>
      <c r="E35" s="22" t="s">
        <v>38</v>
      </c>
    </row>
    <row r="36" customFormat="false" ht="27" hidden="false" customHeight="true" outlineLevel="0" collapsed="false">
      <c r="A36" s="18"/>
      <c r="B36" s="19" t="n">
        <v>5</v>
      </c>
      <c r="C36" s="20" t="s">
        <v>138</v>
      </c>
      <c r="D36" s="21" t="s">
        <v>139</v>
      </c>
      <c r="E36" s="22" t="s">
        <v>38</v>
      </c>
    </row>
    <row r="37" customFormat="false" ht="14.25" hidden="false" customHeight="true" outlineLevel="0" collapsed="false">
      <c r="A37" s="18"/>
      <c r="B37" s="19" t="n">
        <v>6</v>
      </c>
      <c r="C37" s="1" t="s">
        <v>140</v>
      </c>
      <c r="D37" s="1" t="s">
        <v>141</v>
      </c>
      <c r="E37" s="22" t="s">
        <v>38</v>
      </c>
    </row>
    <row r="38" customFormat="false" ht="14.25" hidden="false" customHeight="true" outlineLevel="0" collapsed="false">
      <c r="A38" s="18"/>
      <c r="B38" s="19" t="n">
        <v>7</v>
      </c>
      <c r="C38" s="1" t="s">
        <v>142</v>
      </c>
      <c r="D38" s="1" t="s">
        <v>143</v>
      </c>
      <c r="E38" s="22" t="s">
        <v>38</v>
      </c>
    </row>
  </sheetData>
  <autoFilter ref="A1:G38"/>
  <mergeCells count="3">
    <mergeCell ref="A2:A10"/>
    <mergeCell ref="A12:A30"/>
    <mergeCell ref="A32:A38"/>
  </mergeCells>
  <conditionalFormatting sqref="E32:E38">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12:E30">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conditionalFormatting sqref="E2:E10">
    <cfRule type="cellIs" priority="12" operator="equal" aboveAverage="0" equalAverage="0" bottom="0" percent="0" rank="0" text="" dxfId="8">
      <formula>"Blocked"</formula>
    </cfRule>
    <cfRule type="cellIs" priority="13" operator="equal" aboveAverage="0" equalAverage="0" bottom="0" percent="0" rank="0" text="" dxfId="9">
      <formula>"Skipped"</formula>
    </cfRule>
    <cfRule type="cellIs" priority="14" operator="equal" aboveAverage="0" equalAverage="0" bottom="0" percent="0" rank="0" text="" dxfId="10">
      <formula>"Not Tested"</formula>
    </cfRule>
    <cfRule type="cellIs" priority="15" operator="equal" aboveAverage="0" equalAverage="0" bottom="0" percent="0" rank="0" text="" dxfId="11">
      <formula>"Passed"</formula>
    </cfRule>
    <cfRule type="cellIs" priority="16"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38"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6" activeCellId="0" sqref="C6"/>
    </sheetView>
  </sheetViews>
  <sheetFormatPr defaultColWidth="8.5390625" defaultRowHeight="13.5" customHeight="false" zeroHeight="false" outlineLevelRow="0" outlineLevelCol="0"/>
  <cols>
    <col collapsed="false" customWidth="true" hidden="false" outlineLevel="0" max="1" min="1" style="1" width="19.4"/>
    <col collapsed="false" customWidth="true" hidden="false" outlineLevel="0" max="2" min="2" style="1" width="23.3"/>
    <col collapsed="false" customWidth="true" hidden="false" outlineLevel="0" max="3" min="3" style="1" width="40.4"/>
    <col collapsed="false" customWidth="true" hidden="false" outlineLevel="0" max="4" min="4" style="1" width="40.3"/>
    <col collapsed="false" customWidth="true" hidden="false" outlineLevel="0" max="5" min="5" style="1" width="25.4"/>
    <col collapsed="false" customWidth="true" hidden="false" outlineLevel="0" max="6" min="6" style="1" width="27.7"/>
    <col collapsed="false" customWidth="true" hidden="false" outlineLevel="0" max="7" min="7" style="1" width="12"/>
    <col collapsed="false" customWidth="true" hidden="false" outlineLevel="0" max="9" min="9" style="1" width="55"/>
  </cols>
  <sheetData>
    <row r="1" customFormat="false" ht="13.5" hidden="false" customHeight="true" outlineLevel="0" collapsed="false">
      <c r="A1" s="15" t="s">
        <v>33</v>
      </c>
      <c r="B1" s="16" t="s">
        <v>65</v>
      </c>
      <c r="C1" s="16" t="s">
        <v>66</v>
      </c>
      <c r="D1" s="16" t="s">
        <v>67</v>
      </c>
      <c r="E1" s="16" t="s">
        <v>68</v>
      </c>
      <c r="F1" s="16" t="s">
        <v>69</v>
      </c>
      <c r="G1" s="17" t="s">
        <v>70</v>
      </c>
      <c r="I1" s="26" t="s">
        <v>144</v>
      </c>
    </row>
    <row r="2" customFormat="false" ht="285.75" hidden="false" customHeight="true" outlineLevel="0" collapsed="false">
      <c r="A2" s="18" t="s">
        <v>145</v>
      </c>
      <c r="B2" s="19" t="n">
        <v>1</v>
      </c>
      <c r="C2" s="23" t="s">
        <v>146</v>
      </c>
      <c r="D2" s="23" t="s">
        <v>147</v>
      </c>
      <c r="E2" s="22" t="s">
        <v>38</v>
      </c>
    </row>
    <row r="3" customFormat="false" ht="27" hidden="false" customHeight="true" outlineLevel="0" collapsed="false">
      <c r="A3" s="18"/>
      <c r="B3" s="19" t="n">
        <v>2</v>
      </c>
      <c r="C3" s="20" t="s">
        <v>148</v>
      </c>
      <c r="D3" s="21" t="s">
        <v>149</v>
      </c>
      <c r="E3" s="22" t="s">
        <v>38</v>
      </c>
    </row>
    <row r="4" customFormat="false" ht="123.75" hidden="false" customHeight="true" outlineLevel="0" collapsed="false">
      <c r="A4" s="18"/>
      <c r="B4" s="19" t="n">
        <v>3</v>
      </c>
      <c r="C4" s="20" t="s">
        <v>150</v>
      </c>
      <c r="D4" s="21" t="s">
        <v>151</v>
      </c>
      <c r="E4" s="22" t="s">
        <v>38</v>
      </c>
    </row>
    <row r="5" customFormat="false" ht="14.25" hidden="false" customHeight="true" outlineLevel="0" collapsed="false">
      <c r="A5" s="18"/>
      <c r="B5" s="19" t="n">
        <v>4</v>
      </c>
      <c r="C5" s="1" t="s">
        <v>152</v>
      </c>
      <c r="D5" s="1" t="s">
        <v>153</v>
      </c>
      <c r="E5" s="22" t="s">
        <v>38</v>
      </c>
    </row>
    <row r="6" customFormat="false" ht="54.75" hidden="false" customHeight="true" outlineLevel="0" collapsed="false">
      <c r="A6" s="18"/>
      <c r="B6" s="19" t="n">
        <v>5</v>
      </c>
      <c r="C6" s="20" t="s">
        <v>154</v>
      </c>
      <c r="D6" s="21" t="s">
        <v>155</v>
      </c>
      <c r="E6" s="22" t="s">
        <v>38</v>
      </c>
    </row>
    <row r="7" customFormat="false" ht="41.25" hidden="false" customHeight="true" outlineLevel="0" collapsed="false">
      <c r="A7" s="18"/>
      <c r="B7" s="19" t="n">
        <v>6</v>
      </c>
      <c r="C7" s="20" t="s">
        <v>156</v>
      </c>
      <c r="D7" s="21" t="s">
        <v>157</v>
      </c>
      <c r="E7" s="22" t="s">
        <v>38</v>
      </c>
    </row>
    <row r="8" customFormat="false" ht="54.75" hidden="false" customHeight="true" outlineLevel="0" collapsed="false">
      <c r="A8" s="18"/>
      <c r="B8" s="19" t="n">
        <v>7</v>
      </c>
      <c r="C8" s="20" t="s">
        <v>158</v>
      </c>
      <c r="D8" s="21" t="s">
        <v>159</v>
      </c>
      <c r="E8" s="22" t="s">
        <v>38</v>
      </c>
    </row>
    <row r="9" customFormat="false" ht="41.25" hidden="false" customHeight="true" outlineLevel="0" collapsed="false">
      <c r="A9" s="18"/>
      <c r="B9" s="19" t="n">
        <v>8</v>
      </c>
      <c r="C9" s="1" t="s">
        <v>160</v>
      </c>
      <c r="D9" s="21" t="s">
        <v>161</v>
      </c>
      <c r="E9" s="22" t="s">
        <v>38</v>
      </c>
    </row>
    <row r="10" customFormat="false" ht="54.75" hidden="false" customHeight="true" outlineLevel="0" collapsed="false">
      <c r="A10" s="18"/>
      <c r="B10" s="19" t="n">
        <v>9</v>
      </c>
      <c r="C10" s="20" t="s">
        <v>162</v>
      </c>
      <c r="D10" s="21" t="s">
        <v>163</v>
      </c>
      <c r="E10" s="22" t="s">
        <v>38</v>
      </c>
    </row>
    <row r="11" customFormat="false" ht="41.25" hidden="false" customHeight="true" outlineLevel="0" collapsed="false">
      <c r="A11" s="18"/>
      <c r="B11" s="19" t="n">
        <v>10</v>
      </c>
      <c r="C11" s="20" t="s">
        <v>164</v>
      </c>
      <c r="D11" s="21" t="s">
        <v>165</v>
      </c>
      <c r="E11" s="22" t="s">
        <v>38</v>
      </c>
    </row>
    <row r="12" customFormat="false" ht="41.25" hidden="false" customHeight="true" outlineLevel="0" collapsed="false">
      <c r="A12" s="18"/>
      <c r="B12" s="19" t="n">
        <v>11</v>
      </c>
      <c r="C12" s="20" t="s">
        <v>166</v>
      </c>
      <c r="D12" s="21" t="s">
        <v>167</v>
      </c>
      <c r="E12" s="22" t="s">
        <v>38</v>
      </c>
    </row>
    <row r="13" customFormat="false" ht="13.5" hidden="false" customHeight="true" outlineLevel="0" collapsed="false">
      <c r="A13" s="24"/>
      <c r="B13" s="24"/>
      <c r="C13" s="24"/>
      <c r="D13" s="24"/>
      <c r="E13" s="24"/>
      <c r="F13" s="24"/>
    </row>
    <row r="14" customFormat="false" ht="305.25" hidden="false" customHeight="true" outlineLevel="0" collapsed="false">
      <c r="A14" s="18" t="s">
        <v>168</v>
      </c>
      <c r="B14" s="19" t="n">
        <v>1</v>
      </c>
      <c r="C14" s="20" t="s">
        <v>169</v>
      </c>
      <c r="D14" s="21" t="s">
        <v>170</v>
      </c>
      <c r="E14" s="22" t="s">
        <v>38</v>
      </c>
    </row>
    <row r="15" customFormat="false" ht="54.75" hidden="false" customHeight="true" outlineLevel="0" collapsed="false">
      <c r="A15" s="18"/>
      <c r="B15" s="19" t="n">
        <v>2</v>
      </c>
      <c r="C15" s="20" t="s">
        <v>171</v>
      </c>
      <c r="D15" s="21" t="s">
        <v>172</v>
      </c>
      <c r="E15" s="22" t="s">
        <v>38</v>
      </c>
    </row>
    <row r="16" customFormat="false" ht="115.5" hidden="false" customHeight="true" outlineLevel="0" collapsed="false">
      <c r="A16" s="18"/>
      <c r="B16" s="19" t="n">
        <v>3</v>
      </c>
      <c r="C16" s="20" t="s">
        <v>173</v>
      </c>
      <c r="D16" s="21" t="s">
        <v>174</v>
      </c>
      <c r="E16" s="22" t="s">
        <v>38</v>
      </c>
    </row>
    <row r="17" customFormat="false" ht="27" hidden="false" customHeight="true" outlineLevel="0" collapsed="false">
      <c r="A17" s="18"/>
      <c r="B17" s="19" t="n">
        <v>4</v>
      </c>
      <c r="C17" s="21" t="s">
        <v>175</v>
      </c>
      <c r="D17" s="20" t="s">
        <v>176</v>
      </c>
      <c r="E17" s="22" t="s">
        <v>38</v>
      </c>
    </row>
    <row r="18" customFormat="false" ht="41.25" hidden="false" customHeight="true" outlineLevel="0" collapsed="false">
      <c r="A18" s="18"/>
      <c r="B18" s="19" t="n">
        <v>5</v>
      </c>
      <c r="C18" s="20" t="s">
        <v>177</v>
      </c>
      <c r="D18" s="21" t="s">
        <v>178</v>
      </c>
      <c r="E18" s="22" t="s">
        <v>38</v>
      </c>
    </row>
    <row r="19" customFormat="false" ht="14.25" hidden="false" customHeight="true" outlineLevel="0" collapsed="false">
      <c r="A19" s="18"/>
      <c r="B19" s="19" t="n">
        <v>6</v>
      </c>
      <c r="C19" s="1" t="s">
        <v>179</v>
      </c>
      <c r="D19" s="1" t="s">
        <v>180</v>
      </c>
      <c r="E19" s="22" t="s">
        <v>38</v>
      </c>
    </row>
    <row r="20" customFormat="false" ht="41.25" hidden="false" customHeight="true" outlineLevel="0" collapsed="false">
      <c r="A20" s="18"/>
      <c r="B20" s="19" t="n">
        <v>7</v>
      </c>
      <c r="C20" s="20" t="s">
        <v>181</v>
      </c>
      <c r="D20" s="21" t="s">
        <v>182</v>
      </c>
      <c r="E20" s="22" t="s">
        <v>38</v>
      </c>
    </row>
    <row r="21" customFormat="false" ht="14.25" hidden="false" customHeight="true" outlineLevel="0" collapsed="false">
      <c r="A21" s="18"/>
      <c r="B21" s="19" t="n">
        <v>8</v>
      </c>
      <c r="C21" s="1" t="s">
        <v>183</v>
      </c>
      <c r="D21" s="1" t="s">
        <v>184</v>
      </c>
      <c r="E21" s="22" t="s">
        <v>38</v>
      </c>
    </row>
    <row r="22" customFormat="false" ht="15" hidden="false" customHeight="true" outlineLevel="0" collapsed="false">
      <c r="A22" s="27"/>
      <c r="B22" s="27"/>
      <c r="C22" s="27"/>
      <c r="D22" s="27"/>
      <c r="E22" s="27"/>
      <c r="F22" s="27"/>
    </row>
    <row r="23" customFormat="false" ht="30" hidden="false" customHeight="true" outlineLevel="0" collapsed="false">
      <c r="A23" s="18" t="s">
        <v>185</v>
      </c>
      <c r="B23" s="28" t="n">
        <v>1</v>
      </c>
      <c r="C23" s="29" t="s">
        <v>186</v>
      </c>
      <c r="D23" s="29" t="s">
        <v>187</v>
      </c>
      <c r="E23" s="22" t="s">
        <v>38</v>
      </c>
      <c r="F23" s="30"/>
    </row>
    <row r="24" customFormat="false" ht="14.25" hidden="false" customHeight="true" outlineLevel="0" collapsed="false">
      <c r="A24" s="18"/>
      <c r="B24" s="19" t="n">
        <v>2</v>
      </c>
      <c r="C24" s="1" t="s">
        <v>188</v>
      </c>
      <c r="D24" s="1" t="s">
        <v>189</v>
      </c>
      <c r="E24" s="22" t="s">
        <v>38</v>
      </c>
    </row>
    <row r="25" customFormat="false" ht="54.75" hidden="false" customHeight="true" outlineLevel="0" collapsed="false">
      <c r="A25" s="18"/>
      <c r="B25" s="19" t="n">
        <v>3</v>
      </c>
      <c r="C25" s="20" t="s">
        <v>190</v>
      </c>
      <c r="D25" s="21" t="s">
        <v>191</v>
      </c>
      <c r="E25" s="22" t="s">
        <v>38</v>
      </c>
    </row>
    <row r="26" customFormat="false" ht="13.5" hidden="false" customHeight="true" outlineLevel="0" collapsed="false">
      <c r="A26" s="31"/>
      <c r="B26" s="31"/>
      <c r="C26" s="31"/>
      <c r="D26" s="31"/>
      <c r="E26" s="31"/>
      <c r="F26" s="31"/>
    </row>
    <row r="27" customFormat="false" ht="14.25" hidden="false" customHeight="true" outlineLevel="0" collapsed="false">
      <c r="A27" s="18" t="s">
        <v>192</v>
      </c>
      <c r="B27" s="19" t="n">
        <v>1</v>
      </c>
      <c r="C27" s="1" t="s">
        <v>193</v>
      </c>
      <c r="D27" s="1" t="s">
        <v>194</v>
      </c>
      <c r="E27" s="22" t="s">
        <v>38</v>
      </c>
    </row>
    <row r="28" customFormat="false" ht="69" hidden="false" customHeight="true" outlineLevel="0" collapsed="false">
      <c r="A28" s="18"/>
      <c r="B28" s="19" t="n">
        <v>2</v>
      </c>
      <c r="C28" s="20" t="s">
        <v>195</v>
      </c>
      <c r="D28" s="21" t="s">
        <v>196</v>
      </c>
      <c r="E28" s="22" t="s">
        <v>38</v>
      </c>
    </row>
    <row r="29" customFormat="false" ht="14.25" hidden="false" customHeight="true" outlineLevel="0" collapsed="false">
      <c r="A29" s="18"/>
      <c r="B29" s="19" t="n">
        <v>3</v>
      </c>
      <c r="C29" s="1" t="s">
        <v>197</v>
      </c>
      <c r="D29" s="1" t="s">
        <v>198</v>
      </c>
      <c r="E29" s="22" t="s">
        <v>38</v>
      </c>
    </row>
    <row r="30" customFormat="false" ht="166.5" hidden="false" customHeight="true" outlineLevel="0" collapsed="false">
      <c r="A30" s="18"/>
      <c r="B30" s="19" t="n">
        <v>4</v>
      </c>
      <c r="C30" s="20" t="s">
        <v>199</v>
      </c>
      <c r="D30" s="21" t="s">
        <v>200</v>
      </c>
      <c r="E30" s="22" t="s">
        <v>38</v>
      </c>
    </row>
    <row r="31" customFormat="false" ht="27" hidden="false" customHeight="true" outlineLevel="0" collapsed="false">
      <c r="A31" s="18"/>
      <c r="B31" s="19" t="n">
        <v>5</v>
      </c>
      <c r="C31" s="20" t="s">
        <v>201</v>
      </c>
      <c r="D31" s="21" t="s">
        <v>202</v>
      </c>
      <c r="E31" s="22" t="s">
        <v>38</v>
      </c>
    </row>
    <row r="32" customFormat="false" ht="14.25" hidden="false" customHeight="true" outlineLevel="0" collapsed="false">
      <c r="A32" s="18"/>
      <c r="B32" s="19" t="n">
        <v>6</v>
      </c>
      <c r="C32" s="1" t="s">
        <v>203</v>
      </c>
      <c r="D32" s="1" t="s">
        <v>176</v>
      </c>
      <c r="E32" s="22" t="s">
        <v>38</v>
      </c>
    </row>
    <row r="33" customFormat="false" ht="14.25" hidden="false" customHeight="true" outlineLevel="0" collapsed="false">
      <c r="A33" s="18"/>
      <c r="B33" s="19" t="n">
        <v>7</v>
      </c>
      <c r="C33" s="1" t="s">
        <v>204</v>
      </c>
      <c r="D33" s="1" t="s">
        <v>205</v>
      </c>
      <c r="E33" s="22" t="s">
        <v>38</v>
      </c>
    </row>
    <row r="34" customFormat="false" ht="41.25" hidden="false" customHeight="true" outlineLevel="0" collapsed="false">
      <c r="A34" s="18"/>
      <c r="B34" s="19" t="n">
        <v>8</v>
      </c>
      <c r="C34" s="23" t="s">
        <v>206</v>
      </c>
      <c r="D34" s="21" t="s">
        <v>207</v>
      </c>
      <c r="E34" s="22" t="s">
        <v>38</v>
      </c>
    </row>
    <row r="35" customFormat="false" ht="41.25" hidden="false" customHeight="true" outlineLevel="0" collapsed="false">
      <c r="A35" s="18"/>
      <c r="B35" s="19" t="n">
        <v>9</v>
      </c>
      <c r="C35" s="23" t="s">
        <v>208</v>
      </c>
      <c r="D35" s="21" t="s">
        <v>209</v>
      </c>
      <c r="E35" s="22" t="s">
        <v>38</v>
      </c>
    </row>
    <row r="36" customFormat="false" ht="27" hidden="false" customHeight="true" outlineLevel="0" collapsed="false">
      <c r="A36" s="18"/>
      <c r="B36" s="19" t="n">
        <v>10</v>
      </c>
      <c r="C36" s="21" t="s">
        <v>210</v>
      </c>
      <c r="D36" s="20" t="s">
        <v>211</v>
      </c>
      <c r="E36" s="22" t="s">
        <v>38</v>
      </c>
    </row>
    <row r="37" customFormat="false" ht="54.75" hidden="false" customHeight="true" outlineLevel="0" collapsed="false">
      <c r="A37" s="18"/>
      <c r="B37" s="19" t="n">
        <v>11</v>
      </c>
      <c r="C37" s="20" t="s">
        <v>212</v>
      </c>
      <c r="D37" s="21" t="s">
        <v>213</v>
      </c>
      <c r="E37" s="22" t="s">
        <v>38</v>
      </c>
    </row>
    <row r="38" customFormat="false" ht="54.75" hidden="false" customHeight="true" outlineLevel="0" collapsed="false">
      <c r="A38" s="18"/>
      <c r="B38" s="19" t="n">
        <v>12</v>
      </c>
      <c r="C38" s="20" t="s">
        <v>214</v>
      </c>
      <c r="D38" s="21" t="s">
        <v>215</v>
      </c>
      <c r="E38" s="22" t="s">
        <v>38</v>
      </c>
    </row>
    <row r="39" customFormat="false" ht="13.5" hidden="false" customHeight="true" outlineLevel="0" collapsed="false">
      <c r="A39" s="31"/>
      <c r="B39" s="31"/>
      <c r="C39" s="31"/>
      <c r="D39" s="31"/>
      <c r="E39" s="31"/>
      <c r="F39" s="31"/>
    </row>
    <row r="40" customFormat="false" ht="14.25" hidden="false" customHeight="true" outlineLevel="0" collapsed="false">
      <c r="A40" s="18" t="s">
        <v>216</v>
      </c>
      <c r="B40" s="19" t="n">
        <v>1</v>
      </c>
      <c r="C40" s="1" t="s">
        <v>217</v>
      </c>
      <c r="D40" s="1" t="s">
        <v>218</v>
      </c>
      <c r="E40" s="22" t="s">
        <v>38</v>
      </c>
    </row>
    <row r="41" customFormat="false" ht="14.25" hidden="false" customHeight="true" outlineLevel="0" collapsed="false">
      <c r="A41" s="18"/>
      <c r="B41" s="19" t="n">
        <v>2</v>
      </c>
      <c r="C41" s="1" t="s">
        <v>219</v>
      </c>
      <c r="D41" s="1" t="s">
        <v>220</v>
      </c>
      <c r="E41" s="22" t="s">
        <v>38</v>
      </c>
    </row>
    <row r="42" customFormat="false" ht="27" hidden="false" customHeight="true" outlineLevel="0" collapsed="false">
      <c r="A42" s="18"/>
      <c r="B42" s="19" t="n">
        <v>3</v>
      </c>
      <c r="C42" s="21" t="s">
        <v>221</v>
      </c>
      <c r="D42" s="21" t="s">
        <v>222</v>
      </c>
      <c r="E42" s="22" t="s">
        <v>38</v>
      </c>
    </row>
    <row r="43" customFormat="false" ht="27" hidden="false" customHeight="true" outlineLevel="0" collapsed="false">
      <c r="A43" s="18"/>
      <c r="B43" s="19" t="n">
        <v>4</v>
      </c>
      <c r="C43" s="20" t="s">
        <v>223</v>
      </c>
      <c r="D43" s="21" t="s">
        <v>224</v>
      </c>
      <c r="E43" s="22" t="s">
        <v>38</v>
      </c>
    </row>
    <row r="44" customFormat="false" ht="41.25" hidden="false" customHeight="true" outlineLevel="0" collapsed="false">
      <c r="A44" s="18"/>
      <c r="B44" s="19" t="n">
        <v>5</v>
      </c>
      <c r="C44" s="20" t="s">
        <v>225</v>
      </c>
      <c r="D44" s="21" t="s">
        <v>226</v>
      </c>
      <c r="E44" s="22" t="s">
        <v>38</v>
      </c>
    </row>
    <row r="45" customFormat="false" ht="41.25" hidden="false" customHeight="true" outlineLevel="0" collapsed="false">
      <c r="A45" s="18"/>
      <c r="B45" s="19" t="n">
        <v>6</v>
      </c>
      <c r="C45" s="20" t="s">
        <v>227</v>
      </c>
      <c r="D45" s="21" t="s">
        <v>228</v>
      </c>
      <c r="E45" s="22" t="s">
        <v>38</v>
      </c>
    </row>
    <row r="46" customFormat="false" ht="27" hidden="false" customHeight="true" outlineLevel="0" collapsed="false">
      <c r="A46" s="18"/>
      <c r="B46" s="19" t="n">
        <v>7</v>
      </c>
      <c r="C46" s="1" t="s">
        <v>229</v>
      </c>
      <c r="D46" s="21" t="s">
        <v>230</v>
      </c>
      <c r="E46" s="22" t="s">
        <v>38</v>
      </c>
    </row>
  </sheetData>
  <autoFilter ref="A1:G46"/>
  <mergeCells count="5">
    <mergeCell ref="A2:A12"/>
    <mergeCell ref="A14:A21"/>
    <mergeCell ref="A23:A25"/>
    <mergeCell ref="A27:A38"/>
    <mergeCell ref="A40:A46"/>
  </mergeCells>
  <conditionalFormatting sqref="E40:E46">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27:E38">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conditionalFormatting sqref="E23:E25">
    <cfRule type="cellIs" priority="12" operator="equal" aboveAverage="0" equalAverage="0" bottom="0" percent="0" rank="0" text="" dxfId="8">
      <formula>"Blocked"</formula>
    </cfRule>
    <cfRule type="cellIs" priority="13" operator="equal" aboveAverage="0" equalAverage="0" bottom="0" percent="0" rank="0" text="" dxfId="9">
      <formula>"Skipped"</formula>
    </cfRule>
    <cfRule type="cellIs" priority="14" operator="equal" aboveAverage="0" equalAverage="0" bottom="0" percent="0" rank="0" text="" dxfId="10">
      <formula>"Not Tested"</formula>
    </cfRule>
    <cfRule type="cellIs" priority="15" operator="equal" aboveAverage="0" equalAverage="0" bottom="0" percent="0" rank="0" text="" dxfId="11">
      <formula>"Passed"</formula>
    </cfRule>
    <cfRule type="cellIs" priority="16" operator="equal" aboveAverage="0" equalAverage="0" bottom="0" percent="0" rank="0" text="" dxfId="12">
      <formula>"Failed"</formula>
    </cfRule>
  </conditionalFormatting>
  <conditionalFormatting sqref="E14:E21">
    <cfRule type="cellIs" priority="17" operator="equal" aboveAverage="0" equalAverage="0" bottom="0" percent="0" rank="0" text="" dxfId="8">
      <formula>"Blocked"</formula>
    </cfRule>
    <cfRule type="cellIs" priority="18" operator="equal" aboveAverage="0" equalAverage="0" bottom="0" percent="0" rank="0" text="" dxfId="9">
      <formula>"Skipped"</formula>
    </cfRule>
    <cfRule type="cellIs" priority="19" operator="equal" aboveAverage="0" equalAverage="0" bottom="0" percent="0" rank="0" text="" dxfId="10">
      <formula>"Not Tested"</formula>
    </cfRule>
    <cfRule type="cellIs" priority="20" operator="equal" aboveAverage="0" equalAverage="0" bottom="0" percent="0" rank="0" text="" dxfId="11">
      <formula>"Passed"</formula>
    </cfRule>
    <cfRule type="cellIs" priority="21" operator="equal" aboveAverage="0" equalAverage="0" bottom="0" percent="0" rank="0" text="" dxfId="12">
      <formula>"Failed"</formula>
    </cfRule>
  </conditionalFormatting>
  <conditionalFormatting sqref="E2:E12">
    <cfRule type="cellIs" priority="22" operator="equal" aboveAverage="0" equalAverage="0" bottom="0" percent="0" rank="0" text="" dxfId="8">
      <formula>"Blocked"</formula>
    </cfRule>
    <cfRule type="cellIs" priority="23" operator="equal" aboveAverage="0" equalAverage="0" bottom="0" percent="0" rank="0" text="" dxfId="9">
      <formula>"Skipped"</formula>
    </cfRule>
    <cfRule type="cellIs" priority="24" operator="equal" aboveAverage="0" equalAverage="0" bottom="0" percent="0" rank="0" text="" dxfId="10">
      <formula>"Not Tested"</formula>
    </cfRule>
    <cfRule type="cellIs" priority="25" operator="equal" aboveAverage="0" equalAverage="0" bottom="0" percent="0" rank="0" text="" dxfId="11">
      <formula>"Passed"</formula>
    </cfRule>
    <cfRule type="cellIs" priority="26"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46"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8"/>
  <sheetViews>
    <sheetView showFormulas="false" showGridLines="true" showRowColHeaders="true" showZeros="true" rightToLeft="false" tabSelected="false" showOutlineSymbols="true" defaultGridColor="true" view="normal" topLeftCell="A53" colorId="64" zoomScale="100" zoomScaleNormal="100" zoomScalePageLayoutView="100" workbookViewId="0">
      <pane xSplit="0" ySplit="1" topLeftCell="A2" activePane="bottomLeft" state="frozen"/>
      <selection pane="topLeft" activeCell="A53" activeCellId="0" sqref="A53"/>
      <selection pane="bottomLeft" activeCell="F4" activeCellId="0" sqref="F4"/>
    </sheetView>
  </sheetViews>
  <sheetFormatPr defaultColWidth="8.5390625" defaultRowHeight="13.5" customHeight="false" zeroHeight="false" outlineLevelRow="0" outlineLevelCol="0"/>
  <cols>
    <col collapsed="false" customWidth="true" hidden="false" outlineLevel="0" max="1" min="1" style="1" width="21.3"/>
    <col collapsed="false" customWidth="true" hidden="false" outlineLevel="0" max="2" min="2" style="1" width="30"/>
    <col collapsed="false" customWidth="true" hidden="false" outlineLevel="0" max="3" min="3" style="1" width="38.1"/>
    <col collapsed="false" customWidth="true" hidden="false" outlineLevel="0" max="4" min="4" style="1" width="50.9"/>
    <col collapsed="false" customWidth="true" hidden="false" outlineLevel="0" max="5" min="5" style="1" width="28.9"/>
    <col collapsed="false" customWidth="true" hidden="false" outlineLevel="0" max="6" min="6" style="1" width="47.4"/>
    <col collapsed="false" customWidth="true" hidden="false" outlineLevel="0" max="7" min="7" style="1" width="12"/>
    <col collapsed="false" customWidth="true" hidden="false" outlineLevel="0" max="9" min="9" style="1" width="55"/>
  </cols>
  <sheetData>
    <row r="1" customFormat="false" ht="13.5" hidden="false" customHeight="true" outlineLevel="0" collapsed="false">
      <c r="A1" s="15" t="s">
        <v>33</v>
      </c>
      <c r="B1" s="16" t="s">
        <v>65</v>
      </c>
      <c r="C1" s="16" t="s">
        <v>66</v>
      </c>
      <c r="D1" s="16" t="s">
        <v>67</v>
      </c>
      <c r="E1" s="16" t="s">
        <v>68</v>
      </c>
      <c r="F1" s="16" t="s">
        <v>69</v>
      </c>
      <c r="G1" s="17" t="s">
        <v>70</v>
      </c>
      <c r="I1" s="32" t="s">
        <v>231</v>
      </c>
    </row>
    <row r="2" customFormat="false" ht="27" hidden="false" customHeight="true" outlineLevel="0" collapsed="false">
      <c r="A2" s="18" t="s">
        <v>71</v>
      </c>
      <c r="B2" s="19" t="n">
        <v>1</v>
      </c>
      <c r="C2" s="20" t="s">
        <v>232</v>
      </c>
      <c r="D2" s="21" t="s">
        <v>233</v>
      </c>
      <c r="E2" s="22" t="s">
        <v>39</v>
      </c>
      <c r="F2" s="1" t="s">
        <v>234</v>
      </c>
    </row>
    <row r="3" customFormat="false" ht="14.25" hidden="false" customHeight="true" outlineLevel="0" collapsed="false">
      <c r="A3" s="18"/>
      <c r="B3" s="19" t="n">
        <v>2</v>
      </c>
      <c r="C3" s="1" t="s">
        <v>235</v>
      </c>
      <c r="D3" s="1" t="s">
        <v>75</v>
      </c>
      <c r="E3" s="22" t="s">
        <v>39</v>
      </c>
      <c r="F3" s="1" t="s">
        <v>234</v>
      </c>
    </row>
    <row r="4" customFormat="false" ht="51.75" hidden="false" customHeight="true" outlineLevel="0" collapsed="false">
      <c r="A4" s="18"/>
      <c r="B4" s="19" t="n">
        <v>3</v>
      </c>
      <c r="C4" s="20" t="s">
        <v>76</v>
      </c>
      <c r="D4" s="23" t="s">
        <v>77</v>
      </c>
      <c r="E4" s="22" t="s">
        <v>39</v>
      </c>
      <c r="F4" s="1" t="s">
        <v>234</v>
      </c>
    </row>
    <row r="5" customFormat="false" ht="27" hidden="false" customHeight="true" outlineLevel="0" collapsed="false">
      <c r="A5" s="18"/>
      <c r="B5" s="19" t="n">
        <v>4</v>
      </c>
      <c r="C5" s="20" t="s">
        <v>78</v>
      </c>
      <c r="D5" s="21" t="s">
        <v>79</v>
      </c>
      <c r="E5" s="22" t="s">
        <v>39</v>
      </c>
      <c r="F5" s="1" t="s">
        <v>234</v>
      </c>
    </row>
    <row r="6" customFormat="false" ht="41.25" hidden="false" customHeight="true" outlineLevel="0" collapsed="false">
      <c r="A6" s="18"/>
      <c r="B6" s="19" t="n">
        <v>5</v>
      </c>
      <c r="C6" s="20" t="s">
        <v>80</v>
      </c>
      <c r="D6" s="21" t="s">
        <v>81</v>
      </c>
      <c r="E6" s="22" t="s">
        <v>39</v>
      </c>
      <c r="F6" s="1" t="s">
        <v>234</v>
      </c>
    </row>
    <row r="7" customFormat="false" ht="41.25" hidden="false" customHeight="true" outlineLevel="0" collapsed="false">
      <c r="A7" s="18"/>
      <c r="B7" s="19" t="n">
        <v>6</v>
      </c>
      <c r="C7" s="20" t="s">
        <v>82</v>
      </c>
      <c r="D7" s="21" t="s">
        <v>83</v>
      </c>
      <c r="E7" s="22" t="s">
        <v>39</v>
      </c>
      <c r="F7" s="1" t="s">
        <v>234</v>
      </c>
    </row>
    <row r="8" customFormat="false" ht="27" hidden="false" customHeight="true" outlineLevel="0" collapsed="false">
      <c r="A8" s="18"/>
      <c r="B8" s="19" t="n">
        <v>7</v>
      </c>
      <c r="C8" s="20" t="s">
        <v>84</v>
      </c>
      <c r="D8" s="21" t="s">
        <v>85</v>
      </c>
      <c r="E8" s="22" t="s">
        <v>39</v>
      </c>
      <c r="F8" s="1" t="s">
        <v>234</v>
      </c>
    </row>
    <row r="9" customFormat="false" ht="14.25" hidden="false" customHeight="true" outlineLevel="0" collapsed="false">
      <c r="A9" s="18"/>
      <c r="B9" s="19" t="n">
        <v>8</v>
      </c>
      <c r="C9" s="1" t="s">
        <v>86</v>
      </c>
      <c r="D9" s="1" t="s">
        <v>87</v>
      </c>
      <c r="E9" s="22" t="s">
        <v>39</v>
      </c>
      <c r="F9" s="1" t="s">
        <v>234</v>
      </c>
    </row>
    <row r="10" customFormat="false" ht="14.25" hidden="false" customHeight="true" outlineLevel="0" collapsed="false">
      <c r="A10" s="18"/>
      <c r="B10" s="19" t="n">
        <v>9</v>
      </c>
      <c r="C10" s="1" t="s">
        <v>236</v>
      </c>
      <c r="D10" s="1" t="s">
        <v>237</v>
      </c>
      <c r="E10" s="22" t="s">
        <v>39</v>
      </c>
      <c r="F10" s="1" t="s">
        <v>234</v>
      </c>
    </row>
    <row r="11" customFormat="false" ht="13.5" hidden="false" customHeight="true" outlineLevel="0" collapsed="false">
      <c r="A11" s="24"/>
      <c r="B11" s="24"/>
      <c r="C11" s="24"/>
      <c r="D11" s="24"/>
      <c r="E11" s="24"/>
      <c r="F11" s="24"/>
    </row>
    <row r="12" customFormat="false" ht="110.25" hidden="false" customHeight="true" outlineLevel="0" collapsed="false">
      <c r="A12" s="18" t="s">
        <v>129</v>
      </c>
      <c r="B12" s="19" t="n">
        <v>1</v>
      </c>
      <c r="C12" s="20" t="s">
        <v>238</v>
      </c>
      <c r="D12" s="21" t="s">
        <v>239</v>
      </c>
      <c r="E12" s="22" t="s">
        <v>39</v>
      </c>
      <c r="F12" s="1" t="s">
        <v>234</v>
      </c>
    </row>
    <row r="13" customFormat="false" ht="27" hidden="false" customHeight="true" outlineLevel="0" collapsed="false">
      <c r="A13" s="18"/>
      <c r="B13" s="19" t="n">
        <v>2</v>
      </c>
      <c r="C13" s="20" t="s">
        <v>240</v>
      </c>
      <c r="D13" s="21" t="s">
        <v>241</v>
      </c>
      <c r="E13" s="22" t="s">
        <v>39</v>
      </c>
      <c r="F13" s="1" t="s">
        <v>234</v>
      </c>
    </row>
    <row r="14" customFormat="false" ht="54.75" hidden="false" customHeight="true" outlineLevel="0" collapsed="false">
      <c r="A14" s="18"/>
      <c r="B14" s="19" t="n">
        <v>3</v>
      </c>
      <c r="C14" s="20" t="s">
        <v>242</v>
      </c>
      <c r="D14" s="21" t="s">
        <v>243</v>
      </c>
      <c r="E14" s="22" t="s">
        <v>39</v>
      </c>
      <c r="F14" s="1" t="s">
        <v>234</v>
      </c>
    </row>
    <row r="15" customFormat="false" ht="27" hidden="false" customHeight="true" outlineLevel="0" collapsed="false">
      <c r="A15" s="18"/>
      <c r="B15" s="19" t="n">
        <v>4</v>
      </c>
      <c r="C15" s="20" t="s">
        <v>244</v>
      </c>
      <c r="D15" s="21" t="s">
        <v>245</v>
      </c>
      <c r="E15" s="22" t="s">
        <v>39</v>
      </c>
      <c r="F15" s="1" t="s">
        <v>234</v>
      </c>
    </row>
    <row r="16" customFormat="false" ht="27" hidden="false" customHeight="true" outlineLevel="0" collapsed="false">
      <c r="A16" s="18"/>
      <c r="B16" s="19" t="n">
        <v>5</v>
      </c>
      <c r="C16" s="21" t="s">
        <v>246</v>
      </c>
      <c r="D16" s="21" t="s">
        <v>247</v>
      </c>
      <c r="E16" s="22" t="s">
        <v>39</v>
      </c>
      <c r="F16" s="1" t="s">
        <v>234</v>
      </c>
    </row>
    <row r="17" customFormat="false" ht="27" hidden="false" customHeight="true" outlineLevel="0" collapsed="false">
      <c r="A17" s="18"/>
      <c r="B17" s="19" t="n">
        <v>6</v>
      </c>
      <c r="C17" s="20" t="s">
        <v>248</v>
      </c>
      <c r="D17" s="21" t="s">
        <v>249</v>
      </c>
      <c r="E17" s="22" t="s">
        <v>39</v>
      </c>
      <c r="F17" s="1" t="s">
        <v>234</v>
      </c>
    </row>
    <row r="18" customFormat="false" ht="27" hidden="false" customHeight="true" outlineLevel="0" collapsed="false">
      <c r="A18" s="18"/>
      <c r="B18" s="19" t="n">
        <v>7</v>
      </c>
      <c r="C18" s="20" t="s">
        <v>250</v>
      </c>
      <c r="D18" s="21" t="s">
        <v>251</v>
      </c>
      <c r="E18" s="22" t="s">
        <v>39</v>
      </c>
      <c r="F18" s="1" t="s">
        <v>234</v>
      </c>
    </row>
    <row r="19" customFormat="false" ht="14.25" hidden="false" customHeight="true" outlineLevel="0" collapsed="false">
      <c r="A19" s="18"/>
      <c r="B19" s="19" t="n">
        <v>8</v>
      </c>
      <c r="C19" s="1" t="s">
        <v>252</v>
      </c>
      <c r="D19" s="21" t="s">
        <v>253</v>
      </c>
      <c r="E19" s="22" t="s">
        <v>39</v>
      </c>
      <c r="F19" s="1" t="s">
        <v>234</v>
      </c>
    </row>
    <row r="20" customFormat="false" ht="41.25" hidden="false" customHeight="true" outlineLevel="0" collapsed="false">
      <c r="A20" s="18"/>
      <c r="B20" s="19" t="n">
        <v>9</v>
      </c>
      <c r="C20" s="1" t="s">
        <v>254</v>
      </c>
      <c r="D20" s="21" t="s">
        <v>255</v>
      </c>
      <c r="E20" s="22" t="s">
        <v>39</v>
      </c>
      <c r="F20" s="1" t="s">
        <v>234</v>
      </c>
    </row>
    <row r="21" customFormat="false" ht="27" hidden="false" customHeight="true" outlineLevel="0" collapsed="false">
      <c r="A21" s="18"/>
      <c r="B21" s="19" t="n">
        <v>10</v>
      </c>
      <c r="C21" s="21" t="s">
        <v>256</v>
      </c>
      <c r="D21" s="21" t="s">
        <v>257</v>
      </c>
      <c r="E21" s="22" t="s">
        <v>39</v>
      </c>
      <c r="F21" s="1" t="s">
        <v>234</v>
      </c>
    </row>
    <row r="22" customFormat="false" ht="14.25" hidden="false" customHeight="true" outlineLevel="0" collapsed="false">
      <c r="A22" s="18"/>
      <c r="B22" s="19" t="n">
        <v>11</v>
      </c>
      <c r="C22" s="1" t="s">
        <v>258</v>
      </c>
      <c r="D22" s="1" t="s">
        <v>259</v>
      </c>
      <c r="E22" s="22" t="s">
        <v>39</v>
      </c>
      <c r="F22" s="1" t="s">
        <v>234</v>
      </c>
    </row>
    <row r="23" customFormat="false" ht="14.25" hidden="false" customHeight="true" outlineLevel="0" collapsed="false">
      <c r="A23" s="18"/>
      <c r="B23" s="19" t="n">
        <v>12</v>
      </c>
      <c r="C23" s="1" t="s">
        <v>260</v>
      </c>
      <c r="D23" s="1" t="s">
        <v>261</v>
      </c>
      <c r="E23" s="22" t="s">
        <v>39</v>
      </c>
      <c r="F23" s="1" t="s">
        <v>234</v>
      </c>
    </row>
    <row r="24" customFormat="false" ht="14.25" hidden="false" customHeight="true" outlineLevel="0" collapsed="false">
      <c r="A24" s="18"/>
      <c r="B24" s="19" t="n">
        <v>13</v>
      </c>
      <c r="C24" s="1" t="s">
        <v>262</v>
      </c>
      <c r="D24" s="1" t="s">
        <v>263</v>
      </c>
      <c r="E24" s="22" t="s">
        <v>39</v>
      </c>
      <c r="F24" s="1" t="s">
        <v>234</v>
      </c>
    </row>
    <row r="25" customFormat="false" ht="14.25" hidden="false" customHeight="true" outlineLevel="0" collapsed="false">
      <c r="A25" s="18"/>
      <c r="B25" s="19" t="n">
        <v>14</v>
      </c>
      <c r="C25" s="1" t="s">
        <v>264</v>
      </c>
      <c r="D25" s="1" t="s">
        <v>265</v>
      </c>
      <c r="E25" s="22" t="s">
        <v>39</v>
      </c>
      <c r="F25" s="1" t="s">
        <v>234</v>
      </c>
    </row>
    <row r="26" customFormat="false" ht="14.25" hidden="false" customHeight="true" outlineLevel="0" collapsed="false">
      <c r="A26" s="18"/>
      <c r="B26" s="19" t="n">
        <v>15</v>
      </c>
      <c r="C26" s="1" t="s">
        <v>266</v>
      </c>
      <c r="D26" s="1" t="s">
        <v>267</v>
      </c>
      <c r="E26" s="22" t="s">
        <v>39</v>
      </c>
      <c r="F26" s="1" t="s">
        <v>234</v>
      </c>
    </row>
    <row r="27" customFormat="false" ht="14.25" hidden="false" customHeight="true" outlineLevel="0" collapsed="false">
      <c r="A27" s="18"/>
      <c r="B27" s="19" t="n">
        <v>16</v>
      </c>
      <c r="C27" s="1" t="s">
        <v>268</v>
      </c>
      <c r="D27" s="1" t="s">
        <v>269</v>
      </c>
      <c r="E27" s="22" t="s">
        <v>39</v>
      </c>
      <c r="F27" s="1" t="s">
        <v>234</v>
      </c>
    </row>
    <row r="28" customFormat="false" ht="14.25" hidden="false" customHeight="true" outlineLevel="0" collapsed="false">
      <c r="A28" s="18"/>
      <c r="B28" s="19" t="n">
        <v>17</v>
      </c>
      <c r="C28" s="1" t="s">
        <v>270</v>
      </c>
      <c r="D28" s="1" t="s">
        <v>271</v>
      </c>
      <c r="E28" s="22" t="s">
        <v>39</v>
      </c>
      <c r="F28" s="1" t="s">
        <v>234</v>
      </c>
    </row>
    <row r="29" customFormat="false" ht="14.25" hidden="false" customHeight="true" outlineLevel="0" collapsed="false">
      <c r="A29" s="18"/>
      <c r="B29" s="19" t="n">
        <v>18</v>
      </c>
      <c r="C29" s="1" t="s">
        <v>272</v>
      </c>
      <c r="D29" s="1" t="s">
        <v>273</v>
      </c>
      <c r="E29" s="22" t="s">
        <v>39</v>
      </c>
      <c r="F29" s="1" t="s">
        <v>234</v>
      </c>
    </row>
    <row r="30" customFormat="false" ht="14.25" hidden="false" customHeight="true" outlineLevel="0" collapsed="false">
      <c r="A30" s="18"/>
      <c r="B30" s="19" t="n">
        <v>19</v>
      </c>
      <c r="C30" s="1" t="s">
        <v>274</v>
      </c>
      <c r="D30" s="1" t="s">
        <v>275</v>
      </c>
      <c r="E30" s="22" t="s">
        <v>39</v>
      </c>
      <c r="F30" s="1" t="s">
        <v>234</v>
      </c>
    </row>
    <row r="31" customFormat="false" ht="14.25" hidden="false" customHeight="true" outlineLevel="0" collapsed="false">
      <c r="A31" s="18"/>
      <c r="B31" s="19" t="n">
        <v>20</v>
      </c>
      <c r="C31" s="1" t="s">
        <v>276</v>
      </c>
      <c r="D31" s="1" t="s">
        <v>277</v>
      </c>
      <c r="E31" s="22" t="s">
        <v>39</v>
      </c>
      <c r="F31" s="1" t="s">
        <v>234</v>
      </c>
    </row>
    <row r="32" customFormat="false" ht="14.25" hidden="false" customHeight="true" outlineLevel="0" collapsed="false">
      <c r="A32" s="18"/>
      <c r="B32" s="19" t="n">
        <v>21</v>
      </c>
      <c r="C32" s="1" t="s">
        <v>278</v>
      </c>
      <c r="D32" s="1" t="s">
        <v>279</v>
      </c>
      <c r="E32" s="22" t="s">
        <v>39</v>
      </c>
      <c r="F32" s="1" t="s">
        <v>234</v>
      </c>
    </row>
    <row r="33" customFormat="false" ht="14.25" hidden="false" customHeight="true" outlineLevel="0" collapsed="false">
      <c r="A33" s="18"/>
      <c r="B33" s="19" t="n">
        <v>22</v>
      </c>
      <c r="C33" s="1" t="s">
        <v>280</v>
      </c>
      <c r="D33" s="1" t="s">
        <v>281</v>
      </c>
      <c r="E33" s="22" t="s">
        <v>39</v>
      </c>
      <c r="F33" s="1" t="s">
        <v>234</v>
      </c>
    </row>
    <row r="34" customFormat="false" ht="14.25" hidden="false" customHeight="true" outlineLevel="0" collapsed="false">
      <c r="A34" s="18"/>
      <c r="B34" s="19" t="n">
        <v>23</v>
      </c>
      <c r="C34" s="1" t="s">
        <v>282</v>
      </c>
      <c r="D34" s="1" t="s">
        <v>283</v>
      </c>
      <c r="E34" s="22" t="s">
        <v>39</v>
      </c>
      <c r="F34" s="1" t="s">
        <v>234</v>
      </c>
    </row>
    <row r="35" customFormat="false" ht="14.25" hidden="false" customHeight="true" outlineLevel="0" collapsed="false">
      <c r="A35" s="18"/>
      <c r="B35" s="19" t="n">
        <v>24</v>
      </c>
      <c r="C35" s="1" t="s">
        <v>284</v>
      </c>
      <c r="D35" s="1" t="s">
        <v>285</v>
      </c>
      <c r="E35" s="22" t="s">
        <v>39</v>
      </c>
      <c r="F35" s="1" t="s">
        <v>234</v>
      </c>
    </row>
    <row r="36" customFormat="false" ht="14.25" hidden="false" customHeight="true" outlineLevel="0" collapsed="false">
      <c r="A36" s="18"/>
      <c r="B36" s="19" t="n">
        <v>25</v>
      </c>
      <c r="C36" s="1" t="s">
        <v>286</v>
      </c>
      <c r="D36" s="1" t="s">
        <v>287</v>
      </c>
      <c r="E36" s="22" t="s">
        <v>39</v>
      </c>
      <c r="F36" s="1" t="s">
        <v>234</v>
      </c>
    </row>
    <row r="37" customFormat="false" ht="13.5" hidden="false" customHeight="true" outlineLevel="0" collapsed="false">
      <c r="A37" s="24"/>
      <c r="B37" s="24"/>
      <c r="C37" s="24"/>
      <c r="D37" s="24"/>
      <c r="E37" s="24"/>
      <c r="F37" s="24"/>
    </row>
    <row r="38" customFormat="false" ht="14.25" hidden="false" customHeight="true" outlineLevel="0" collapsed="false">
      <c r="A38" s="18" t="s">
        <v>145</v>
      </c>
      <c r="B38" s="19" t="n">
        <v>1</v>
      </c>
      <c r="C38" s="1" t="s">
        <v>288</v>
      </c>
      <c r="D38" s="1" t="s">
        <v>289</v>
      </c>
      <c r="E38" s="22" t="s">
        <v>39</v>
      </c>
      <c r="F38" s="1" t="s">
        <v>234</v>
      </c>
    </row>
    <row r="39" customFormat="false" ht="14.25" hidden="false" customHeight="true" outlineLevel="0" collapsed="false">
      <c r="A39" s="18"/>
      <c r="B39" s="19" t="n">
        <v>2</v>
      </c>
      <c r="C39" s="1" t="s">
        <v>290</v>
      </c>
      <c r="D39" s="1" t="s">
        <v>291</v>
      </c>
      <c r="E39" s="22" t="s">
        <v>39</v>
      </c>
      <c r="F39" s="1" t="s">
        <v>234</v>
      </c>
    </row>
    <row r="40" customFormat="false" ht="14.25" hidden="false" customHeight="true" outlineLevel="0" collapsed="false">
      <c r="A40" s="18"/>
      <c r="B40" s="19" t="n">
        <v>3</v>
      </c>
      <c r="C40" s="1" t="s">
        <v>292</v>
      </c>
      <c r="D40" s="1" t="s">
        <v>293</v>
      </c>
      <c r="E40" s="22" t="s">
        <v>39</v>
      </c>
      <c r="F40" s="1" t="s">
        <v>234</v>
      </c>
    </row>
    <row r="41" customFormat="false" ht="273.75" hidden="false" customHeight="true" outlineLevel="0" collapsed="false">
      <c r="A41" s="18"/>
      <c r="B41" s="19" t="n">
        <v>4</v>
      </c>
      <c r="C41" s="20" t="s">
        <v>294</v>
      </c>
      <c r="D41" s="21" t="s">
        <v>295</v>
      </c>
      <c r="E41" s="22" t="s">
        <v>39</v>
      </c>
      <c r="F41" s="1" t="s">
        <v>234</v>
      </c>
    </row>
    <row r="42" customFormat="false" ht="27" hidden="false" customHeight="true" outlineLevel="0" collapsed="false">
      <c r="A42" s="18"/>
      <c r="B42" s="19" t="n">
        <v>5</v>
      </c>
      <c r="C42" s="20" t="s">
        <v>296</v>
      </c>
      <c r="D42" s="21" t="s">
        <v>297</v>
      </c>
      <c r="E42" s="22" t="s">
        <v>39</v>
      </c>
      <c r="F42" s="1" t="s">
        <v>234</v>
      </c>
    </row>
    <row r="43" customFormat="false" ht="54.75" hidden="false" customHeight="true" outlineLevel="0" collapsed="false">
      <c r="A43" s="18"/>
      <c r="B43" s="19" t="n">
        <v>6</v>
      </c>
      <c r="C43" s="20" t="s">
        <v>298</v>
      </c>
      <c r="D43" s="21" t="s">
        <v>299</v>
      </c>
      <c r="E43" s="22" t="s">
        <v>39</v>
      </c>
      <c r="F43" s="1" t="s">
        <v>234</v>
      </c>
    </row>
    <row r="44" customFormat="false" ht="54.75" hidden="false" customHeight="true" outlineLevel="0" collapsed="false">
      <c r="A44" s="18"/>
      <c r="B44" s="19" t="n">
        <v>7</v>
      </c>
      <c r="C44" s="20" t="s">
        <v>300</v>
      </c>
      <c r="D44" s="21" t="s">
        <v>301</v>
      </c>
      <c r="E44" s="22" t="s">
        <v>39</v>
      </c>
      <c r="F44" s="1" t="s">
        <v>234</v>
      </c>
    </row>
    <row r="45" customFormat="false" ht="14.25" hidden="false" customHeight="true" outlineLevel="0" collapsed="false">
      <c r="A45" s="18"/>
      <c r="B45" s="19" t="n">
        <v>8</v>
      </c>
      <c r="C45" s="1" t="s">
        <v>302</v>
      </c>
      <c r="D45" s="1" t="s">
        <v>303</v>
      </c>
      <c r="E45" s="22" t="s">
        <v>39</v>
      </c>
      <c r="F45" s="1" t="s">
        <v>234</v>
      </c>
    </row>
    <row r="46" customFormat="false" ht="27" hidden="false" customHeight="true" outlineLevel="0" collapsed="false">
      <c r="A46" s="18"/>
      <c r="B46" s="19" t="n">
        <v>9</v>
      </c>
      <c r="C46" s="20" t="s">
        <v>304</v>
      </c>
      <c r="D46" s="21" t="s">
        <v>305</v>
      </c>
      <c r="E46" s="22" t="s">
        <v>39</v>
      </c>
      <c r="F46" s="1" t="s">
        <v>234</v>
      </c>
    </row>
    <row r="47" customFormat="false" ht="14.25" hidden="false" customHeight="true" outlineLevel="0" collapsed="false">
      <c r="A47" s="18"/>
      <c r="B47" s="19" t="n">
        <v>10</v>
      </c>
      <c r="C47" s="1" t="s">
        <v>306</v>
      </c>
      <c r="D47" s="1" t="s">
        <v>307</v>
      </c>
      <c r="E47" s="22" t="s">
        <v>39</v>
      </c>
      <c r="F47" s="1" t="s">
        <v>234</v>
      </c>
    </row>
    <row r="48" customFormat="false" ht="27" hidden="false" customHeight="true" outlineLevel="0" collapsed="false">
      <c r="A48" s="18"/>
      <c r="B48" s="19" t="n">
        <v>11</v>
      </c>
      <c r="C48" s="20" t="s">
        <v>308</v>
      </c>
      <c r="D48" s="21" t="s">
        <v>309</v>
      </c>
      <c r="E48" s="22" t="s">
        <v>39</v>
      </c>
      <c r="F48" s="1" t="s">
        <v>234</v>
      </c>
    </row>
    <row r="49" customFormat="false" ht="14.25" hidden="false" customHeight="true" outlineLevel="0" collapsed="false">
      <c r="A49" s="18"/>
      <c r="B49" s="19" t="n">
        <v>12</v>
      </c>
      <c r="C49" s="20" t="s">
        <v>310</v>
      </c>
      <c r="D49" s="21" t="s">
        <v>311</v>
      </c>
      <c r="E49" s="22" t="s">
        <v>39</v>
      </c>
      <c r="F49" s="1" t="s">
        <v>234</v>
      </c>
    </row>
    <row r="50" customFormat="false" ht="27" hidden="false" customHeight="true" outlineLevel="0" collapsed="false">
      <c r="A50" s="18"/>
      <c r="B50" s="19" t="n">
        <v>13</v>
      </c>
      <c r="C50" s="21" t="s">
        <v>312</v>
      </c>
      <c r="D50" s="21" t="s">
        <v>313</v>
      </c>
      <c r="E50" s="22" t="s">
        <v>39</v>
      </c>
      <c r="F50" s="1" t="s">
        <v>234</v>
      </c>
    </row>
    <row r="51" customFormat="false" ht="14.25" hidden="false" customHeight="true" outlineLevel="0" collapsed="false">
      <c r="A51" s="18"/>
      <c r="B51" s="19" t="n">
        <v>14</v>
      </c>
      <c r="C51" s="20" t="s">
        <v>314</v>
      </c>
      <c r="D51" s="21" t="s">
        <v>315</v>
      </c>
      <c r="E51" s="22" t="s">
        <v>39</v>
      </c>
      <c r="F51" s="1" t="s">
        <v>234</v>
      </c>
    </row>
    <row r="52" customFormat="false" ht="13.5" hidden="false" customHeight="true" outlineLevel="0" collapsed="false">
      <c r="A52" s="24"/>
      <c r="B52" s="24"/>
      <c r="C52" s="24"/>
      <c r="D52" s="24"/>
      <c r="E52" s="24"/>
      <c r="F52" s="24"/>
    </row>
    <row r="53" customFormat="false" ht="213" hidden="false" customHeight="true" outlineLevel="0" collapsed="false">
      <c r="A53" s="19" t="s">
        <v>185</v>
      </c>
      <c r="B53" s="19" t="n">
        <v>1</v>
      </c>
      <c r="C53" s="20" t="s">
        <v>316</v>
      </c>
      <c r="D53" s="21" t="s">
        <v>317</v>
      </c>
      <c r="E53" s="22" t="s">
        <v>39</v>
      </c>
      <c r="F53" s="1" t="s">
        <v>234</v>
      </c>
      <c r="J53" s="1" t="s">
        <v>318</v>
      </c>
    </row>
    <row r="54" customFormat="false" ht="13.5" hidden="false" customHeight="true" outlineLevel="0" collapsed="false">
      <c r="A54" s="24"/>
      <c r="B54" s="24"/>
      <c r="C54" s="24"/>
      <c r="D54" s="24"/>
      <c r="E54" s="24"/>
      <c r="F54" s="24"/>
    </row>
    <row r="55" customFormat="false" ht="14.25" hidden="false" customHeight="true" outlineLevel="0" collapsed="false">
      <c r="A55" s="18" t="s">
        <v>319</v>
      </c>
      <c r="B55" s="19" t="n">
        <v>1</v>
      </c>
      <c r="C55" s="1" t="s">
        <v>320</v>
      </c>
      <c r="D55" s="1" t="s">
        <v>321</v>
      </c>
      <c r="E55" s="22" t="s">
        <v>39</v>
      </c>
      <c r="F55" s="1" t="s">
        <v>234</v>
      </c>
    </row>
    <row r="56" customFormat="false" ht="14.25" hidden="false" customHeight="true" outlineLevel="0" collapsed="false">
      <c r="A56" s="18"/>
      <c r="B56" s="19" t="n">
        <v>2</v>
      </c>
      <c r="C56" s="1" t="s">
        <v>258</v>
      </c>
      <c r="D56" s="1" t="s">
        <v>259</v>
      </c>
      <c r="E56" s="22" t="s">
        <v>39</v>
      </c>
      <c r="F56" s="1" t="s">
        <v>234</v>
      </c>
    </row>
    <row r="57" customFormat="false" ht="69" hidden="false" customHeight="true" outlineLevel="0" collapsed="false">
      <c r="A57" s="18"/>
      <c r="B57" s="19" t="n">
        <v>3</v>
      </c>
      <c r="C57" s="20" t="s">
        <v>322</v>
      </c>
      <c r="D57" s="21" t="s">
        <v>323</v>
      </c>
      <c r="E57" s="22" t="s">
        <v>39</v>
      </c>
      <c r="F57" s="1" t="s">
        <v>234</v>
      </c>
    </row>
    <row r="58" customFormat="false" ht="82.5" hidden="false" customHeight="true" outlineLevel="0" collapsed="false">
      <c r="A58" s="18"/>
      <c r="B58" s="19" t="n">
        <v>4</v>
      </c>
      <c r="C58" s="20" t="s">
        <v>324</v>
      </c>
      <c r="D58" s="21" t="s">
        <v>325</v>
      </c>
      <c r="E58" s="22" t="s">
        <v>39</v>
      </c>
      <c r="F58" s="1" t="s">
        <v>234</v>
      </c>
    </row>
    <row r="59" customFormat="false" ht="41.25" hidden="false" customHeight="true" outlineLevel="0" collapsed="false">
      <c r="A59" s="18"/>
      <c r="B59" s="19" t="n">
        <v>5</v>
      </c>
      <c r="C59" s="23" t="s">
        <v>326</v>
      </c>
      <c r="D59" s="21" t="s">
        <v>327</v>
      </c>
      <c r="E59" s="22" t="s">
        <v>39</v>
      </c>
      <c r="F59" s="1" t="s">
        <v>234</v>
      </c>
    </row>
    <row r="60" customFormat="false" ht="13.5" hidden="false" customHeight="true" outlineLevel="0" collapsed="false">
      <c r="A60" s="24"/>
      <c r="B60" s="24"/>
      <c r="C60" s="24"/>
      <c r="D60" s="24"/>
      <c r="E60" s="24"/>
      <c r="F60" s="24"/>
    </row>
    <row r="61" customFormat="false" ht="27" hidden="false" customHeight="true" outlineLevel="0" collapsed="false">
      <c r="A61" s="18" t="s">
        <v>328</v>
      </c>
      <c r="B61" s="19" t="n">
        <v>1</v>
      </c>
      <c r="C61" s="20" t="s">
        <v>329</v>
      </c>
      <c r="D61" s="21" t="s">
        <v>330</v>
      </c>
      <c r="E61" s="22" t="s">
        <v>39</v>
      </c>
      <c r="F61" s="1" t="s">
        <v>234</v>
      </c>
    </row>
    <row r="62" customFormat="false" ht="27" hidden="false" customHeight="true" outlineLevel="0" collapsed="false">
      <c r="A62" s="18"/>
      <c r="B62" s="19" t="n">
        <v>2</v>
      </c>
      <c r="C62" s="21" t="s">
        <v>331</v>
      </c>
      <c r="D62" s="21" t="s">
        <v>332</v>
      </c>
      <c r="E62" s="22" t="s">
        <v>39</v>
      </c>
      <c r="F62" s="1" t="s">
        <v>234</v>
      </c>
    </row>
    <row r="63" customFormat="false" ht="14.25" hidden="false" customHeight="true" outlineLevel="0" collapsed="false">
      <c r="A63" s="18"/>
      <c r="B63" s="19" t="n">
        <v>3</v>
      </c>
      <c r="C63" s="1" t="s">
        <v>333</v>
      </c>
      <c r="D63" s="1" t="s">
        <v>334</v>
      </c>
      <c r="E63" s="22" t="s">
        <v>39</v>
      </c>
      <c r="F63" s="1" t="s">
        <v>234</v>
      </c>
    </row>
    <row r="64" customFormat="false" ht="27" hidden="false" customHeight="true" outlineLevel="0" collapsed="false">
      <c r="A64" s="18"/>
      <c r="B64" s="19" t="n">
        <v>4</v>
      </c>
      <c r="C64" s="21" t="s">
        <v>335</v>
      </c>
      <c r="D64" s="20" t="s">
        <v>336</v>
      </c>
      <c r="E64" s="22" t="s">
        <v>39</v>
      </c>
      <c r="F64" s="1" t="s">
        <v>234</v>
      </c>
    </row>
    <row r="65" customFormat="false" ht="69" hidden="false" customHeight="true" outlineLevel="0" collapsed="false">
      <c r="A65" s="18"/>
      <c r="B65" s="19" t="n">
        <v>5</v>
      </c>
      <c r="C65" s="20" t="s">
        <v>337</v>
      </c>
      <c r="D65" s="21" t="s">
        <v>338</v>
      </c>
      <c r="E65" s="22" t="s">
        <v>39</v>
      </c>
      <c r="F65" s="1" t="s">
        <v>234</v>
      </c>
    </row>
    <row r="66" customFormat="false" ht="27" hidden="false" customHeight="true" outlineLevel="0" collapsed="false">
      <c r="A66" s="18"/>
      <c r="B66" s="19" t="n">
        <v>6</v>
      </c>
      <c r="C66" s="20" t="s">
        <v>339</v>
      </c>
      <c r="D66" s="21" t="s">
        <v>340</v>
      </c>
      <c r="E66" s="22" t="s">
        <v>39</v>
      </c>
      <c r="F66" s="1" t="s">
        <v>234</v>
      </c>
    </row>
    <row r="67" customFormat="false" ht="27" hidden="false" customHeight="true" outlineLevel="0" collapsed="false">
      <c r="A67" s="18"/>
      <c r="B67" s="19" t="n">
        <v>7</v>
      </c>
      <c r="C67" s="20" t="s">
        <v>341</v>
      </c>
      <c r="D67" s="21" t="s">
        <v>342</v>
      </c>
      <c r="E67" s="22" t="s">
        <v>39</v>
      </c>
      <c r="F67" s="1" t="s">
        <v>234</v>
      </c>
    </row>
    <row r="68" customFormat="false" ht="27" hidden="false" customHeight="true" outlineLevel="0" collapsed="false">
      <c r="A68" s="18"/>
      <c r="B68" s="19" t="n">
        <v>8</v>
      </c>
      <c r="C68" s="20" t="s">
        <v>343</v>
      </c>
      <c r="D68" s="21" t="s">
        <v>344</v>
      </c>
      <c r="E68" s="22" t="s">
        <v>39</v>
      </c>
      <c r="F68" s="1" t="s">
        <v>234</v>
      </c>
    </row>
    <row r="69" customFormat="false" ht="27" hidden="false" customHeight="true" outlineLevel="0" collapsed="false">
      <c r="A69" s="18"/>
      <c r="B69" s="19" t="n">
        <v>9</v>
      </c>
      <c r="C69" s="21" t="s">
        <v>345</v>
      </c>
      <c r="D69" s="21" t="s">
        <v>346</v>
      </c>
      <c r="E69" s="22" t="s">
        <v>39</v>
      </c>
      <c r="F69" s="1" t="s">
        <v>234</v>
      </c>
    </row>
    <row r="70" customFormat="false" ht="27" hidden="false" customHeight="true" outlineLevel="0" collapsed="false">
      <c r="A70" s="18"/>
      <c r="B70" s="19" t="n">
        <v>10</v>
      </c>
      <c r="C70" s="20" t="s">
        <v>347</v>
      </c>
      <c r="D70" s="21" t="s">
        <v>348</v>
      </c>
      <c r="E70" s="22" t="s">
        <v>39</v>
      </c>
      <c r="F70" s="1" t="s">
        <v>234</v>
      </c>
    </row>
    <row r="71" customFormat="false" ht="13.5" hidden="false" customHeight="true" outlineLevel="0" collapsed="false">
      <c r="A71" s="24"/>
      <c r="B71" s="24"/>
      <c r="C71" s="24"/>
      <c r="D71" s="24"/>
      <c r="E71" s="24"/>
      <c r="F71" s="24"/>
    </row>
    <row r="72" customFormat="false" ht="14.25" hidden="false" customHeight="true" outlineLevel="0" collapsed="false">
      <c r="A72" s="18" t="s">
        <v>216</v>
      </c>
      <c r="B72" s="19" t="n">
        <v>1</v>
      </c>
      <c r="C72" s="1" t="s">
        <v>217</v>
      </c>
      <c r="D72" s="1" t="s">
        <v>218</v>
      </c>
      <c r="E72" s="22" t="s">
        <v>39</v>
      </c>
      <c r="F72" s="1" t="s">
        <v>234</v>
      </c>
    </row>
    <row r="73" customFormat="false" ht="14.25" hidden="false" customHeight="true" outlineLevel="0" collapsed="false">
      <c r="A73" s="18"/>
      <c r="B73" s="19" t="n">
        <v>2</v>
      </c>
      <c r="C73" s="1" t="s">
        <v>219</v>
      </c>
      <c r="D73" s="1" t="s">
        <v>220</v>
      </c>
      <c r="E73" s="22" t="s">
        <v>39</v>
      </c>
      <c r="F73" s="1" t="s">
        <v>234</v>
      </c>
    </row>
    <row r="74" customFormat="false" ht="27" hidden="false" customHeight="true" outlineLevel="0" collapsed="false">
      <c r="A74" s="18"/>
      <c r="B74" s="19" t="n">
        <v>3</v>
      </c>
      <c r="C74" s="21" t="s">
        <v>221</v>
      </c>
      <c r="D74" s="21" t="s">
        <v>222</v>
      </c>
      <c r="E74" s="22" t="s">
        <v>39</v>
      </c>
      <c r="F74" s="1" t="s">
        <v>234</v>
      </c>
    </row>
    <row r="75" customFormat="false" ht="27" hidden="false" customHeight="true" outlineLevel="0" collapsed="false">
      <c r="A75" s="18"/>
      <c r="B75" s="19" t="n">
        <v>4</v>
      </c>
      <c r="C75" s="20" t="s">
        <v>223</v>
      </c>
      <c r="D75" s="21" t="s">
        <v>224</v>
      </c>
      <c r="E75" s="22" t="s">
        <v>39</v>
      </c>
      <c r="F75" s="1" t="s">
        <v>234</v>
      </c>
    </row>
    <row r="76" customFormat="false" ht="27" hidden="false" customHeight="true" outlineLevel="0" collapsed="false">
      <c r="A76" s="18"/>
      <c r="B76" s="19" t="n">
        <v>5</v>
      </c>
      <c r="C76" s="20" t="s">
        <v>225</v>
      </c>
      <c r="D76" s="21" t="s">
        <v>226</v>
      </c>
      <c r="E76" s="22" t="s">
        <v>39</v>
      </c>
      <c r="F76" s="1" t="s">
        <v>234</v>
      </c>
    </row>
    <row r="77" customFormat="false" ht="27" hidden="false" customHeight="true" outlineLevel="0" collapsed="false">
      <c r="A77" s="18"/>
      <c r="B77" s="19" t="n">
        <v>6</v>
      </c>
      <c r="C77" s="20" t="s">
        <v>227</v>
      </c>
      <c r="D77" s="21" t="s">
        <v>228</v>
      </c>
      <c r="E77" s="22" t="s">
        <v>39</v>
      </c>
      <c r="F77" s="1" t="s">
        <v>234</v>
      </c>
    </row>
    <row r="78" customFormat="false" ht="27" hidden="false" customHeight="true" outlineLevel="0" collapsed="false">
      <c r="A78" s="18"/>
      <c r="B78" s="19" t="n">
        <v>7</v>
      </c>
      <c r="C78" s="1" t="s">
        <v>229</v>
      </c>
      <c r="D78" s="21" t="s">
        <v>230</v>
      </c>
      <c r="E78" s="22" t="s">
        <v>39</v>
      </c>
      <c r="F78" s="1" t="s">
        <v>234</v>
      </c>
    </row>
  </sheetData>
  <autoFilter ref="A1:G78"/>
  <mergeCells count="6">
    <mergeCell ref="A2:A10"/>
    <mergeCell ref="A12:A36"/>
    <mergeCell ref="A38:A51"/>
    <mergeCell ref="A55:A59"/>
    <mergeCell ref="A61:A70"/>
    <mergeCell ref="A72:A78"/>
  </mergeCells>
  <conditionalFormatting sqref="E72:E78">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61:E70">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conditionalFormatting sqref="E55:E59">
    <cfRule type="cellIs" priority="12" operator="equal" aboveAverage="0" equalAverage="0" bottom="0" percent="0" rank="0" text="" dxfId="8">
      <formula>"Blocked"</formula>
    </cfRule>
    <cfRule type="cellIs" priority="13" operator="equal" aboveAverage="0" equalAverage="0" bottom="0" percent="0" rank="0" text="" dxfId="9">
      <formula>"Skipped"</formula>
    </cfRule>
    <cfRule type="cellIs" priority="14" operator="equal" aboveAverage="0" equalAverage="0" bottom="0" percent="0" rank="0" text="" dxfId="10">
      <formula>"Not Tested"</formula>
    </cfRule>
    <cfRule type="cellIs" priority="15" operator="equal" aboveAverage="0" equalAverage="0" bottom="0" percent="0" rank="0" text="" dxfId="11">
      <formula>"Passed"</formula>
    </cfRule>
    <cfRule type="cellIs" priority="16" operator="equal" aboveAverage="0" equalAverage="0" bottom="0" percent="0" rank="0" text="" dxfId="12">
      <formula>"Failed"</formula>
    </cfRule>
  </conditionalFormatting>
  <conditionalFormatting sqref="E53">
    <cfRule type="cellIs" priority="17" operator="equal" aboveAverage="0" equalAverage="0" bottom="0" percent="0" rank="0" text="" dxfId="8">
      <formula>"Blocked"</formula>
    </cfRule>
    <cfRule type="cellIs" priority="18" operator="equal" aboveAverage="0" equalAverage="0" bottom="0" percent="0" rank="0" text="" dxfId="9">
      <formula>"Skipped"</formula>
    </cfRule>
    <cfRule type="cellIs" priority="19" operator="equal" aboveAverage="0" equalAverage="0" bottom="0" percent="0" rank="0" text="" dxfId="10">
      <formula>"Not Tested"</formula>
    </cfRule>
    <cfRule type="cellIs" priority="20" operator="equal" aboveAverage="0" equalAverage="0" bottom="0" percent="0" rank="0" text="" dxfId="11">
      <formula>"Passed"</formula>
    </cfRule>
    <cfRule type="cellIs" priority="21" operator="equal" aboveAverage="0" equalAverage="0" bottom="0" percent="0" rank="0" text="" dxfId="12">
      <formula>"Failed"</formula>
    </cfRule>
  </conditionalFormatting>
  <conditionalFormatting sqref="E38:E51">
    <cfRule type="cellIs" priority="22" operator="equal" aboveAverage="0" equalAverage="0" bottom="0" percent="0" rank="0" text="" dxfId="8">
      <formula>"Blocked"</formula>
    </cfRule>
    <cfRule type="cellIs" priority="23" operator="equal" aboveAverage="0" equalAverage="0" bottom="0" percent="0" rank="0" text="" dxfId="9">
      <formula>"Skipped"</formula>
    </cfRule>
    <cfRule type="cellIs" priority="24" operator="equal" aboveAverage="0" equalAverage="0" bottom="0" percent="0" rank="0" text="" dxfId="10">
      <formula>"Not Tested"</formula>
    </cfRule>
    <cfRule type="cellIs" priority="25" operator="equal" aboveAverage="0" equalAverage="0" bottom="0" percent="0" rank="0" text="" dxfId="11">
      <formula>"Passed"</formula>
    </cfRule>
    <cfRule type="cellIs" priority="26" operator="equal" aboveAverage="0" equalAverage="0" bottom="0" percent="0" rank="0" text="" dxfId="12">
      <formula>"Failed"</formula>
    </cfRule>
  </conditionalFormatting>
  <conditionalFormatting sqref="E2:E10 E12:E36">
    <cfRule type="cellIs" priority="27" operator="equal" aboveAverage="0" equalAverage="0" bottom="0" percent="0" rank="0" text="" dxfId="8">
      <formula>"Blocked"</formula>
    </cfRule>
    <cfRule type="cellIs" priority="28" operator="equal" aboveAverage="0" equalAverage="0" bottom="0" percent="0" rank="0" text="" dxfId="9">
      <formula>"Skipped"</formula>
    </cfRule>
    <cfRule type="cellIs" priority="29" operator="equal" aboveAverage="0" equalAverage="0" bottom="0" percent="0" rank="0" text="" dxfId="10">
      <formula>"Not Tested"</formula>
    </cfRule>
    <cfRule type="cellIs" priority="30" operator="equal" aboveAverage="0" equalAverage="0" bottom="0" percent="0" rank="0" text="" dxfId="11">
      <formula>"Passed"</formula>
    </cfRule>
    <cfRule type="cellIs" priority="31"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78"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1" activeCellId="0" sqref="E1"/>
    </sheetView>
  </sheetViews>
  <sheetFormatPr defaultColWidth="8.5390625" defaultRowHeight="13.5" customHeight="false" zeroHeight="false" outlineLevelRow="0" outlineLevelCol="0"/>
  <cols>
    <col collapsed="false" customWidth="true" hidden="false" outlineLevel="0" max="1" min="1" style="1" width="22.4"/>
    <col collapsed="false" customWidth="true" hidden="false" outlineLevel="0" max="2" min="2" style="1" width="26.9"/>
    <col collapsed="false" customWidth="true" hidden="false" outlineLevel="0" max="3" min="3" style="1" width="35.6"/>
    <col collapsed="false" customWidth="true" hidden="false" outlineLevel="0" max="4" min="4" style="1" width="47.1"/>
    <col collapsed="false" customWidth="true" hidden="false" outlineLevel="0" max="5" min="5" style="1" width="28.3"/>
    <col collapsed="false" customWidth="true" hidden="false" outlineLevel="0" max="6" min="6" style="1" width="27.9"/>
    <col collapsed="false" customWidth="true" hidden="false" outlineLevel="0" max="7" min="7" style="1" width="12"/>
  </cols>
  <sheetData>
    <row r="1" customFormat="false" ht="13.5" hidden="false" customHeight="true" outlineLevel="0" collapsed="false">
      <c r="A1" s="15" t="s">
        <v>33</v>
      </c>
      <c r="B1" s="16" t="s">
        <v>65</v>
      </c>
      <c r="C1" s="16" t="s">
        <v>66</v>
      </c>
      <c r="D1" s="16" t="s">
        <v>67</v>
      </c>
      <c r="E1" s="16" t="s">
        <v>68</v>
      </c>
      <c r="F1" s="16" t="s">
        <v>69</v>
      </c>
      <c r="G1" s="17" t="s">
        <v>70</v>
      </c>
    </row>
    <row r="2" customFormat="false" ht="14.25" hidden="false" customHeight="true" outlineLevel="0" collapsed="false">
      <c r="A2" s="18" t="s">
        <v>71</v>
      </c>
      <c r="B2" s="19" t="n">
        <v>1</v>
      </c>
      <c r="C2" s="20" t="s">
        <v>349</v>
      </c>
      <c r="D2" s="21" t="s">
        <v>350</v>
      </c>
      <c r="E2" s="22" t="s">
        <v>38</v>
      </c>
    </row>
    <row r="3" customFormat="false" ht="14.25" hidden="false" customHeight="true" outlineLevel="0" collapsed="false">
      <c r="A3" s="18"/>
      <c r="B3" s="19" t="n">
        <v>2</v>
      </c>
      <c r="C3" s="1" t="s">
        <v>351</v>
      </c>
      <c r="D3" s="1" t="s">
        <v>75</v>
      </c>
      <c r="E3" s="22" t="s">
        <v>38</v>
      </c>
    </row>
    <row r="4" customFormat="false" ht="54.75" hidden="false" customHeight="true" outlineLevel="0" collapsed="false">
      <c r="A4" s="18"/>
      <c r="B4" s="19" t="n">
        <v>3</v>
      </c>
      <c r="C4" s="20" t="s">
        <v>76</v>
      </c>
      <c r="D4" s="23" t="s">
        <v>352</v>
      </c>
      <c r="E4" s="22" t="s">
        <v>38</v>
      </c>
    </row>
    <row r="5" customFormat="false" ht="57.75" hidden="false" customHeight="true" outlineLevel="0" collapsed="false">
      <c r="A5" s="18"/>
      <c r="B5" s="19" t="n">
        <v>4</v>
      </c>
      <c r="C5" s="20" t="s">
        <v>78</v>
      </c>
      <c r="D5" s="21" t="s">
        <v>79</v>
      </c>
      <c r="E5" s="22" t="s">
        <v>38</v>
      </c>
    </row>
    <row r="6" customFormat="false" ht="72.75" hidden="false" customHeight="true" outlineLevel="0" collapsed="false">
      <c r="A6" s="18"/>
      <c r="B6" s="19" t="n">
        <v>5</v>
      </c>
      <c r="C6" s="20" t="s">
        <v>80</v>
      </c>
      <c r="D6" s="21" t="s">
        <v>81</v>
      </c>
      <c r="E6" s="22" t="s">
        <v>38</v>
      </c>
    </row>
    <row r="7" customFormat="false" ht="72.75" hidden="false" customHeight="true" outlineLevel="0" collapsed="false">
      <c r="A7" s="18"/>
      <c r="B7" s="19" t="n">
        <v>6</v>
      </c>
      <c r="C7" s="20" t="s">
        <v>82</v>
      </c>
      <c r="D7" s="21" t="s">
        <v>83</v>
      </c>
      <c r="E7" s="22" t="s">
        <v>38</v>
      </c>
    </row>
    <row r="8" customFormat="false" ht="43.5" hidden="false" customHeight="true" outlineLevel="0" collapsed="false">
      <c r="A8" s="18"/>
      <c r="B8" s="19" t="n">
        <v>7</v>
      </c>
      <c r="C8" s="20" t="s">
        <v>84</v>
      </c>
      <c r="D8" s="21" t="s">
        <v>85</v>
      </c>
      <c r="E8" s="22" t="s">
        <v>38</v>
      </c>
    </row>
    <row r="9" customFormat="false" ht="14.25" hidden="false" customHeight="true" outlineLevel="0" collapsed="false">
      <c r="A9" s="18"/>
      <c r="B9" s="19" t="n">
        <v>8</v>
      </c>
      <c r="C9" s="1" t="s">
        <v>86</v>
      </c>
      <c r="D9" s="1" t="s">
        <v>87</v>
      </c>
      <c r="E9" s="22" t="s">
        <v>38</v>
      </c>
    </row>
    <row r="10" customFormat="false" ht="14.25" hidden="false" customHeight="true" outlineLevel="0" collapsed="false">
      <c r="A10" s="18"/>
      <c r="B10" s="19" t="n">
        <v>9</v>
      </c>
      <c r="C10" s="1" t="s">
        <v>236</v>
      </c>
      <c r="D10" s="1" t="s">
        <v>237</v>
      </c>
      <c r="E10" s="22" t="s">
        <v>38</v>
      </c>
    </row>
    <row r="11" customFormat="false" ht="13.5" hidden="false" customHeight="true" outlineLevel="0" collapsed="false">
      <c r="A11" s="24"/>
      <c r="B11" s="24"/>
      <c r="C11" s="24"/>
      <c r="D11" s="24"/>
      <c r="E11" s="24"/>
      <c r="F11" s="24"/>
    </row>
    <row r="12" customFormat="false" ht="14.25" hidden="false" customHeight="true" outlineLevel="0" collapsed="false">
      <c r="A12" s="18" t="s">
        <v>353</v>
      </c>
      <c r="B12" s="19" t="n">
        <v>1</v>
      </c>
      <c r="C12" s="1" t="s">
        <v>354</v>
      </c>
      <c r="D12" s="1" t="s">
        <v>355</v>
      </c>
      <c r="E12" s="22" t="s">
        <v>38</v>
      </c>
    </row>
    <row r="13" customFormat="false" ht="14.25" hidden="false" customHeight="true" outlineLevel="0" collapsed="false">
      <c r="A13" s="18"/>
      <c r="B13" s="19" t="n">
        <v>2</v>
      </c>
      <c r="C13" s="1" t="s">
        <v>356</v>
      </c>
      <c r="D13" s="1" t="s">
        <v>357</v>
      </c>
      <c r="E13" s="22" t="s">
        <v>38</v>
      </c>
    </row>
    <row r="14" customFormat="false" ht="14.25" hidden="false" customHeight="true" outlineLevel="0" collapsed="false">
      <c r="A14" s="18"/>
      <c r="B14" s="19" t="n">
        <v>3</v>
      </c>
      <c r="C14" s="1" t="s">
        <v>95</v>
      </c>
      <c r="D14" s="1" t="s">
        <v>358</v>
      </c>
      <c r="E14" s="22" t="s">
        <v>38</v>
      </c>
    </row>
    <row r="15" customFormat="false" ht="27" hidden="false" customHeight="true" outlineLevel="0" collapsed="false">
      <c r="A15" s="18"/>
      <c r="B15" s="19" t="n">
        <v>4</v>
      </c>
      <c r="C15" s="20" t="s">
        <v>359</v>
      </c>
      <c r="D15" s="21" t="s">
        <v>360</v>
      </c>
      <c r="E15" s="22" t="s">
        <v>38</v>
      </c>
    </row>
    <row r="16" customFormat="false" ht="27" hidden="false" customHeight="true" outlineLevel="0" collapsed="false">
      <c r="A16" s="18"/>
      <c r="B16" s="19" t="n">
        <v>5</v>
      </c>
      <c r="C16" s="20" t="s">
        <v>361</v>
      </c>
      <c r="D16" s="21" t="s">
        <v>362</v>
      </c>
      <c r="E16" s="22" t="s">
        <v>38</v>
      </c>
    </row>
    <row r="17" customFormat="false" ht="13.5" hidden="false" customHeight="true" outlineLevel="0" collapsed="false">
      <c r="A17" s="24"/>
      <c r="B17" s="24"/>
      <c r="C17" s="24"/>
      <c r="D17" s="24"/>
      <c r="E17" s="24"/>
      <c r="F17" s="24"/>
    </row>
    <row r="18" customFormat="false" ht="41.25" hidden="false" customHeight="true" outlineLevel="0" collapsed="false">
      <c r="A18" s="18" t="s">
        <v>129</v>
      </c>
      <c r="B18" s="19" t="n">
        <v>1</v>
      </c>
      <c r="C18" s="20" t="s">
        <v>238</v>
      </c>
      <c r="D18" s="21" t="s">
        <v>363</v>
      </c>
      <c r="E18" s="22" t="s">
        <v>38</v>
      </c>
    </row>
    <row r="19" customFormat="false" ht="54.75" hidden="false" customHeight="true" outlineLevel="0" collapsed="false">
      <c r="A19" s="18"/>
      <c r="B19" s="19" t="n">
        <v>2</v>
      </c>
      <c r="C19" s="20" t="s">
        <v>364</v>
      </c>
      <c r="D19" s="21" t="s">
        <v>365</v>
      </c>
      <c r="E19" s="22" t="s">
        <v>38</v>
      </c>
    </row>
    <row r="20" customFormat="false" ht="27" hidden="false" customHeight="true" outlineLevel="0" collapsed="false">
      <c r="A20" s="18"/>
      <c r="B20" s="19" t="n">
        <v>3</v>
      </c>
      <c r="C20" s="21" t="s">
        <v>366</v>
      </c>
      <c r="D20" s="1" t="s">
        <v>367</v>
      </c>
      <c r="E20" s="22" t="s">
        <v>38</v>
      </c>
    </row>
    <row r="21" customFormat="false" ht="13.5" hidden="false" customHeight="true" outlineLevel="0" collapsed="false">
      <c r="A21" s="24"/>
      <c r="B21" s="24"/>
      <c r="C21" s="24"/>
      <c r="D21" s="24"/>
      <c r="E21" s="24"/>
      <c r="F21" s="24"/>
    </row>
    <row r="22" customFormat="false" ht="14.25" hidden="false" customHeight="true" outlineLevel="0" collapsed="false">
      <c r="A22" s="18" t="s">
        <v>368</v>
      </c>
      <c r="B22" s="19" t="n">
        <v>1</v>
      </c>
      <c r="C22" s="1" t="s">
        <v>235</v>
      </c>
      <c r="D22" s="1" t="s">
        <v>75</v>
      </c>
      <c r="E22" s="22" t="s">
        <v>38</v>
      </c>
    </row>
    <row r="23" customFormat="false" ht="41.25" hidden="false" customHeight="true" outlineLevel="0" collapsed="false">
      <c r="A23" s="18"/>
      <c r="B23" s="19" t="n">
        <v>2</v>
      </c>
      <c r="C23" s="20" t="s">
        <v>76</v>
      </c>
      <c r="D23" s="21" t="s">
        <v>77</v>
      </c>
      <c r="E23" s="22" t="s">
        <v>38</v>
      </c>
    </row>
    <row r="24" customFormat="false" ht="27" hidden="false" customHeight="true" outlineLevel="0" collapsed="false">
      <c r="A24" s="18"/>
      <c r="B24" s="19" t="n">
        <v>3</v>
      </c>
      <c r="C24" s="20" t="s">
        <v>78</v>
      </c>
      <c r="D24" s="21" t="s">
        <v>79</v>
      </c>
      <c r="E24" s="22" t="s">
        <v>38</v>
      </c>
    </row>
    <row r="25" customFormat="false" ht="41.25" hidden="false" customHeight="true" outlineLevel="0" collapsed="false">
      <c r="A25" s="18"/>
      <c r="B25" s="19" t="n">
        <v>4</v>
      </c>
      <c r="C25" s="20" t="s">
        <v>80</v>
      </c>
      <c r="D25" s="21" t="s">
        <v>81</v>
      </c>
      <c r="E25" s="22" t="s">
        <v>38</v>
      </c>
    </row>
    <row r="26" customFormat="false" ht="41.25" hidden="false" customHeight="true" outlineLevel="0" collapsed="false">
      <c r="A26" s="18"/>
      <c r="B26" s="19" t="n">
        <v>5</v>
      </c>
      <c r="C26" s="20" t="s">
        <v>82</v>
      </c>
      <c r="D26" s="21" t="s">
        <v>83</v>
      </c>
      <c r="E26" s="22" t="s">
        <v>38</v>
      </c>
    </row>
    <row r="27" customFormat="false" ht="27" hidden="false" customHeight="true" outlineLevel="0" collapsed="false">
      <c r="A27" s="18"/>
      <c r="B27" s="19" t="n">
        <v>6</v>
      </c>
      <c r="C27" s="20" t="s">
        <v>84</v>
      </c>
      <c r="D27" s="21" t="s">
        <v>85</v>
      </c>
      <c r="E27" s="22" t="s">
        <v>38</v>
      </c>
    </row>
    <row r="28" customFormat="false" ht="14.25" hidden="false" customHeight="true" outlineLevel="0" collapsed="false">
      <c r="A28" s="18"/>
      <c r="B28" s="19" t="n">
        <v>7</v>
      </c>
      <c r="C28" s="1" t="s">
        <v>86</v>
      </c>
      <c r="D28" s="1" t="s">
        <v>87</v>
      </c>
      <c r="E28" s="22" t="s">
        <v>38</v>
      </c>
    </row>
    <row r="29" customFormat="false" ht="14.25" hidden="false" customHeight="true" outlineLevel="0" collapsed="false">
      <c r="A29" s="18"/>
      <c r="B29" s="19" t="n">
        <v>8</v>
      </c>
      <c r="C29" s="1" t="s">
        <v>236</v>
      </c>
      <c r="D29" s="1" t="s">
        <v>237</v>
      </c>
      <c r="E29" s="22" t="s">
        <v>38</v>
      </c>
    </row>
    <row r="30" customFormat="false" ht="27" hidden="false" customHeight="true" outlineLevel="0" collapsed="false">
      <c r="A30" s="18"/>
      <c r="B30" s="19" t="n">
        <v>9</v>
      </c>
      <c r="C30" s="1" t="s">
        <v>369</v>
      </c>
      <c r="D30" s="21" t="s">
        <v>370</v>
      </c>
      <c r="E30" s="22" t="s">
        <v>38</v>
      </c>
    </row>
    <row r="31" customFormat="false" ht="14.25" hidden="false" customHeight="true" outlineLevel="0" collapsed="false">
      <c r="A31" s="18"/>
      <c r="B31" s="19" t="n">
        <v>10</v>
      </c>
      <c r="C31" s="1" t="s">
        <v>371</v>
      </c>
      <c r="D31" s="1" t="s">
        <v>372</v>
      </c>
      <c r="E31" s="22" t="s">
        <v>38</v>
      </c>
    </row>
    <row r="32" customFormat="false" ht="27" hidden="false" customHeight="true" outlineLevel="0" collapsed="false">
      <c r="A32" s="18"/>
      <c r="B32" s="19" t="n">
        <v>11</v>
      </c>
      <c r="C32" s="20" t="s">
        <v>373</v>
      </c>
      <c r="D32" s="21" t="s">
        <v>374</v>
      </c>
      <c r="E32" s="22" t="s">
        <v>38</v>
      </c>
    </row>
    <row r="33" customFormat="false" ht="27" hidden="false" customHeight="true" outlineLevel="0" collapsed="false">
      <c r="A33" s="18"/>
      <c r="B33" s="19" t="n">
        <v>12</v>
      </c>
      <c r="C33" s="20" t="s">
        <v>375</v>
      </c>
      <c r="D33" s="21" t="s">
        <v>376</v>
      </c>
      <c r="E33" s="22" t="s">
        <v>38</v>
      </c>
    </row>
    <row r="34" customFormat="false" ht="41.25" hidden="false" customHeight="true" outlineLevel="0" collapsed="false">
      <c r="A34" s="18"/>
      <c r="B34" s="19" t="n">
        <v>13</v>
      </c>
      <c r="C34" s="21" t="s">
        <v>377</v>
      </c>
      <c r="D34" s="21" t="s">
        <v>378</v>
      </c>
      <c r="E34" s="22" t="s">
        <v>38</v>
      </c>
    </row>
    <row r="35" customFormat="false" ht="14.25" hidden="false" customHeight="true" outlineLevel="0" collapsed="false">
      <c r="A35" s="18"/>
      <c r="B35" s="19" t="n">
        <v>14</v>
      </c>
      <c r="C35" s="1" t="s">
        <v>379</v>
      </c>
      <c r="D35" s="1" t="s">
        <v>336</v>
      </c>
      <c r="E35" s="22" t="s">
        <v>38</v>
      </c>
    </row>
    <row r="36" customFormat="false" ht="41.25" hidden="false" customHeight="true" outlineLevel="0" collapsed="false">
      <c r="A36" s="18"/>
      <c r="B36" s="19" t="n">
        <v>15</v>
      </c>
      <c r="C36" s="1" t="s">
        <v>380</v>
      </c>
      <c r="D36" s="21" t="s">
        <v>381</v>
      </c>
      <c r="E36" s="22" t="s">
        <v>38</v>
      </c>
    </row>
    <row r="37" customFormat="false" ht="14.25" hidden="false" customHeight="true" outlineLevel="0" collapsed="false">
      <c r="A37" s="18"/>
      <c r="B37" s="19" t="n">
        <v>16</v>
      </c>
      <c r="C37" s="1" t="s">
        <v>382</v>
      </c>
      <c r="D37" s="1" t="s">
        <v>383</v>
      </c>
      <c r="E37" s="22" t="s">
        <v>38</v>
      </c>
    </row>
    <row r="38" customFormat="false" ht="41.25" hidden="false" customHeight="true" outlineLevel="0" collapsed="false">
      <c r="A38" s="18"/>
      <c r="B38" s="19" t="n">
        <v>17</v>
      </c>
      <c r="C38" s="1" t="s">
        <v>384</v>
      </c>
      <c r="D38" s="21" t="s">
        <v>385</v>
      </c>
      <c r="E38" s="22" t="s">
        <v>38</v>
      </c>
    </row>
    <row r="39" customFormat="false" ht="14.25" hidden="false" customHeight="true" outlineLevel="0" collapsed="false">
      <c r="A39" s="18"/>
      <c r="B39" s="19" t="n">
        <v>18</v>
      </c>
      <c r="C39" s="1" t="s">
        <v>386</v>
      </c>
      <c r="D39" s="1" t="s">
        <v>383</v>
      </c>
      <c r="E39" s="22" t="s">
        <v>38</v>
      </c>
    </row>
    <row r="40" customFormat="false" ht="14.25" hidden="false" customHeight="true" outlineLevel="0" collapsed="false">
      <c r="A40" s="18"/>
      <c r="B40" s="19" t="n">
        <v>19</v>
      </c>
      <c r="C40" s="1" t="s">
        <v>387</v>
      </c>
      <c r="D40" s="1" t="s">
        <v>388</v>
      </c>
      <c r="E40" s="22" t="s">
        <v>38</v>
      </c>
    </row>
    <row r="41" customFormat="false" ht="27" hidden="false" customHeight="true" outlineLevel="0" collapsed="false">
      <c r="A41" s="18"/>
      <c r="B41" s="19" t="n">
        <v>20</v>
      </c>
      <c r="C41" s="21" t="s">
        <v>389</v>
      </c>
      <c r="D41" s="20" t="s">
        <v>390</v>
      </c>
      <c r="E41" s="22" t="s">
        <v>38</v>
      </c>
    </row>
    <row r="42" customFormat="false" ht="14.25" hidden="false" customHeight="true" outlineLevel="0" collapsed="false">
      <c r="A42" s="18"/>
      <c r="B42" s="19" t="n">
        <v>21</v>
      </c>
      <c r="C42" s="1" t="s">
        <v>391</v>
      </c>
      <c r="D42" s="1" t="s">
        <v>392</v>
      </c>
      <c r="E42" s="22" t="s">
        <v>38</v>
      </c>
    </row>
    <row r="43" customFormat="false" ht="14.25" hidden="false" customHeight="true" outlineLevel="0" collapsed="false">
      <c r="A43" s="18"/>
      <c r="B43" s="19" t="n">
        <v>22</v>
      </c>
      <c r="C43" s="1" t="s">
        <v>393</v>
      </c>
      <c r="D43" s="1" t="s">
        <v>394</v>
      </c>
      <c r="E43" s="22" t="s">
        <v>38</v>
      </c>
    </row>
    <row r="44" customFormat="false" ht="14.25" hidden="false" customHeight="true" outlineLevel="0" collapsed="false">
      <c r="A44" s="18"/>
      <c r="B44" s="19" t="n">
        <v>23</v>
      </c>
      <c r="C44" s="1" t="s">
        <v>395</v>
      </c>
      <c r="D44" s="1" t="s">
        <v>396</v>
      </c>
      <c r="E44" s="22" t="s">
        <v>38</v>
      </c>
    </row>
    <row r="45" customFormat="false" ht="14.25" hidden="false" customHeight="true" outlineLevel="0" collapsed="false">
      <c r="A45" s="18"/>
      <c r="B45" s="19" t="n">
        <v>24</v>
      </c>
      <c r="C45" s="20" t="s">
        <v>397</v>
      </c>
      <c r="D45" s="21" t="s">
        <v>398</v>
      </c>
      <c r="E45" s="22" t="s">
        <v>38</v>
      </c>
    </row>
    <row r="46" customFormat="false" ht="41.25" hidden="false" customHeight="true" outlineLevel="0" collapsed="false">
      <c r="A46" s="18"/>
      <c r="B46" s="19" t="n">
        <v>25</v>
      </c>
      <c r="C46" s="20" t="s">
        <v>399</v>
      </c>
      <c r="D46" s="21" t="s">
        <v>400</v>
      </c>
      <c r="E46" s="22" t="s">
        <v>38</v>
      </c>
    </row>
    <row r="47" customFormat="false" ht="13.5" hidden="false" customHeight="true" outlineLevel="0" collapsed="false">
      <c r="A47" s="24"/>
      <c r="B47" s="24"/>
      <c r="C47" s="24"/>
      <c r="D47" s="24"/>
      <c r="E47" s="24"/>
      <c r="F47" s="24"/>
    </row>
    <row r="48" customFormat="false" ht="14.25" hidden="false" customHeight="true" outlineLevel="0" collapsed="false">
      <c r="A48" s="18" t="s">
        <v>401</v>
      </c>
      <c r="B48" s="19" t="n">
        <v>1</v>
      </c>
      <c r="C48" s="1" t="s">
        <v>351</v>
      </c>
      <c r="D48" s="1" t="s">
        <v>75</v>
      </c>
      <c r="E48" s="22" t="s">
        <v>38</v>
      </c>
    </row>
    <row r="49" customFormat="false" ht="151.5" hidden="false" customHeight="true" outlineLevel="0" collapsed="false">
      <c r="A49" s="18"/>
      <c r="B49" s="19" t="n">
        <v>2</v>
      </c>
      <c r="C49" s="20" t="s">
        <v>76</v>
      </c>
      <c r="D49" s="21" t="s">
        <v>402</v>
      </c>
      <c r="E49" s="22" t="s">
        <v>38</v>
      </c>
    </row>
    <row r="50" customFormat="false" ht="27" hidden="false" customHeight="true" outlineLevel="0" collapsed="false">
      <c r="A50" s="18"/>
      <c r="B50" s="19" t="n">
        <v>3</v>
      </c>
      <c r="C50" s="20" t="s">
        <v>78</v>
      </c>
      <c r="D50" s="21" t="s">
        <v>79</v>
      </c>
      <c r="E50" s="22" t="s">
        <v>38</v>
      </c>
    </row>
    <row r="51" customFormat="false" ht="41.25" hidden="false" customHeight="true" outlineLevel="0" collapsed="false">
      <c r="A51" s="18"/>
      <c r="B51" s="19" t="n">
        <v>4</v>
      </c>
      <c r="C51" s="20" t="s">
        <v>80</v>
      </c>
      <c r="D51" s="21" t="s">
        <v>81</v>
      </c>
      <c r="E51" s="22" t="s">
        <v>38</v>
      </c>
    </row>
    <row r="52" customFormat="false" ht="41.25" hidden="false" customHeight="true" outlineLevel="0" collapsed="false">
      <c r="A52" s="18"/>
      <c r="B52" s="19" t="n">
        <v>5</v>
      </c>
      <c r="C52" s="20" t="s">
        <v>82</v>
      </c>
      <c r="D52" s="21" t="s">
        <v>83</v>
      </c>
      <c r="E52" s="22" t="s">
        <v>38</v>
      </c>
    </row>
    <row r="53" customFormat="false" ht="27" hidden="false" customHeight="true" outlineLevel="0" collapsed="false">
      <c r="A53" s="18"/>
      <c r="B53" s="19" t="n">
        <v>6</v>
      </c>
      <c r="C53" s="20" t="s">
        <v>84</v>
      </c>
      <c r="D53" s="21" t="s">
        <v>85</v>
      </c>
      <c r="E53" s="22" t="s">
        <v>38</v>
      </c>
    </row>
    <row r="54" customFormat="false" ht="14.25" hidden="false" customHeight="true" outlineLevel="0" collapsed="false">
      <c r="A54" s="18"/>
      <c r="B54" s="19" t="n">
        <v>7</v>
      </c>
      <c r="C54" s="1" t="s">
        <v>86</v>
      </c>
      <c r="D54" s="1" t="s">
        <v>87</v>
      </c>
      <c r="E54" s="22" t="s">
        <v>38</v>
      </c>
    </row>
    <row r="55" customFormat="false" ht="41.25" hidden="false" customHeight="true" outlineLevel="0" collapsed="false">
      <c r="A55" s="18"/>
      <c r="B55" s="19" t="n">
        <v>8</v>
      </c>
      <c r="C55" s="21" t="s">
        <v>403</v>
      </c>
      <c r="D55" s="23" t="s">
        <v>404</v>
      </c>
      <c r="E55" s="22" t="s">
        <v>38</v>
      </c>
    </row>
    <row r="56" customFormat="false" ht="13.5" hidden="false" customHeight="true" outlineLevel="0" collapsed="false">
      <c r="A56" s="24"/>
      <c r="B56" s="24"/>
      <c r="C56" s="24"/>
      <c r="D56" s="24"/>
      <c r="E56" s="24"/>
      <c r="F56" s="24"/>
    </row>
    <row r="57" customFormat="false" ht="14.25" hidden="false" customHeight="true" outlineLevel="0" collapsed="false">
      <c r="A57" s="18" t="s">
        <v>216</v>
      </c>
      <c r="B57" s="19" t="n">
        <v>1</v>
      </c>
      <c r="C57" s="1" t="s">
        <v>217</v>
      </c>
      <c r="D57" s="1" t="s">
        <v>218</v>
      </c>
      <c r="E57" s="22" t="s">
        <v>38</v>
      </c>
    </row>
    <row r="58" customFormat="false" ht="14.25" hidden="false" customHeight="true" outlineLevel="0" collapsed="false">
      <c r="A58" s="18"/>
      <c r="B58" s="19" t="n">
        <v>2</v>
      </c>
      <c r="C58" s="1" t="s">
        <v>219</v>
      </c>
      <c r="D58" s="1" t="s">
        <v>220</v>
      </c>
      <c r="E58" s="22" t="s">
        <v>38</v>
      </c>
    </row>
    <row r="59" customFormat="false" ht="27" hidden="false" customHeight="true" outlineLevel="0" collapsed="false">
      <c r="A59" s="18"/>
      <c r="B59" s="19" t="n">
        <v>3</v>
      </c>
      <c r="C59" s="21" t="s">
        <v>221</v>
      </c>
      <c r="D59" s="21" t="s">
        <v>222</v>
      </c>
      <c r="E59" s="22" t="s">
        <v>38</v>
      </c>
    </row>
    <row r="60" customFormat="false" ht="27" hidden="false" customHeight="true" outlineLevel="0" collapsed="false">
      <c r="A60" s="18"/>
      <c r="B60" s="19" t="n">
        <v>4</v>
      </c>
      <c r="C60" s="20" t="s">
        <v>223</v>
      </c>
      <c r="D60" s="21" t="s">
        <v>224</v>
      </c>
      <c r="E60" s="22" t="s">
        <v>38</v>
      </c>
    </row>
    <row r="61" customFormat="false" ht="41.25" hidden="false" customHeight="true" outlineLevel="0" collapsed="false">
      <c r="A61" s="18"/>
      <c r="B61" s="19" t="n">
        <v>5</v>
      </c>
      <c r="C61" s="20" t="s">
        <v>225</v>
      </c>
      <c r="D61" s="21" t="s">
        <v>226</v>
      </c>
      <c r="E61" s="22" t="s">
        <v>38</v>
      </c>
    </row>
    <row r="62" customFormat="false" ht="27" hidden="false" customHeight="true" outlineLevel="0" collapsed="false">
      <c r="A62" s="18"/>
      <c r="B62" s="19" t="n">
        <v>6</v>
      </c>
      <c r="C62" s="20" t="s">
        <v>227</v>
      </c>
      <c r="D62" s="21" t="s">
        <v>228</v>
      </c>
      <c r="E62" s="22" t="s">
        <v>38</v>
      </c>
    </row>
    <row r="63" customFormat="false" ht="27" hidden="false" customHeight="true" outlineLevel="0" collapsed="false">
      <c r="A63" s="18"/>
      <c r="B63" s="19" t="n">
        <v>7</v>
      </c>
      <c r="C63" s="1" t="s">
        <v>229</v>
      </c>
      <c r="D63" s="21" t="s">
        <v>230</v>
      </c>
      <c r="E63" s="22" t="s">
        <v>38</v>
      </c>
    </row>
  </sheetData>
  <autoFilter ref="A1:G63"/>
  <mergeCells count="6">
    <mergeCell ref="A2:A10"/>
    <mergeCell ref="A12:A16"/>
    <mergeCell ref="A18:A20"/>
    <mergeCell ref="A22:A46"/>
    <mergeCell ref="A48:A55"/>
    <mergeCell ref="A57:A63"/>
  </mergeCells>
  <conditionalFormatting sqref="E57:E63">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48:E55">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conditionalFormatting sqref="E22:E46">
    <cfRule type="cellIs" priority="12" operator="equal" aboveAverage="0" equalAverage="0" bottom="0" percent="0" rank="0" text="" dxfId="8">
      <formula>"Blocked"</formula>
    </cfRule>
    <cfRule type="cellIs" priority="13" operator="equal" aboveAverage="0" equalAverage="0" bottom="0" percent="0" rank="0" text="" dxfId="9">
      <formula>"Skipped"</formula>
    </cfRule>
    <cfRule type="cellIs" priority="14" operator="equal" aboveAverage="0" equalAverage="0" bottom="0" percent="0" rank="0" text="" dxfId="10">
      <formula>"Not Tested"</formula>
    </cfRule>
    <cfRule type="cellIs" priority="15" operator="equal" aboveAverage="0" equalAverage="0" bottom="0" percent="0" rank="0" text="" dxfId="11">
      <formula>"Passed"</formula>
    </cfRule>
    <cfRule type="cellIs" priority="16" operator="equal" aboveAverage="0" equalAverage="0" bottom="0" percent="0" rank="0" text="" dxfId="12">
      <formula>"Failed"</formula>
    </cfRule>
  </conditionalFormatting>
  <conditionalFormatting sqref="E18:E20">
    <cfRule type="cellIs" priority="17" operator="equal" aboveAverage="0" equalAverage="0" bottom="0" percent="0" rank="0" text="" dxfId="8">
      <formula>"Blocked"</formula>
    </cfRule>
    <cfRule type="cellIs" priority="18" operator="equal" aboveAverage="0" equalAverage="0" bottom="0" percent="0" rank="0" text="" dxfId="9">
      <formula>"Skipped"</formula>
    </cfRule>
    <cfRule type="cellIs" priority="19" operator="equal" aboveAverage="0" equalAverage="0" bottom="0" percent="0" rank="0" text="" dxfId="10">
      <formula>"Not Tested"</formula>
    </cfRule>
    <cfRule type="cellIs" priority="20" operator="equal" aboveAverage="0" equalAverage="0" bottom="0" percent="0" rank="0" text="" dxfId="11">
      <formula>"Passed"</formula>
    </cfRule>
    <cfRule type="cellIs" priority="21" operator="equal" aboveAverage="0" equalAverage="0" bottom="0" percent="0" rank="0" text="" dxfId="12">
      <formula>"Failed"</formula>
    </cfRule>
  </conditionalFormatting>
  <conditionalFormatting sqref="E12:E16">
    <cfRule type="cellIs" priority="22" operator="equal" aboveAverage="0" equalAverage="0" bottom="0" percent="0" rank="0" text="" dxfId="8">
      <formula>"Blocked"</formula>
    </cfRule>
    <cfRule type="cellIs" priority="23" operator="equal" aboveAverage="0" equalAverage="0" bottom="0" percent="0" rank="0" text="" dxfId="9">
      <formula>"Skipped"</formula>
    </cfRule>
    <cfRule type="cellIs" priority="24" operator="equal" aboveAverage="0" equalAverage="0" bottom="0" percent="0" rank="0" text="" dxfId="10">
      <formula>"Not Tested"</formula>
    </cfRule>
    <cfRule type="cellIs" priority="25" operator="equal" aboveAverage="0" equalAverage="0" bottom="0" percent="0" rank="0" text="" dxfId="11">
      <formula>"Passed"</formula>
    </cfRule>
    <cfRule type="cellIs" priority="26" operator="equal" aboveAverage="0" equalAverage="0" bottom="0" percent="0" rank="0" text="" dxfId="12">
      <formula>"Failed"</formula>
    </cfRule>
  </conditionalFormatting>
  <conditionalFormatting sqref="E2:E10">
    <cfRule type="cellIs" priority="27" operator="equal" aboveAverage="0" equalAverage="0" bottom="0" percent="0" rank="0" text="" dxfId="8">
      <formula>"Blocked"</formula>
    </cfRule>
    <cfRule type="cellIs" priority="28" operator="equal" aboveAverage="0" equalAverage="0" bottom="0" percent="0" rank="0" text="" dxfId="9">
      <formula>"Skipped"</formula>
    </cfRule>
    <cfRule type="cellIs" priority="29" operator="equal" aboveAverage="0" equalAverage="0" bottom="0" percent="0" rank="0" text="" dxfId="10">
      <formula>"Not Tested"</formula>
    </cfRule>
    <cfRule type="cellIs" priority="30" operator="equal" aboveAverage="0" equalAverage="0" bottom="0" percent="0" rank="0" text="" dxfId="11">
      <formula>"Passed"</formula>
    </cfRule>
    <cfRule type="cellIs" priority="31"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63"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1"/>
  <sheetViews>
    <sheetView showFormulas="false" showGridLines="true" showRowColHeaders="true" showZeros="true" rightToLeft="false" tabSelected="false" showOutlineSymbols="true" defaultGridColor="true" view="normal" topLeftCell="A41" colorId="64" zoomScale="100" zoomScaleNormal="100" zoomScalePageLayoutView="100" workbookViewId="0">
      <pane xSplit="0" ySplit="1" topLeftCell="A2" activePane="bottomLeft" state="frozen"/>
      <selection pane="topLeft" activeCell="A41" activeCellId="0" sqref="A41"/>
      <selection pane="bottomLeft" activeCell="A36" activeCellId="0" sqref="A36"/>
    </sheetView>
  </sheetViews>
  <sheetFormatPr defaultColWidth="8.5390625" defaultRowHeight="13.5" customHeight="false" zeroHeight="false" outlineLevelRow="0" outlineLevelCol="0"/>
  <cols>
    <col collapsed="false" customWidth="true" hidden="false" outlineLevel="0" max="1" min="1" style="1" width="25.9"/>
    <col collapsed="false" customWidth="true" hidden="false" outlineLevel="0" max="2" min="2" style="1" width="22.1"/>
    <col collapsed="false" customWidth="true" hidden="false" outlineLevel="0" max="3" min="3" style="1" width="32.4"/>
    <col collapsed="false" customWidth="true" hidden="false" outlineLevel="0" max="4" min="4" style="1" width="37.7"/>
    <col collapsed="false" customWidth="true" hidden="false" outlineLevel="0" max="5" min="5" style="1" width="34.4"/>
    <col collapsed="false" customWidth="true" hidden="false" outlineLevel="0" max="6" min="6" style="1" width="30.1"/>
    <col collapsed="false" customWidth="true" hidden="false" outlineLevel="0" max="7" min="7" style="1" width="12"/>
  </cols>
  <sheetData>
    <row r="1" customFormat="false" ht="13.5" hidden="false" customHeight="true" outlineLevel="0" collapsed="false">
      <c r="A1" s="15" t="s">
        <v>33</v>
      </c>
      <c r="B1" s="16" t="s">
        <v>65</v>
      </c>
      <c r="C1" s="16" t="s">
        <v>66</v>
      </c>
      <c r="D1" s="16" t="s">
        <v>67</v>
      </c>
      <c r="E1" s="16" t="s">
        <v>68</v>
      </c>
      <c r="F1" s="16" t="s">
        <v>69</v>
      </c>
      <c r="G1" s="17" t="s">
        <v>70</v>
      </c>
    </row>
    <row r="2" customFormat="false" ht="14.25" hidden="false" customHeight="true" outlineLevel="0" collapsed="false">
      <c r="A2" s="18" t="s">
        <v>71</v>
      </c>
      <c r="B2" s="19" t="n">
        <v>1</v>
      </c>
      <c r="C2" s="20" t="s">
        <v>405</v>
      </c>
      <c r="D2" s="23" t="s">
        <v>406</v>
      </c>
      <c r="E2" s="22" t="s">
        <v>38</v>
      </c>
    </row>
    <row r="3" customFormat="false" ht="14.25" hidden="false" customHeight="true" outlineLevel="0" collapsed="false">
      <c r="A3" s="18"/>
      <c r="B3" s="19" t="n">
        <v>2</v>
      </c>
      <c r="C3" s="1" t="s">
        <v>407</v>
      </c>
      <c r="D3" s="1" t="s">
        <v>75</v>
      </c>
      <c r="E3" s="22" t="s">
        <v>38</v>
      </c>
    </row>
    <row r="4" customFormat="false" ht="54.75" hidden="false" customHeight="true" outlineLevel="0" collapsed="false">
      <c r="A4" s="18"/>
      <c r="B4" s="19" t="n">
        <v>3</v>
      </c>
      <c r="C4" s="20" t="s">
        <v>76</v>
      </c>
      <c r="D4" s="23" t="s">
        <v>77</v>
      </c>
      <c r="E4" s="22" t="s">
        <v>38</v>
      </c>
    </row>
    <row r="5" customFormat="false" ht="27" hidden="false" customHeight="true" outlineLevel="0" collapsed="false">
      <c r="A5" s="18"/>
      <c r="B5" s="19" t="n">
        <v>4</v>
      </c>
      <c r="C5" s="20" t="s">
        <v>78</v>
      </c>
      <c r="D5" s="23" t="s">
        <v>79</v>
      </c>
      <c r="E5" s="22" t="s">
        <v>38</v>
      </c>
    </row>
    <row r="6" customFormat="false" ht="41.25" hidden="false" customHeight="true" outlineLevel="0" collapsed="false">
      <c r="A6" s="18"/>
      <c r="B6" s="19" t="n">
        <v>5</v>
      </c>
      <c r="C6" s="20" t="s">
        <v>80</v>
      </c>
      <c r="D6" s="23" t="s">
        <v>81</v>
      </c>
      <c r="E6" s="22" t="s">
        <v>38</v>
      </c>
    </row>
    <row r="7" customFormat="false" ht="41.25" hidden="false" customHeight="true" outlineLevel="0" collapsed="false">
      <c r="A7" s="18"/>
      <c r="B7" s="19" t="n">
        <v>6</v>
      </c>
      <c r="C7" s="20" t="s">
        <v>82</v>
      </c>
      <c r="D7" s="23" t="s">
        <v>83</v>
      </c>
      <c r="E7" s="22" t="s">
        <v>38</v>
      </c>
    </row>
    <row r="8" customFormat="false" ht="27" hidden="false" customHeight="true" outlineLevel="0" collapsed="false">
      <c r="A8" s="18"/>
      <c r="B8" s="19" t="n">
        <v>7</v>
      </c>
      <c r="C8" s="20" t="s">
        <v>84</v>
      </c>
      <c r="D8" s="23" t="s">
        <v>85</v>
      </c>
      <c r="E8" s="22" t="s">
        <v>38</v>
      </c>
    </row>
    <row r="9" customFormat="false" ht="14.25" hidden="false" customHeight="true" outlineLevel="0" collapsed="false">
      <c r="A9" s="18"/>
      <c r="B9" s="19" t="n">
        <v>8</v>
      </c>
      <c r="C9" s="1" t="s">
        <v>86</v>
      </c>
      <c r="D9" s="1" t="s">
        <v>87</v>
      </c>
      <c r="E9" s="22" t="s">
        <v>38</v>
      </c>
    </row>
    <row r="10" customFormat="false" ht="14.25" hidden="false" customHeight="true" outlineLevel="0" collapsed="false">
      <c r="A10" s="18"/>
      <c r="B10" s="19" t="n">
        <v>9</v>
      </c>
      <c r="C10" s="1" t="s">
        <v>236</v>
      </c>
      <c r="D10" s="1" t="s">
        <v>237</v>
      </c>
      <c r="E10" s="22" t="s">
        <v>38</v>
      </c>
    </row>
    <row r="11" customFormat="false" ht="13.5" hidden="false" customHeight="true" outlineLevel="0" collapsed="false">
      <c r="A11" s="24"/>
      <c r="B11" s="24"/>
      <c r="C11" s="24"/>
      <c r="D11" s="24"/>
      <c r="E11" s="24"/>
      <c r="F11" s="24"/>
    </row>
    <row r="12" customFormat="false" ht="14.25" hidden="false" customHeight="true" outlineLevel="0" collapsed="false">
      <c r="A12" s="18" t="s">
        <v>408</v>
      </c>
      <c r="B12" s="19" t="n">
        <v>1</v>
      </c>
      <c r="C12" s="1" t="s">
        <v>354</v>
      </c>
      <c r="D12" s="1" t="s">
        <v>409</v>
      </c>
      <c r="E12" s="22" t="s">
        <v>38</v>
      </c>
    </row>
    <row r="13" customFormat="false" ht="14.25" hidden="false" customHeight="true" outlineLevel="0" collapsed="false">
      <c r="A13" s="18"/>
      <c r="B13" s="19" t="n">
        <v>2</v>
      </c>
      <c r="C13" s="1" t="s">
        <v>356</v>
      </c>
      <c r="D13" s="1" t="s">
        <v>357</v>
      </c>
      <c r="E13" s="22" t="s">
        <v>38</v>
      </c>
    </row>
    <row r="14" customFormat="false" ht="27" hidden="false" customHeight="true" outlineLevel="0" collapsed="false">
      <c r="A14" s="18"/>
      <c r="B14" s="19" t="n">
        <v>3</v>
      </c>
      <c r="C14" s="20" t="s">
        <v>95</v>
      </c>
      <c r="D14" s="21" t="s">
        <v>358</v>
      </c>
      <c r="E14" s="22" t="s">
        <v>38</v>
      </c>
    </row>
    <row r="15" customFormat="false" ht="27" hidden="false" customHeight="true" outlineLevel="0" collapsed="false">
      <c r="A15" s="18"/>
      <c r="B15" s="19" t="n">
        <v>4</v>
      </c>
      <c r="C15" s="20" t="s">
        <v>410</v>
      </c>
      <c r="D15" s="21" t="s">
        <v>411</v>
      </c>
      <c r="E15" s="22" t="s">
        <v>38</v>
      </c>
    </row>
    <row r="16" customFormat="false" ht="41.25" hidden="false" customHeight="true" outlineLevel="0" collapsed="false">
      <c r="A16" s="18"/>
      <c r="B16" s="19" t="n">
        <v>5</v>
      </c>
      <c r="C16" s="20" t="s">
        <v>412</v>
      </c>
      <c r="D16" s="21" t="s">
        <v>413</v>
      </c>
      <c r="E16" s="22" t="s">
        <v>38</v>
      </c>
    </row>
    <row r="17" customFormat="false" ht="54.75" hidden="false" customHeight="true" outlineLevel="0" collapsed="false">
      <c r="A17" s="18"/>
      <c r="B17" s="19" t="n">
        <v>6</v>
      </c>
      <c r="C17" s="20" t="s">
        <v>414</v>
      </c>
      <c r="D17" s="21" t="s">
        <v>415</v>
      </c>
      <c r="E17" s="22" t="s">
        <v>38</v>
      </c>
    </row>
    <row r="18" customFormat="false" ht="13.5" hidden="false" customHeight="true" outlineLevel="0" collapsed="false">
      <c r="A18" s="24"/>
      <c r="B18" s="24"/>
      <c r="C18" s="24"/>
      <c r="D18" s="24"/>
      <c r="E18" s="24"/>
      <c r="F18" s="24"/>
    </row>
    <row r="19" customFormat="false" ht="14.25" hidden="false" customHeight="true" outlineLevel="0" collapsed="false">
      <c r="A19" s="18" t="s">
        <v>416</v>
      </c>
      <c r="B19" s="19" t="n">
        <v>1</v>
      </c>
      <c r="C19" s="1" t="s">
        <v>417</v>
      </c>
      <c r="D19" s="1" t="s">
        <v>75</v>
      </c>
      <c r="E19" s="22" t="s">
        <v>38</v>
      </c>
    </row>
    <row r="20" customFormat="false" ht="54.75" hidden="false" customHeight="true" outlineLevel="0" collapsed="false">
      <c r="A20" s="18"/>
      <c r="B20" s="19" t="n">
        <v>2</v>
      </c>
      <c r="C20" s="20" t="s">
        <v>76</v>
      </c>
      <c r="D20" s="23" t="s">
        <v>77</v>
      </c>
      <c r="E20" s="22" t="s">
        <v>38</v>
      </c>
    </row>
    <row r="21" customFormat="false" ht="27" hidden="false" customHeight="true" outlineLevel="0" collapsed="false">
      <c r="A21" s="18"/>
      <c r="B21" s="19" t="n">
        <v>3</v>
      </c>
      <c r="C21" s="20" t="s">
        <v>78</v>
      </c>
      <c r="D21" s="23" t="s">
        <v>79</v>
      </c>
      <c r="E21" s="22" t="s">
        <v>38</v>
      </c>
    </row>
    <row r="22" customFormat="false" ht="41.25" hidden="false" customHeight="true" outlineLevel="0" collapsed="false">
      <c r="A22" s="18"/>
      <c r="B22" s="19" t="n">
        <v>4</v>
      </c>
      <c r="C22" s="20" t="s">
        <v>80</v>
      </c>
      <c r="D22" s="23" t="s">
        <v>81</v>
      </c>
      <c r="E22" s="22" t="s">
        <v>38</v>
      </c>
    </row>
    <row r="23" customFormat="false" ht="41.25" hidden="false" customHeight="true" outlineLevel="0" collapsed="false">
      <c r="A23" s="18"/>
      <c r="B23" s="19" t="n">
        <v>5</v>
      </c>
      <c r="C23" s="20" t="s">
        <v>82</v>
      </c>
      <c r="D23" s="23" t="s">
        <v>83</v>
      </c>
      <c r="E23" s="22" t="s">
        <v>38</v>
      </c>
    </row>
    <row r="24" customFormat="false" ht="27" hidden="false" customHeight="true" outlineLevel="0" collapsed="false">
      <c r="A24" s="18"/>
      <c r="B24" s="19" t="n">
        <v>6</v>
      </c>
      <c r="C24" s="20" t="s">
        <v>84</v>
      </c>
      <c r="D24" s="23" t="s">
        <v>85</v>
      </c>
      <c r="E24" s="22" t="s">
        <v>38</v>
      </c>
    </row>
    <row r="25" customFormat="false" ht="14.25" hidden="false" customHeight="true" outlineLevel="0" collapsed="false">
      <c r="A25" s="18"/>
      <c r="B25" s="19" t="n">
        <v>7</v>
      </c>
      <c r="C25" s="1" t="s">
        <v>86</v>
      </c>
      <c r="D25" s="1" t="s">
        <v>87</v>
      </c>
      <c r="E25" s="22" t="s">
        <v>38</v>
      </c>
    </row>
    <row r="26" customFormat="false" ht="14.25" hidden="false" customHeight="true" outlineLevel="0" collapsed="false">
      <c r="A26" s="18"/>
      <c r="B26" s="19" t="n">
        <v>8</v>
      </c>
      <c r="C26" s="1" t="s">
        <v>236</v>
      </c>
      <c r="D26" s="1" t="s">
        <v>237</v>
      </c>
      <c r="E26" s="22" t="s">
        <v>38</v>
      </c>
    </row>
    <row r="27" customFormat="false" ht="14.25" hidden="false" customHeight="true" outlineLevel="0" collapsed="false">
      <c r="A27" s="18"/>
      <c r="B27" s="19" t="n">
        <v>9</v>
      </c>
      <c r="C27" s="1" t="s">
        <v>354</v>
      </c>
      <c r="D27" s="1" t="s">
        <v>418</v>
      </c>
      <c r="E27" s="22" t="s">
        <v>38</v>
      </c>
    </row>
    <row r="28" customFormat="false" ht="14.25" hidden="false" customHeight="true" outlineLevel="0" collapsed="false">
      <c r="A28" s="18"/>
      <c r="B28" s="19" t="n">
        <v>10</v>
      </c>
      <c r="C28" s="1" t="s">
        <v>356</v>
      </c>
      <c r="D28" s="1" t="s">
        <v>357</v>
      </c>
      <c r="E28" s="22" t="s">
        <v>38</v>
      </c>
    </row>
    <row r="29" customFormat="false" ht="27" hidden="false" customHeight="true" outlineLevel="0" collapsed="false">
      <c r="A29" s="18"/>
      <c r="B29" s="19" t="n">
        <v>11</v>
      </c>
      <c r="C29" s="20" t="s">
        <v>95</v>
      </c>
      <c r="D29" s="21" t="s">
        <v>358</v>
      </c>
      <c r="E29" s="22" t="s">
        <v>38</v>
      </c>
    </row>
    <row r="30" customFormat="false" ht="14.25" hidden="false" customHeight="true" outlineLevel="0" collapsed="false">
      <c r="A30" s="18"/>
      <c r="B30" s="19" t="n">
        <v>12</v>
      </c>
      <c r="C30" s="1" t="s">
        <v>419</v>
      </c>
      <c r="D30" s="1" t="s">
        <v>420</v>
      </c>
      <c r="E30" s="22" t="s">
        <v>38</v>
      </c>
    </row>
    <row r="31" customFormat="false" ht="27" hidden="false" customHeight="true" outlineLevel="0" collapsed="false">
      <c r="A31" s="18"/>
      <c r="B31" s="19" t="n">
        <v>13</v>
      </c>
      <c r="C31" s="20" t="s">
        <v>421</v>
      </c>
      <c r="D31" s="21" t="s">
        <v>122</v>
      </c>
      <c r="E31" s="22" t="s">
        <v>38</v>
      </c>
    </row>
    <row r="32" customFormat="false" ht="14.25" hidden="false" customHeight="true" outlineLevel="0" collapsed="false">
      <c r="A32" s="18"/>
      <c r="B32" s="19" t="n">
        <v>14</v>
      </c>
      <c r="C32" s="1" t="s">
        <v>395</v>
      </c>
      <c r="D32" s="1" t="s">
        <v>422</v>
      </c>
      <c r="E32" s="22" t="s">
        <v>38</v>
      </c>
    </row>
    <row r="33" customFormat="false" ht="14.25" hidden="false" customHeight="true" outlineLevel="0" collapsed="false">
      <c r="A33" s="18"/>
      <c r="B33" s="19" t="n">
        <v>15</v>
      </c>
      <c r="C33" s="1" t="s">
        <v>423</v>
      </c>
      <c r="D33" s="1" t="s">
        <v>424</v>
      </c>
      <c r="E33" s="22" t="s">
        <v>38</v>
      </c>
    </row>
    <row r="34" customFormat="false" ht="54.75" hidden="false" customHeight="true" outlineLevel="0" collapsed="false">
      <c r="A34" s="18"/>
      <c r="B34" s="19" t="n">
        <v>16</v>
      </c>
      <c r="C34" s="20" t="s">
        <v>136</v>
      </c>
      <c r="D34" s="21" t="s">
        <v>425</v>
      </c>
      <c r="E34" s="22" t="s">
        <v>38</v>
      </c>
    </row>
    <row r="35" customFormat="false" ht="13.5" hidden="false" customHeight="true" outlineLevel="0" collapsed="false">
      <c r="A35" s="24"/>
      <c r="B35" s="24"/>
      <c r="C35" s="24"/>
      <c r="D35" s="24"/>
      <c r="E35" s="24"/>
      <c r="F35" s="24"/>
    </row>
    <row r="36" customFormat="false" ht="14.25" hidden="false" customHeight="true" outlineLevel="0" collapsed="false">
      <c r="A36" s="18" t="s">
        <v>401</v>
      </c>
      <c r="B36" s="19" t="n">
        <v>1</v>
      </c>
      <c r="C36" s="1" t="s">
        <v>351</v>
      </c>
      <c r="D36" s="1" t="s">
        <v>75</v>
      </c>
      <c r="E36" s="22" t="s">
        <v>38</v>
      </c>
    </row>
    <row r="37" customFormat="false" ht="54.75" hidden="false" customHeight="true" outlineLevel="0" collapsed="false">
      <c r="A37" s="18"/>
      <c r="B37" s="19" t="n">
        <v>2</v>
      </c>
      <c r="C37" s="20" t="s">
        <v>76</v>
      </c>
      <c r="D37" s="21" t="s">
        <v>77</v>
      </c>
      <c r="E37" s="22" t="s">
        <v>38</v>
      </c>
    </row>
    <row r="38" customFormat="false" ht="27" hidden="false" customHeight="true" outlineLevel="0" collapsed="false">
      <c r="A38" s="18"/>
      <c r="B38" s="19" t="n">
        <v>3</v>
      </c>
      <c r="C38" s="20" t="s">
        <v>78</v>
      </c>
      <c r="D38" s="21" t="s">
        <v>79</v>
      </c>
      <c r="E38" s="22" t="s">
        <v>38</v>
      </c>
    </row>
    <row r="39" customFormat="false" ht="41.25" hidden="false" customHeight="true" outlineLevel="0" collapsed="false">
      <c r="A39" s="18"/>
      <c r="B39" s="19" t="n">
        <v>4</v>
      </c>
      <c r="C39" s="20" t="s">
        <v>80</v>
      </c>
      <c r="D39" s="21" t="s">
        <v>81</v>
      </c>
      <c r="E39" s="22" t="s">
        <v>38</v>
      </c>
    </row>
    <row r="40" customFormat="false" ht="41.25" hidden="false" customHeight="true" outlineLevel="0" collapsed="false">
      <c r="A40" s="18"/>
      <c r="B40" s="19" t="n">
        <v>5</v>
      </c>
      <c r="C40" s="20" t="s">
        <v>82</v>
      </c>
      <c r="D40" s="21" t="s">
        <v>83</v>
      </c>
      <c r="E40" s="22" t="s">
        <v>38</v>
      </c>
    </row>
    <row r="41" customFormat="false" ht="27" hidden="false" customHeight="true" outlineLevel="0" collapsed="false">
      <c r="A41" s="18"/>
      <c r="B41" s="19" t="n">
        <v>6</v>
      </c>
      <c r="C41" s="20" t="s">
        <v>84</v>
      </c>
      <c r="D41" s="21" t="s">
        <v>85</v>
      </c>
      <c r="E41" s="22" t="s">
        <v>38</v>
      </c>
    </row>
    <row r="42" customFormat="false" ht="14.25" hidden="false" customHeight="true" outlineLevel="0" collapsed="false">
      <c r="A42" s="18"/>
      <c r="B42" s="19" t="n">
        <v>7</v>
      </c>
      <c r="C42" s="1" t="s">
        <v>86</v>
      </c>
      <c r="D42" s="1" t="s">
        <v>87</v>
      </c>
      <c r="E42" s="22" t="s">
        <v>38</v>
      </c>
    </row>
    <row r="43" customFormat="false" ht="41.25" hidden="false" customHeight="true" outlineLevel="0" collapsed="false">
      <c r="A43" s="18"/>
      <c r="B43" s="19" t="n">
        <v>8</v>
      </c>
      <c r="C43" s="21" t="s">
        <v>403</v>
      </c>
      <c r="D43" s="23" t="s">
        <v>404</v>
      </c>
      <c r="E43" s="22" t="s">
        <v>38</v>
      </c>
    </row>
    <row r="44" customFormat="false" ht="13.5" hidden="false" customHeight="true" outlineLevel="0" collapsed="false">
      <c r="A44" s="24"/>
      <c r="B44" s="24"/>
      <c r="C44" s="24"/>
      <c r="D44" s="24"/>
      <c r="E44" s="24"/>
      <c r="F44" s="24"/>
    </row>
    <row r="45" customFormat="false" ht="14.25" hidden="false" customHeight="true" outlineLevel="0" collapsed="false">
      <c r="A45" s="18" t="s">
        <v>216</v>
      </c>
      <c r="B45" s="19" t="n">
        <v>1</v>
      </c>
      <c r="C45" s="1" t="s">
        <v>217</v>
      </c>
      <c r="D45" s="1" t="s">
        <v>218</v>
      </c>
      <c r="E45" s="22" t="s">
        <v>38</v>
      </c>
    </row>
    <row r="46" customFormat="false" ht="14.25" hidden="false" customHeight="true" outlineLevel="0" collapsed="false">
      <c r="A46" s="18"/>
      <c r="B46" s="19" t="n">
        <v>2</v>
      </c>
      <c r="C46" s="1" t="s">
        <v>219</v>
      </c>
      <c r="D46" s="1" t="s">
        <v>220</v>
      </c>
      <c r="E46" s="22" t="s">
        <v>38</v>
      </c>
    </row>
    <row r="47" customFormat="false" ht="27" hidden="false" customHeight="true" outlineLevel="0" collapsed="false">
      <c r="A47" s="18"/>
      <c r="B47" s="19" t="n">
        <v>3</v>
      </c>
      <c r="C47" s="21" t="s">
        <v>221</v>
      </c>
      <c r="D47" s="21" t="s">
        <v>222</v>
      </c>
      <c r="E47" s="22" t="s">
        <v>38</v>
      </c>
    </row>
    <row r="48" customFormat="false" ht="27" hidden="false" customHeight="true" outlineLevel="0" collapsed="false">
      <c r="A48" s="18"/>
      <c r="B48" s="19" t="n">
        <v>4</v>
      </c>
      <c r="C48" s="20" t="s">
        <v>223</v>
      </c>
      <c r="D48" s="21" t="s">
        <v>224</v>
      </c>
      <c r="E48" s="22" t="s">
        <v>38</v>
      </c>
    </row>
    <row r="49" customFormat="false" ht="41.25" hidden="false" customHeight="true" outlineLevel="0" collapsed="false">
      <c r="A49" s="18"/>
      <c r="B49" s="19" t="n">
        <v>5</v>
      </c>
      <c r="C49" s="20" t="s">
        <v>225</v>
      </c>
      <c r="D49" s="21" t="s">
        <v>226</v>
      </c>
      <c r="E49" s="22" t="s">
        <v>38</v>
      </c>
    </row>
    <row r="50" customFormat="false" ht="41.25" hidden="false" customHeight="true" outlineLevel="0" collapsed="false">
      <c r="A50" s="18"/>
      <c r="B50" s="19" t="n">
        <v>6</v>
      </c>
      <c r="C50" s="20" t="s">
        <v>227</v>
      </c>
      <c r="D50" s="21" t="s">
        <v>228</v>
      </c>
      <c r="E50" s="22" t="s">
        <v>38</v>
      </c>
    </row>
    <row r="51" customFormat="false" ht="27" hidden="false" customHeight="true" outlineLevel="0" collapsed="false">
      <c r="A51" s="18"/>
      <c r="B51" s="19" t="n">
        <v>7</v>
      </c>
      <c r="C51" s="1" t="s">
        <v>229</v>
      </c>
      <c r="D51" s="21" t="s">
        <v>230</v>
      </c>
      <c r="E51" s="22" t="s">
        <v>38</v>
      </c>
    </row>
  </sheetData>
  <autoFilter ref="A1:G51"/>
  <mergeCells count="5">
    <mergeCell ref="A2:A10"/>
    <mergeCell ref="A12:A17"/>
    <mergeCell ref="A19:A34"/>
    <mergeCell ref="A36:A43"/>
    <mergeCell ref="A45:A51"/>
  </mergeCells>
  <conditionalFormatting sqref="E19:E34">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45:E51">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conditionalFormatting sqref="E36:E43">
    <cfRule type="cellIs" priority="12" operator="equal" aboveAverage="0" equalAverage="0" bottom="0" percent="0" rank="0" text="" dxfId="8">
      <formula>"Blocked"</formula>
    </cfRule>
    <cfRule type="cellIs" priority="13" operator="equal" aboveAverage="0" equalAverage="0" bottom="0" percent="0" rank="0" text="" dxfId="9">
      <formula>"Skipped"</formula>
    </cfRule>
    <cfRule type="cellIs" priority="14" operator="equal" aboveAverage="0" equalAverage="0" bottom="0" percent="0" rank="0" text="" dxfId="10">
      <formula>"Not Tested"</formula>
    </cfRule>
    <cfRule type="cellIs" priority="15" operator="equal" aboveAverage="0" equalAverage="0" bottom="0" percent="0" rank="0" text="" dxfId="11">
      <formula>"Passed"</formula>
    </cfRule>
    <cfRule type="cellIs" priority="16" operator="equal" aboveAverage="0" equalAverage="0" bottom="0" percent="0" rank="0" text="" dxfId="12">
      <formula>"Failed"</formula>
    </cfRule>
  </conditionalFormatting>
  <conditionalFormatting sqref="E12:E17">
    <cfRule type="cellIs" priority="17" operator="equal" aboveAverage="0" equalAverage="0" bottom="0" percent="0" rank="0" text="" dxfId="8">
      <formula>"Blocked"</formula>
    </cfRule>
    <cfRule type="cellIs" priority="18" operator="equal" aboveAverage="0" equalAverage="0" bottom="0" percent="0" rank="0" text="" dxfId="9">
      <formula>"Skipped"</formula>
    </cfRule>
    <cfRule type="cellIs" priority="19" operator="equal" aboveAverage="0" equalAverage="0" bottom="0" percent="0" rank="0" text="" dxfId="10">
      <formula>"Not Tested"</formula>
    </cfRule>
    <cfRule type="cellIs" priority="20" operator="equal" aboveAverage="0" equalAverage="0" bottom="0" percent="0" rank="0" text="" dxfId="11">
      <formula>"Passed"</formula>
    </cfRule>
    <cfRule type="cellIs" priority="21" operator="equal" aboveAverage="0" equalAverage="0" bottom="0" percent="0" rank="0" text="" dxfId="12">
      <formula>"Failed"</formula>
    </cfRule>
  </conditionalFormatting>
  <conditionalFormatting sqref="E2:E10">
    <cfRule type="cellIs" priority="22" operator="equal" aboveAverage="0" equalAverage="0" bottom="0" percent="0" rank="0" text="" dxfId="8">
      <formula>"Blocked"</formula>
    </cfRule>
    <cfRule type="cellIs" priority="23" operator="equal" aboveAverage="0" equalAverage="0" bottom="0" percent="0" rank="0" text="" dxfId="9">
      <formula>"Skipped"</formula>
    </cfRule>
    <cfRule type="cellIs" priority="24" operator="equal" aboveAverage="0" equalAverage="0" bottom="0" percent="0" rank="0" text="" dxfId="10">
      <formula>"Not Tested"</formula>
    </cfRule>
    <cfRule type="cellIs" priority="25" operator="equal" aboveAverage="0" equalAverage="0" bottom="0" percent="0" rank="0" text="" dxfId="11">
      <formula>"Passed"</formula>
    </cfRule>
    <cfRule type="cellIs" priority="26"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51"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0"/>
  <sheetViews>
    <sheetView showFormulas="false" showGridLines="true" showRowColHeaders="true" showZeros="true" rightToLeft="false" tabSelected="false" showOutlineSymbols="true" defaultGridColor="true" view="normal" topLeftCell="A49" colorId="64" zoomScale="100" zoomScaleNormal="100" zoomScalePageLayoutView="100" workbookViewId="0">
      <pane xSplit="0" ySplit="1" topLeftCell="A2" activePane="bottomLeft" state="frozen"/>
      <selection pane="topLeft" activeCell="A49" activeCellId="0" sqref="A49"/>
      <selection pane="bottomLeft" activeCell="A53" activeCellId="0" sqref="A53"/>
    </sheetView>
  </sheetViews>
  <sheetFormatPr defaultColWidth="8.5390625" defaultRowHeight="13.5" customHeight="false" zeroHeight="false" outlineLevelRow="0" outlineLevelCol="0"/>
  <cols>
    <col collapsed="false" customWidth="true" hidden="false" outlineLevel="0" max="1" min="1" style="1" width="21.4"/>
    <col collapsed="false" customWidth="true" hidden="false" outlineLevel="0" max="2" min="2" style="1" width="26.7"/>
    <col collapsed="false" customWidth="true" hidden="false" outlineLevel="0" max="3" min="3" style="1" width="39.3"/>
    <col collapsed="false" customWidth="true" hidden="false" outlineLevel="0" max="4" min="4" style="1" width="41.3"/>
    <col collapsed="false" customWidth="true" hidden="false" outlineLevel="0" max="5" min="5" style="1" width="37.7"/>
    <col collapsed="false" customWidth="true" hidden="false" outlineLevel="0" max="6" min="6" style="1" width="33.6"/>
    <col collapsed="false" customWidth="true" hidden="false" outlineLevel="0" max="7" min="7" style="1" width="12"/>
    <col collapsed="false" customWidth="true" hidden="false" outlineLevel="0" max="9" min="9" style="1" width="55"/>
  </cols>
  <sheetData>
    <row r="1" customFormat="false" ht="13.5" hidden="false" customHeight="true" outlineLevel="0" collapsed="false">
      <c r="A1" s="15" t="s">
        <v>33</v>
      </c>
      <c r="B1" s="16" t="s">
        <v>65</v>
      </c>
      <c r="C1" s="16" t="s">
        <v>66</v>
      </c>
      <c r="D1" s="16" t="s">
        <v>67</v>
      </c>
      <c r="E1" s="16" t="s">
        <v>68</v>
      </c>
      <c r="F1" s="16" t="s">
        <v>69</v>
      </c>
      <c r="G1" s="17" t="s">
        <v>70</v>
      </c>
      <c r="I1" s="26" t="s">
        <v>144</v>
      </c>
    </row>
    <row r="2" customFormat="false" ht="27" hidden="false" customHeight="true" outlineLevel="0" collapsed="false">
      <c r="A2" s="18" t="s">
        <v>426</v>
      </c>
      <c r="B2" s="19" t="n">
        <v>1</v>
      </c>
      <c r="C2" s="20" t="s">
        <v>217</v>
      </c>
      <c r="D2" s="21" t="s">
        <v>427</v>
      </c>
      <c r="E2" s="22" t="s">
        <v>38</v>
      </c>
    </row>
    <row r="3" customFormat="false" ht="14.25" hidden="false" customHeight="true" outlineLevel="0" collapsed="false">
      <c r="A3" s="18"/>
      <c r="B3" s="19" t="n">
        <v>2</v>
      </c>
      <c r="C3" s="1" t="s">
        <v>428</v>
      </c>
      <c r="D3" s="1" t="s">
        <v>429</v>
      </c>
      <c r="E3" s="22" t="s">
        <v>38</v>
      </c>
    </row>
    <row r="4" customFormat="false" ht="14.25" hidden="false" customHeight="true" outlineLevel="0" collapsed="false">
      <c r="A4" s="18"/>
      <c r="B4" s="19" t="n">
        <v>3</v>
      </c>
      <c r="C4" s="1" t="s">
        <v>430</v>
      </c>
      <c r="D4" s="1" t="s">
        <v>431</v>
      </c>
      <c r="E4" s="22" t="s">
        <v>38</v>
      </c>
    </row>
    <row r="5" customFormat="false" ht="27" hidden="false" customHeight="true" outlineLevel="0" collapsed="false">
      <c r="A5" s="18"/>
      <c r="B5" s="19" t="n">
        <v>4</v>
      </c>
      <c r="C5" s="20" t="s">
        <v>432</v>
      </c>
      <c r="D5" s="21" t="s">
        <v>433</v>
      </c>
      <c r="E5" s="22" t="s">
        <v>38</v>
      </c>
    </row>
    <row r="6" customFormat="false" ht="54.75" hidden="false" customHeight="true" outlineLevel="0" collapsed="false">
      <c r="A6" s="18"/>
      <c r="B6" s="19" t="n">
        <v>5</v>
      </c>
      <c r="C6" s="20" t="s">
        <v>434</v>
      </c>
      <c r="D6" s="21" t="s">
        <v>435</v>
      </c>
      <c r="E6" s="22" t="s">
        <v>38</v>
      </c>
    </row>
    <row r="7" customFormat="false" ht="108.75" hidden="false" customHeight="true" outlineLevel="0" collapsed="false">
      <c r="A7" s="18"/>
      <c r="B7" s="19" t="n">
        <v>6</v>
      </c>
      <c r="C7" s="23" t="s">
        <v>436</v>
      </c>
      <c r="D7" s="21" t="s">
        <v>437</v>
      </c>
      <c r="E7" s="22" t="s">
        <v>38</v>
      </c>
    </row>
    <row r="8" customFormat="false" ht="14.25" hidden="false" customHeight="true" outlineLevel="0" collapsed="false">
      <c r="A8" s="18"/>
      <c r="B8" s="19" t="n">
        <v>7</v>
      </c>
      <c r="C8" s="1" t="s">
        <v>438</v>
      </c>
      <c r="D8" s="1" t="s">
        <v>439</v>
      </c>
      <c r="E8" s="22" t="s">
        <v>38</v>
      </c>
    </row>
    <row r="9" customFormat="false" ht="261.75" hidden="false" customHeight="true" outlineLevel="0" collapsed="false">
      <c r="A9" s="18"/>
      <c r="B9" s="19" t="n">
        <v>8</v>
      </c>
      <c r="C9" s="20" t="s">
        <v>440</v>
      </c>
      <c r="D9" s="23" t="s">
        <v>441</v>
      </c>
      <c r="E9" s="22" t="s">
        <v>38</v>
      </c>
    </row>
    <row r="10" customFormat="false" ht="14.25" hidden="false" customHeight="true" outlineLevel="0" collapsed="false">
      <c r="A10" s="18"/>
      <c r="B10" s="19" t="n">
        <v>9</v>
      </c>
      <c r="C10" s="1" t="s">
        <v>442</v>
      </c>
      <c r="D10" s="1" t="s">
        <v>443</v>
      </c>
      <c r="E10" s="22" t="s">
        <v>38</v>
      </c>
    </row>
    <row r="11" customFormat="false" ht="14.25" hidden="false" customHeight="true" outlineLevel="0" collapsed="false">
      <c r="A11" s="18"/>
      <c r="B11" s="19" t="n">
        <v>10</v>
      </c>
      <c r="C11" s="1" t="s">
        <v>204</v>
      </c>
      <c r="D11" s="1" t="s">
        <v>444</v>
      </c>
      <c r="E11" s="22" t="s">
        <v>38</v>
      </c>
    </row>
    <row r="12" customFormat="false" ht="90" hidden="false" customHeight="true" outlineLevel="0" collapsed="false">
      <c r="A12" s="18"/>
      <c r="B12" s="19" t="n">
        <v>11</v>
      </c>
      <c r="C12" s="20" t="s">
        <v>445</v>
      </c>
      <c r="D12" s="21" t="s">
        <v>446</v>
      </c>
      <c r="E12" s="22" t="s">
        <v>38</v>
      </c>
    </row>
    <row r="13" customFormat="false" ht="41.25" hidden="false" customHeight="true" outlineLevel="0" collapsed="false">
      <c r="A13" s="18"/>
      <c r="B13" s="19" t="n">
        <v>12</v>
      </c>
      <c r="C13" s="20" t="s">
        <v>447</v>
      </c>
      <c r="D13" s="21" t="s">
        <v>448</v>
      </c>
      <c r="E13" s="22" t="s">
        <v>38</v>
      </c>
    </row>
    <row r="14" customFormat="false" ht="27" hidden="false" customHeight="true" outlineLevel="0" collapsed="false">
      <c r="A14" s="18"/>
      <c r="B14" s="19" t="n">
        <v>13</v>
      </c>
      <c r="C14" s="20" t="s">
        <v>449</v>
      </c>
      <c r="D14" s="21" t="s">
        <v>450</v>
      </c>
      <c r="E14" s="22" t="s">
        <v>38</v>
      </c>
    </row>
    <row r="15" customFormat="false" ht="13.5" hidden="false" customHeight="true" outlineLevel="0" collapsed="false">
      <c r="A15" s="24"/>
      <c r="B15" s="24"/>
      <c r="C15" s="24"/>
      <c r="D15" s="24"/>
      <c r="E15" s="24"/>
    </row>
    <row r="16" customFormat="false" ht="54.75" hidden="false" customHeight="true" outlineLevel="0" collapsed="false">
      <c r="A16" s="18" t="s">
        <v>129</v>
      </c>
      <c r="B16" s="19" t="n">
        <v>1</v>
      </c>
      <c r="C16" s="20" t="s">
        <v>451</v>
      </c>
      <c r="D16" s="23" t="s">
        <v>452</v>
      </c>
      <c r="E16" s="22" t="s">
        <v>38</v>
      </c>
    </row>
    <row r="17" customFormat="false" ht="69" hidden="false" customHeight="true" outlineLevel="0" collapsed="false">
      <c r="A17" s="18"/>
      <c r="B17" s="19" t="n">
        <v>2</v>
      </c>
      <c r="C17" s="20" t="s">
        <v>453</v>
      </c>
      <c r="D17" s="21" t="s">
        <v>454</v>
      </c>
      <c r="E17" s="22" t="s">
        <v>38</v>
      </c>
    </row>
    <row r="18" customFormat="false" ht="27" hidden="false" customHeight="true" outlineLevel="0" collapsed="false">
      <c r="A18" s="18"/>
      <c r="B18" s="19" t="n">
        <v>3</v>
      </c>
      <c r="C18" s="20" t="s">
        <v>455</v>
      </c>
      <c r="D18" s="21" t="s">
        <v>456</v>
      </c>
      <c r="E18" s="22" t="s">
        <v>38</v>
      </c>
    </row>
    <row r="19" customFormat="false" ht="27" hidden="false" customHeight="true" outlineLevel="0" collapsed="false">
      <c r="A19" s="18"/>
      <c r="B19" s="19" t="n">
        <v>4</v>
      </c>
      <c r="C19" s="20" t="s">
        <v>457</v>
      </c>
      <c r="D19" s="21" t="s">
        <v>269</v>
      </c>
      <c r="E19" s="22" t="s">
        <v>38</v>
      </c>
    </row>
    <row r="20" customFormat="false" ht="14.25" hidden="false" customHeight="true" outlineLevel="0" collapsed="false">
      <c r="A20" s="18"/>
      <c r="B20" s="19" t="n">
        <v>5</v>
      </c>
      <c r="C20" s="20" t="s">
        <v>458</v>
      </c>
      <c r="D20" s="21" t="s">
        <v>271</v>
      </c>
      <c r="E20" s="22" t="s">
        <v>38</v>
      </c>
    </row>
    <row r="21" customFormat="false" ht="27" hidden="false" customHeight="true" outlineLevel="0" collapsed="false">
      <c r="A21" s="18"/>
      <c r="B21" s="19" t="n">
        <v>6</v>
      </c>
      <c r="C21" s="20" t="s">
        <v>459</v>
      </c>
      <c r="D21" s="21" t="s">
        <v>273</v>
      </c>
      <c r="E21" s="22" t="s">
        <v>38</v>
      </c>
    </row>
    <row r="22" customFormat="false" ht="27" hidden="false" customHeight="true" outlineLevel="0" collapsed="false">
      <c r="A22" s="18"/>
      <c r="B22" s="19" t="n">
        <v>7</v>
      </c>
      <c r="C22" s="20" t="s">
        <v>460</v>
      </c>
      <c r="D22" s="21" t="s">
        <v>461</v>
      </c>
      <c r="E22" s="22" t="s">
        <v>38</v>
      </c>
    </row>
    <row r="23" customFormat="false" ht="27" hidden="false" customHeight="true" outlineLevel="0" collapsed="false">
      <c r="A23" s="18"/>
      <c r="B23" s="19" t="n">
        <v>8</v>
      </c>
      <c r="C23" s="20" t="s">
        <v>462</v>
      </c>
      <c r="D23" s="21" t="s">
        <v>463</v>
      </c>
      <c r="E23" s="22" t="s">
        <v>38</v>
      </c>
    </row>
    <row r="24" customFormat="false" ht="27.75" hidden="false" customHeight="true" outlineLevel="0" collapsed="false">
      <c r="A24" s="18"/>
      <c r="B24" s="19" t="n">
        <v>9</v>
      </c>
      <c r="C24" s="1" t="s">
        <v>284</v>
      </c>
      <c r="D24" s="21" t="s">
        <v>464</v>
      </c>
      <c r="E24" s="22" t="s">
        <v>38</v>
      </c>
    </row>
    <row r="25" customFormat="false" ht="14.25" hidden="false" customHeight="true" outlineLevel="0" collapsed="false">
      <c r="A25" s="18"/>
      <c r="B25" s="19" t="n">
        <v>10</v>
      </c>
      <c r="C25" s="1" t="s">
        <v>286</v>
      </c>
      <c r="D25" s="1" t="s">
        <v>465</v>
      </c>
      <c r="E25" s="22" t="s">
        <v>37</v>
      </c>
      <c r="F25" s="1" t="s">
        <v>466</v>
      </c>
    </row>
    <row r="26" customFormat="false" ht="13.5" hidden="false" customHeight="true" outlineLevel="0" collapsed="false">
      <c r="A26" s="24"/>
      <c r="B26" s="24"/>
      <c r="C26" s="24"/>
      <c r="D26" s="24"/>
      <c r="E26" s="24"/>
    </row>
    <row r="27" customFormat="false" ht="14.25" hidden="false" customHeight="true" outlineLevel="0" collapsed="false">
      <c r="A27" s="18" t="s">
        <v>145</v>
      </c>
      <c r="B27" s="19" t="n">
        <v>1</v>
      </c>
      <c r="C27" s="1" t="s">
        <v>288</v>
      </c>
      <c r="D27" s="1" t="s">
        <v>289</v>
      </c>
      <c r="E27" s="22" t="s">
        <v>37</v>
      </c>
      <c r="F27" s="1" t="s">
        <v>466</v>
      </c>
    </row>
    <row r="28" customFormat="false" ht="14.25" hidden="false" customHeight="true" outlineLevel="0" collapsed="false">
      <c r="A28" s="18"/>
      <c r="B28" s="19" t="n">
        <v>2</v>
      </c>
      <c r="C28" s="1" t="s">
        <v>290</v>
      </c>
      <c r="D28" s="1" t="s">
        <v>291</v>
      </c>
      <c r="E28" s="22" t="s">
        <v>37</v>
      </c>
      <c r="F28" s="1" t="s">
        <v>466</v>
      </c>
    </row>
    <row r="29" customFormat="false" ht="14.25" hidden="false" customHeight="true" outlineLevel="0" collapsed="false">
      <c r="A29" s="18"/>
      <c r="B29" s="19" t="n">
        <v>3</v>
      </c>
      <c r="C29" s="1" t="s">
        <v>292</v>
      </c>
      <c r="D29" s="1" t="s">
        <v>293</v>
      </c>
      <c r="E29" s="22" t="s">
        <v>37</v>
      </c>
      <c r="F29" s="1" t="s">
        <v>466</v>
      </c>
    </row>
    <row r="30" customFormat="false" ht="248.25" hidden="false" customHeight="true" outlineLevel="0" collapsed="false">
      <c r="A30" s="18"/>
      <c r="B30" s="19" t="n">
        <v>4</v>
      </c>
      <c r="C30" s="20" t="s">
        <v>294</v>
      </c>
      <c r="D30" s="21" t="s">
        <v>295</v>
      </c>
      <c r="E30" s="22" t="s">
        <v>37</v>
      </c>
      <c r="F30" s="1" t="s">
        <v>466</v>
      </c>
    </row>
    <row r="31" customFormat="false" ht="27" hidden="false" customHeight="true" outlineLevel="0" collapsed="false">
      <c r="A31" s="18"/>
      <c r="B31" s="19" t="n">
        <v>5</v>
      </c>
      <c r="C31" s="20" t="s">
        <v>296</v>
      </c>
      <c r="D31" s="21" t="s">
        <v>297</v>
      </c>
      <c r="E31" s="22" t="s">
        <v>37</v>
      </c>
      <c r="F31" s="1" t="s">
        <v>466</v>
      </c>
    </row>
    <row r="32" customFormat="false" ht="54.75" hidden="false" customHeight="true" outlineLevel="0" collapsed="false">
      <c r="A32" s="18"/>
      <c r="B32" s="19" t="n">
        <v>6</v>
      </c>
      <c r="C32" s="20" t="s">
        <v>298</v>
      </c>
      <c r="D32" s="21" t="s">
        <v>299</v>
      </c>
      <c r="E32" s="22" t="s">
        <v>37</v>
      </c>
      <c r="F32" s="1" t="s">
        <v>466</v>
      </c>
    </row>
    <row r="33" customFormat="false" ht="54.75" hidden="false" customHeight="true" outlineLevel="0" collapsed="false">
      <c r="A33" s="18"/>
      <c r="B33" s="19" t="n">
        <v>7</v>
      </c>
      <c r="C33" s="20" t="s">
        <v>300</v>
      </c>
      <c r="D33" s="21" t="s">
        <v>301</v>
      </c>
      <c r="E33" s="22" t="s">
        <v>37</v>
      </c>
      <c r="F33" s="1" t="s">
        <v>466</v>
      </c>
    </row>
    <row r="34" customFormat="false" ht="14.25" hidden="false" customHeight="true" outlineLevel="0" collapsed="false">
      <c r="A34" s="18"/>
      <c r="B34" s="19" t="n">
        <v>8</v>
      </c>
      <c r="C34" s="1" t="s">
        <v>302</v>
      </c>
      <c r="D34" s="1" t="s">
        <v>303</v>
      </c>
      <c r="E34" s="22" t="s">
        <v>37</v>
      </c>
      <c r="F34" s="1" t="s">
        <v>466</v>
      </c>
    </row>
    <row r="35" customFormat="false" ht="27" hidden="false" customHeight="true" outlineLevel="0" collapsed="false">
      <c r="A35" s="18"/>
      <c r="B35" s="19" t="n">
        <v>9</v>
      </c>
      <c r="C35" s="20" t="s">
        <v>304</v>
      </c>
      <c r="D35" s="21" t="s">
        <v>305</v>
      </c>
      <c r="E35" s="22" t="s">
        <v>37</v>
      </c>
      <c r="F35" s="1" t="s">
        <v>466</v>
      </c>
    </row>
    <row r="36" customFormat="false" ht="14.25" hidden="false" customHeight="true" outlineLevel="0" collapsed="false">
      <c r="A36" s="18"/>
      <c r="B36" s="19" t="n">
        <v>10</v>
      </c>
      <c r="C36" s="1" t="s">
        <v>306</v>
      </c>
      <c r="D36" s="1" t="s">
        <v>307</v>
      </c>
      <c r="E36" s="22" t="s">
        <v>37</v>
      </c>
      <c r="F36" s="1" t="s">
        <v>466</v>
      </c>
    </row>
    <row r="37" customFormat="false" ht="27" hidden="false" customHeight="true" outlineLevel="0" collapsed="false">
      <c r="A37" s="18"/>
      <c r="B37" s="19" t="n">
        <v>11</v>
      </c>
      <c r="C37" s="20" t="s">
        <v>308</v>
      </c>
      <c r="D37" s="21" t="s">
        <v>309</v>
      </c>
      <c r="E37" s="22" t="s">
        <v>37</v>
      </c>
      <c r="F37" s="1" t="s">
        <v>466</v>
      </c>
    </row>
    <row r="38" customFormat="false" ht="27" hidden="false" customHeight="true" outlineLevel="0" collapsed="false">
      <c r="A38" s="18"/>
      <c r="B38" s="19" t="n">
        <v>12</v>
      </c>
      <c r="C38" s="20" t="s">
        <v>310</v>
      </c>
      <c r="D38" s="21" t="s">
        <v>311</v>
      </c>
      <c r="E38" s="22" t="s">
        <v>38</v>
      </c>
    </row>
    <row r="39" customFormat="false" ht="27" hidden="false" customHeight="true" outlineLevel="0" collapsed="false">
      <c r="A39" s="18"/>
      <c r="B39" s="19" t="n">
        <v>13</v>
      </c>
      <c r="C39" s="21" t="s">
        <v>312</v>
      </c>
      <c r="D39" s="21" t="s">
        <v>313</v>
      </c>
      <c r="E39" s="22" t="s">
        <v>38</v>
      </c>
    </row>
    <row r="40" customFormat="false" ht="27" hidden="false" customHeight="true" outlineLevel="0" collapsed="false">
      <c r="A40" s="18"/>
      <c r="B40" s="19" t="n">
        <v>14</v>
      </c>
      <c r="C40" s="20" t="s">
        <v>314</v>
      </c>
      <c r="D40" s="21" t="s">
        <v>315</v>
      </c>
      <c r="E40" s="22" t="s">
        <v>38</v>
      </c>
    </row>
    <row r="41" customFormat="false" ht="13.5" hidden="false" customHeight="true" outlineLevel="0" collapsed="false">
      <c r="A41" s="24"/>
      <c r="B41" s="24"/>
      <c r="C41" s="24"/>
      <c r="D41" s="24"/>
      <c r="E41" s="24"/>
    </row>
    <row r="42" customFormat="false" ht="213" hidden="false" customHeight="true" outlineLevel="0" collapsed="false">
      <c r="A42" s="19" t="s">
        <v>467</v>
      </c>
      <c r="B42" s="19" t="n">
        <v>1</v>
      </c>
      <c r="C42" s="20" t="s">
        <v>468</v>
      </c>
      <c r="D42" s="21" t="s">
        <v>469</v>
      </c>
      <c r="E42" s="22" t="s">
        <v>38</v>
      </c>
    </row>
    <row r="43" customFormat="false" ht="13.5" hidden="false" customHeight="true" outlineLevel="0" collapsed="false">
      <c r="A43" s="24"/>
      <c r="B43" s="24"/>
      <c r="C43" s="24"/>
      <c r="D43" s="24"/>
      <c r="E43" s="24"/>
    </row>
    <row r="44" customFormat="false" ht="27" hidden="false" customHeight="true" outlineLevel="0" collapsed="false">
      <c r="A44" s="18" t="s">
        <v>470</v>
      </c>
      <c r="B44" s="19" t="n">
        <v>1</v>
      </c>
      <c r="C44" s="21" t="s">
        <v>471</v>
      </c>
      <c r="D44" s="21" t="s">
        <v>472</v>
      </c>
      <c r="E44" s="22" t="s">
        <v>38</v>
      </c>
    </row>
    <row r="45" customFormat="false" ht="41.25" hidden="false" customHeight="true" outlineLevel="0" collapsed="false">
      <c r="A45" s="18"/>
      <c r="B45" s="19" t="n">
        <v>2</v>
      </c>
      <c r="C45" s="21" t="s">
        <v>473</v>
      </c>
      <c r="D45" s="21" t="s">
        <v>474</v>
      </c>
      <c r="E45" s="22" t="s">
        <v>38</v>
      </c>
    </row>
    <row r="46" customFormat="false" ht="13.5" hidden="false" customHeight="true" outlineLevel="0" collapsed="false">
      <c r="A46" s="24"/>
      <c r="B46" s="24"/>
      <c r="C46" s="24"/>
      <c r="D46" s="24"/>
      <c r="E46" s="24"/>
    </row>
    <row r="47" customFormat="false" ht="14.25" hidden="false" customHeight="true" outlineLevel="0" collapsed="false">
      <c r="A47" s="18" t="s">
        <v>319</v>
      </c>
      <c r="B47" s="19" t="n">
        <v>1</v>
      </c>
      <c r="C47" s="1" t="s">
        <v>320</v>
      </c>
      <c r="D47" s="1" t="s">
        <v>321</v>
      </c>
      <c r="E47" s="22" t="s">
        <v>38</v>
      </c>
    </row>
    <row r="48" customFormat="false" ht="14.25" hidden="false" customHeight="true" outlineLevel="0" collapsed="false">
      <c r="A48" s="18"/>
      <c r="B48" s="19" t="n">
        <v>2</v>
      </c>
      <c r="C48" s="1" t="s">
        <v>258</v>
      </c>
      <c r="D48" s="1" t="s">
        <v>259</v>
      </c>
      <c r="E48" s="22" t="s">
        <v>38</v>
      </c>
    </row>
    <row r="49" customFormat="false" ht="82.5" hidden="false" customHeight="true" outlineLevel="0" collapsed="false">
      <c r="A49" s="18"/>
      <c r="B49" s="19" t="n">
        <v>3</v>
      </c>
      <c r="C49" s="20" t="s">
        <v>322</v>
      </c>
      <c r="D49" s="21" t="s">
        <v>323</v>
      </c>
      <c r="E49" s="22" t="s">
        <v>38</v>
      </c>
    </row>
    <row r="50" customFormat="false" ht="96" hidden="false" customHeight="true" outlineLevel="0" collapsed="false">
      <c r="A50" s="18"/>
      <c r="B50" s="19" t="n">
        <v>4</v>
      </c>
      <c r="C50" s="20" t="s">
        <v>324</v>
      </c>
      <c r="D50" s="21" t="s">
        <v>325</v>
      </c>
      <c r="E50" s="22" t="s">
        <v>38</v>
      </c>
    </row>
    <row r="51" customFormat="false" ht="41.25" hidden="false" customHeight="true" outlineLevel="0" collapsed="false">
      <c r="A51" s="18"/>
      <c r="B51" s="19" t="n">
        <v>5</v>
      </c>
      <c r="C51" s="23" t="s">
        <v>326</v>
      </c>
      <c r="D51" s="21" t="s">
        <v>327</v>
      </c>
      <c r="E51" s="22" t="s">
        <v>38</v>
      </c>
    </row>
    <row r="52" customFormat="false" ht="13.5" hidden="false" customHeight="true" outlineLevel="0" collapsed="false">
      <c r="A52" s="24"/>
      <c r="B52" s="24"/>
      <c r="C52" s="24"/>
      <c r="D52" s="24"/>
      <c r="E52" s="24"/>
    </row>
    <row r="53" customFormat="false" ht="27" hidden="false" customHeight="true" outlineLevel="0" collapsed="false">
      <c r="A53" s="18" t="s">
        <v>328</v>
      </c>
      <c r="B53" s="19" t="n">
        <v>1</v>
      </c>
      <c r="C53" s="20" t="s">
        <v>329</v>
      </c>
      <c r="D53" s="21" t="s">
        <v>330</v>
      </c>
      <c r="E53" s="22" t="s">
        <v>38</v>
      </c>
    </row>
    <row r="54" customFormat="false" ht="27" hidden="false" customHeight="true" outlineLevel="0" collapsed="false">
      <c r="A54" s="18"/>
      <c r="B54" s="19" t="n">
        <v>2</v>
      </c>
      <c r="C54" s="21" t="s">
        <v>331</v>
      </c>
      <c r="D54" s="21" t="s">
        <v>332</v>
      </c>
      <c r="E54" s="22" t="s">
        <v>38</v>
      </c>
    </row>
    <row r="55" customFormat="false" ht="14.25" hidden="false" customHeight="true" outlineLevel="0" collapsed="false">
      <c r="A55" s="18"/>
      <c r="B55" s="19" t="n">
        <v>3</v>
      </c>
      <c r="C55" s="1" t="s">
        <v>333</v>
      </c>
      <c r="D55" s="1" t="s">
        <v>334</v>
      </c>
      <c r="E55" s="22" t="s">
        <v>38</v>
      </c>
    </row>
    <row r="56" customFormat="false" ht="27" hidden="false" customHeight="true" outlineLevel="0" collapsed="false">
      <c r="A56" s="18"/>
      <c r="B56" s="19" t="n">
        <v>4</v>
      </c>
      <c r="C56" s="21" t="s">
        <v>335</v>
      </c>
      <c r="D56" s="20" t="s">
        <v>336</v>
      </c>
      <c r="E56" s="22" t="s">
        <v>38</v>
      </c>
    </row>
    <row r="57" customFormat="false" ht="69" hidden="false" customHeight="true" outlineLevel="0" collapsed="false">
      <c r="A57" s="18"/>
      <c r="B57" s="19" t="n">
        <v>5</v>
      </c>
      <c r="C57" s="20" t="s">
        <v>337</v>
      </c>
      <c r="D57" s="21" t="s">
        <v>338</v>
      </c>
      <c r="E57" s="22" t="s">
        <v>38</v>
      </c>
    </row>
    <row r="58" customFormat="false" ht="27" hidden="false" customHeight="true" outlineLevel="0" collapsed="false">
      <c r="A58" s="18"/>
      <c r="B58" s="19" t="n">
        <v>6</v>
      </c>
      <c r="C58" s="20" t="s">
        <v>339</v>
      </c>
      <c r="D58" s="21" t="s">
        <v>340</v>
      </c>
      <c r="E58" s="22" t="s">
        <v>38</v>
      </c>
    </row>
    <row r="59" customFormat="false" ht="27" hidden="false" customHeight="true" outlineLevel="0" collapsed="false">
      <c r="A59" s="18"/>
      <c r="B59" s="19" t="n">
        <v>7</v>
      </c>
      <c r="C59" s="20" t="s">
        <v>341</v>
      </c>
      <c r="D59" s="21" t="s">
        <v>342</v>
      </c>
      <c r="E59" s="22" t="s">
        <v>38</v>
      </c>
    </row>
    <row r="60" customFormat="false" ht="27" hidden="false" customHeight="true" outlineLevel="0" collapsed="false">
      <c r="A60" s="18"/>
      <c r="B60" s="19" t="n">
        <v>8</v>
      </c>
      <c r="C60" s="20" t="s">
        <v>343</v>
      </c>
      <c r="D60" s="21" t="s">
        <v>344</v>
      </c>
      <c r="E60" s="22" t="s">
        <v>38</v>
      </c>
    </row>
    <row r="61" customFormat="false" ht="27" hidden="false" customHeight="true" outlineLevel="0" collapsed="false">
      <c r="A61" s="18"/>
      <c r="B61" s="19" t="n">
        <v>9</v>
      </c>
      <c r="C61" s="21" t="s">
        <v>345</v>
      </c>
      <c r="D61" s="21" t="s">
        <v>346</v>
      </c>
      <c r="E61" s="22" t="s">
        <v>38</v>
      </c>
    </row>
    <row r="62" customFormat="false" ht="27" hidden="false" customHeight="true" outlineLevel="0" collapsed="false">
      <c r="A62" s="18"/>
      <c r="B62" s="19" t="n">
        <v>10</v>
      </c>
      <c r="C62" s="20" t="s">
        <v>347</v>
      </c>
      <c r="D62" s="21" t="s">
        <v>348</v>
      </c>
      <c r="E62" s="22" t="s">
        <v>38</v>
      </c>
    </row>
    <row r="63" customFormat="false" ht="13.5" hidden="false" customHeight="true" outlineLevel="0" collapsed="false">
      <c r="A63" s="24"/>
      <c r="B63" s="24"/>
      <c r="C63" s="24"/>
      <c r="D63" s="24"/>
      <c r="E63" s="24"/>
    </row>
    <row r="64" customFormat="false" ht="14.25" hidden="false" customHeight="true" outlineLevel="0" collapsed="false">
      <c r="A64" s="18" t="s">
        <v>216</v>
      </c>
      <c r="B64" s="19" t="n">
        <v>1</v>
      </c>
      <c r="C64" s="1" t="s">
        <v>217</v>
      </c>
      <c r="D64" s="1" t="s">
        <v>218</v>
      </c>
      <c r="E64" s="22" t="s">
        <v>38</v>
      </c>
    </row>
    <row r="65" customFormat="false" ht="14.25" hidden="false" customHeight="true" outlineLevel="0" collapsed="false">
      <c r="A65" s="18"/>
      <c r="B65" s="19" t="n">
        <v>2</v>
      </c>
      <c r="C65" s="1" t="s">
        <v>219</v>
      </c>
      <c r="D65" s="1" t="s">
        <v>220</v>
      </c>
      <c r="E65" s="22" t="s">
        <v>38</v>
      </c>
    </row>
    <row r="66" customFormat="false" ht="27" hidden="false" customHeight="true" outlineLevel="0" collapsed="false">
      <c r="A66" s="18"/>
      <c r="B66" s="19" t="n">
        <v>3</v>
      </c>
      <c r="C66" s="21" t="s">
        <v>221</v>
      </c>
      <c r="D66" s="21" t="s">
        <v>222</v>
      </c>
      <c r="E66" s="22" t="s">
        <v>38</v>
      </c>
    </row>
    <row r="67" customFormat="false" ht="27" hidden="false" customHeight="true" outlineLevel="0" collapsed="false">
      <c r="A67" s="18"/>
      <c r="B67" s="19" t="n">
        <v>4</v>
      </c>
      <c r="C67" s="20" t="s">
        <v>223</v>
      </c>
      <c r="D67" s="21" t="s">
        <v>224</v>
      </c>
      <c r="E67" s="22" t="s">
        <v>38</v>
      </c>
    </row>
    <row r="68" customFormat="false" ht="41.25" hidden="false" customHeight="true" outlineLevel="0" collapsed="false">
      <c r="A68" s="18"/>
      <c r="B68" s="19" t="n">
        <v>5</v>
      </c>
      <c r="C68" s="20" t="s">
        <v>225</v>
      </c>
      <c r="D68" s="21" t="s">
        <v>226</v>
      </c>
      <c r="E68" s="22" t="s">
        <v>38</v>
      </c>
    </row>
    <row r="69" customFormat="false" ht="41.25" hidden="false" customHeight="true" outlineLevel="0" collapsed="false">
      <c r="A69" s="18"/>
      <c r="B69" s="19" t="n">
        <v>6</v>
      </c>
      <c r="C69" s="20" t="s">
        <v>227</v>
      </c>
      <c r="D69" s="21" t="s">
        <v>228</v>
      </c>
      <c r="E69" s="22" t="s">
        <v>38</v>
      </c>
    </row>
    <row r="70" customFormat="false" ht="27" hidden="false" customHeight="true" outlineLevel="0" collapsed="false">
      <c r="A70" s="18"/>
      <c r="B70" s="19" t="n">
        <v>7</v>
      </c>
      <c r="C70" s="1" t="s">
        <v>229</v>
      </c>
      <c r="D70" s="21" t="s">
        <v>230</v>
      </c>
      <c r="E70" s="22" t="s">
        <v>38</v>
      </c>
    </row>
  </sheetData>
  <autoFilter ref="A1:G70"/>
  <mergeCells count="7">
    <mergeCell ref="A2:A14"/>
    <mergeCell ref="A16:A25"/>
    <mergeCell ref="A27:A40"/>
    <mergeCell ref="A44:A45"/>
    <mergeCell ref="A47:A51"/>
    <mergeCell ref="A53:A62"/>
    <mergeCell ref="A64:A70"/>
  </mergeCells>
  <conditionalFormatting sqref="E64:E70">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53:E62">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conditionalFormatting sqref="E47:E51">
    <cfRule type="cellIs" priority="12" operator="equal" aboveAverage="0" equalAverage="0" bottom="0" percent="0" rank="0" text="" dxfId="8">
      <formula>"Blocked"</formula>
    </cfRule>
    <cfRule type="cellIs" priority="13" operator="equal" aboveAverage="0" equalAverage="0" bottom="0" percent="0" rank="0" text="" dxfId="9">
      <formula>"Skipped"</formula>
    </cfRule>
    <cfRule type="cellIs" priority="14" operator="equal" aboveAverage="0" equalAverage="0" bottom="0" percent="0" rank="0" text="" dxfId="10">
      <formula>"Not Tested"</formula>
    </cfRule>
    <cfRule type="cellIs" priority="15" operator="equal" aboveAverage="0" equalAverage="0" bottom="0" percent="0" rank="0" text="" dxfId="11">
      <formula>"Passed"</formula>
    </cfRule>
    <cfRule type="cellIs" priority="16" operator="equal" aboveAverage="0" equalAverage="0" bottom="0" percent="0" rank="0" text="" dxfId="12">
      <formula>"Failed"</formula>
    </cfRule>
  </conditionalFormatting>
  <conditionalFormatting sqref="E45">
    <cfRule type="cellIs" priority="17" operator="equal" aboveAverage="0" equalAverage="0" bottom="0" percent="0" rank="0" text="" dxfId="8">
      <formula>"Blocked"</formula>
    </cfRule>
    <cfRule type="cellIs" priority="18" operator="equal" aboveAverage="0" equalAverage="0" bottom="0" percent="0" rank="0" text="" dxfId="9">
      <formula>"Skipped"</formula>
    </cfRule>
    <cfRule type="cellIs" priority="19" operator="equal" aboveAverage="0" equalAverage="0" bottom="0" percent="0" rank="0" text="" dxfId="10">
      <formula>"Not Tested"</formula>
    </cfRule>
    <cfRule type="cellIs" priority="20" operator="equal" aboveAverage="0" equalAverage="0" bottom="0" percent="0" rank="0" text="" dxfId="11">
      <formula>"Passed"</formula>
    </cfRule>
    <cfRule type="cellIs" priority="21" operator="equal" aboveAverage="0" equalAverage="0" bottom="0" percent="0" rank="0" text="" dxfId="12">
      <formula>"Failed"</formula>
    </cfRule>
  </conditionalFormatting>
  <conditionalFormatting sqref="E44">
    <cfRule type="cellIs" priority="22" operator="equal" aboveAverage="0" equalAverage="0" bottom="0" percent="0" rank="0" text="" dxfId="8">
      <formula>"Blocked"</formula>
    </cfRule>
    <cfRule type="cellIs" priority="23" operator="equal" aboveAverage="0" equalAverage="0" bottom="0" percent="0" rank="0" text="" dxfId="9">
      <formula>"Skipped"</formula>
    </cfRule>
    <cfRule type="cellIs" priority="24" operator="equal" aboveAverage="0" equalAverage="0" bottom="0" percent="0" rank="0" text="" dxfId="10">
      <formula>"Not Tested"</formula>
    </cfRule>
    <cfRule type="cellIs" priority="25" operator="equal" aboveAverage="0" equalAverage="0" bottom="0" percent="0" rank="0" text="" dxfId="11">
      <formula>"Passed"</formula>
    </cfRule>
    <cfRule type="cellIs" priority="26" operator="equal" aboveAverage="0" equalAverage="0" bottom="0" percent="0" rank="0" text="" dxfId="12">
      <formula>"Failed"</formula>
    </cfRule>
  </conditionalFormatting>
  <conditionalFormatting sqref="E42">
    <cfRule type="cellIs" priority="27" operator="equal" aboveAverage="0" equalAverage="0" bottom="0" percent="0" rank="0" text="" dxfId="8">
      <formula>"Blocked"</formula>
    </cfRule>
    <cfRule type="cellIs" priority="28" operator="equal" aboveAverage="0" equalAverage="0" bottom="0" percent="0" rank="0" text="" dxfId="9">
      <formula>"Skipped"</formula>
    </cfRule>
    <cfRule type="cellIs" priority="29" operator="equal" aboveAverage="0" equalAverage="0" bottom="0" percent="0" rank="0" text="" dxfId="10">
      <formula>"Not Tested"</formula>
    </cfRule>
    <cfRule type="cellIs" priority="30" operator="equal" aboveAverage="0" equalAverage="0" bottom="0" percent="0" rank="0" text="" dxfId="11">
      <formula>"Passed"</formula>
    </cfRule>
    <cfRule type="cellIs" priority="31" operator="equal" aboveAverage="0" equalAverage="0" bottom="0" percent="0" rank="0" text="" dxfId="12">
      <formula>"Failed"</formula>
    </cfRule>
  </conditionalFormatting>
  <conditionalFormatting sqref="E27:E40">
    <cfRule type="cellIs" priority="32" operator="equal" aboveAverage="0" equalAverage="0" bottom="0" percent="0" rank="0" text="" dxfId="8">
      <formula>"Blocked"</formula>
    </cfRule>
    <cfRule type="cellIs" priority="33" operator="equal" aboveAverage="0" equalAverage="0" bottom="0" percent="0" rank="0" text="" dxfId="9">
      <formula>"Skipped"</formula>
    </cfRule>
    <cfRule type="cellIs" priority="34" operator="equal" aboveAverage="0" equalAverage="0" bottom="0" percent="0" rank="0" text="" dxfId="10">
      <formula>"Not Tested"</formula>
    </cfRule>
    <cfRule type="cellIs" priority="35" operator="equal" aboveAverage="0" equalAverage="0" bottom="0" percent="0" rank="0" text="" dxfId="11">
      <formula>"Passed"</formula>
    </cfRule>
    <cfRule type="cellIs" priority="36" operator="equal" aboveAverage="0" equalAverage="0" bottom="0" percent="0" rank="0" text="" dxfId="12">
      <formula>"Failed"</formula>
    </cfRule>
  </conditionalFormatting>
  <conditionalFormatting sqref="E16:E25">
    <cfRule type="cellIs" priority="37" operator="equal" aboveAverage="0" equalAverage="0" bottom="0" percent="0" rank="0" text="" dxfId="8">
      <formula>"Blocked"</formula>
    </cfRule>
    <cfRule type="cellIs" priority="38" operator="equal" aboveAverage="0" equalAverage="0" bottom="0" percent="0" rank="0" text="" dxfId="9">
      <formula>"Skipped"</formula>
    </cfRule>
    <cfRule type="cellIs" priority="39" operator="equal" aboveAverage="0" equalAverage="0" bottom="0" percent="0" rank="0" text="" dxfId="10">
      <formula>"Not Tested"</formula>
    </cfRule>
    <cfRule type="cellIs" priority="40" operator="equal" aboveAverage="0" equalAverage="0" bottom="0" percent="0" rank="0" text="" dxfId="11">
      <formula>"Passed"</formula>
    </cfRule>
    <cfRule type="cellIs" priority="41" operator="equal" aboveAverage="0" equalAverage="0" bottom="0" percent="0" rank="0" text="" dxfId="12">
      <formula>"Failed"</formula>
    </cfRule>
  </conditionalFormatting>
  <conditionalFormatting sqref="E2:E14">
    <cfRule type="cellIs" priority="42" operator="equal" aboveAverage="0" equalAverage="0" bottom="0" percent="0" rank="0" text="" dxfId="8">
      <formula>"Blocked"</formula>
    </cfRule>
    <cfRule type="cellIs" priority="43" operator="equal" aboveAverage="0" equalAverage="0" bottom="0" percent="0" rank="0" text="" dxfId="9">
      <formula>"Skipped"</formula>
    </cfRule>
    <cfRule type="cellIs" priority="44" operator="equal" aboveAverage="0" equalAverage="0" bottom="0" percent="0" rank="0" text="" dxfId="10">
      <formula>"Not Tested"</formula>
    </cfRule>
    <cfRule type="cellIs" priority="45" operator="equal" aboveAverage="0" equalAverage="0" bottom="0" percent="0" rank="0" text="" dxfId="11">
      <formula>"Passed"</formula>
    </cfRule>
    <cfRule type="cellIs" priority="46"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70"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3"/>
  <sheetViews>
    <sheetView showFormulas="false" showGridLines="true" showRowColHeaders="true" showZeros="true" rightToLeft="false" tabSelected="false" showOutlineSymbols="true" defaultGridColor="true" view="normal" topLeftCell="A39" colorId="64" zoomScale="100" zoomScaleNormal="100" zoomScalePageLayoutView="100" workbookViewId="0">
      <pane xSplit="0" ySplit="1" topLeftCell="A2" activePane="bottomLeft" state="frozen"/>
      <selection pane="topLeft" activeCell="A39" activeCellId="0" sqref="A39"/>
      <selection pane="bottomLeft" activeCell="A38" activeCellId="0" sqref="A38"/>
    </sheetView>
  </sheetViews>
  <sheetFormatPr defaultColWidth="8.5390625" defaultRowHeight="13.5" customHeight="false" zeroHeight="false" outlineLevelRow="0" outlineLevelCol="0"/>
  <cols>
    <col collapsed="false" customWidth="true" hidden="false" outlineLevel="0" max="1" min="1" style="1" width="29.9"/>
    <col collapsed="false" customWidth="true" hidden="false" outlineLevel="0" max="2" min="2" style="1" width="27"/>
    <col collapsed="false" customWidth="true" hidden="false" outlineLevel="0" max="3" min="3" style="1" width="32.1"/>
    <col collapsed="false" customWidth="true" hidden="false" outlineLevel="0" max="4" min="4" style="1" width="44"/>
    <col collapsed="false" customWidth="true" hidden="false" outlineLevel="0" max="5" min="5" style="1" width="30.4"/>
    <col collapsed="false" customWidth="true" hidden="false" outlineLevel="0" max="6" min="6" style="1" width="28.3"/>
    <col collapsed="false" customWidth="true" hidden="false" outlineLevel="0" max="7" min="7" style="1" width="12"/>
    <col collapsed="false" customWidth="true" hidden="false" outlineLevel="0" max="9" min="9" style="1" width="55"/>
  </cols>
  <sheetData>
    <row r="1" customFormat="false" ht="13.5" hidden="false" customHeight="true" outlineLevel="0" collapsed="false">
      <c r="A1" s="15" t="s">
        <v>33</v>
      </c>
      <c r="B1" s="16" t="s">
        <v>65</v>
      </c>
      <c r="C1" s="16" t="s">
        <v>66</v>
      </c>
      <c r="D1" s="16" t="s">
        <v>67</v>
      </c>
      <c r="E1" s="16" t="s">
        <v>68</v>
      </c>
      <c r="F1" s="16" t="s">
        <v>69</v>
      </c>
      <c r="G1" s="17" t="s">
        <v>70</v>
      </c>
      <c r="I1" s="32" t="s">
        <v>475</v>
      </c>
    </row>
    <row r="2" customFormat="false" ht="41.25" hidden="false" customHeight="true" outlineLevel="0" collapsed="false">
      <c r="A2" s="18" t="s">
        <v>71</v>
      </c>
      <c r="B2" s="19" t="n">
        <v>1</v>
      </c>
      <c r="C2" s="20" t="s">
        <v>476</v>
      </c>
      <c r="D2" s="23" t="s">
        <v>477</v>
      </c>
      <c r="E2" s="22" t="s">
        <v>39</v>
      </c>
      <c r="F2" s="1" t="s">
        <v>478</v>
      </c>
    </row>
    <row r="3" customFormat="false" ht="14.25" hidden="false" customHeight="true" outlineLevel="0" collapsed="false">
      <c r="A3" s="18"/>
      <c r="B3" s="19" t="n">
        <v>2</v>
      </c>
      <c r="C3" s="1" t="s">
        <v>407</v>
      </c>
      <c r="D3" s="1" t="s">
        <v>75</v>
      </c>
      <c r="E3" s="22" t="s">
        <v>39</v>
      </c>
      <c r="F3" s="1" t="s">
        <v>478</v>
      </c>
    </row>
    <row r="4" customFormat="false" ht="54.75" hidden="false" customHeight="true" outlineLevel="0" collapsed="false">
      <c r="A4" s="18"/>
      <c r="B4" s="19" t="n">
        <v>3</v>
      </c>
      <c r="C4" s="20" t="s">
        <v>76</v>
      </c>
      <c r="D4" s="23" t="s">
        <v>77</v>
      </c>
      <c r="E4" s="22" t="s">
        <v>39</v>
      </c>
      <c r="F4" s="1" t="s">
        <v>478</v>
      </c>
    </row>
    <row r="5" customFormat="false" ht="27" hidden="false" customHeight="true" outlineLevel="0" collapsed="false">
      <c r="A5" s="18"/>
      <c r="B5" s="19" t="n">
        <v>4</v>
      </c>
      <c r="C5" s="20" t="s">
        <v>78</v>
      </c>
      <c r="D5" s="23" t="s">
        <v>79</v>
      </c>
      <c r="E5" s="22" t="s">
        <v>39</v>
      </c>
      <c r="F5" s="1" t="s">
        <v>478</v>
      </c>
    </row>
    <row r="6" customFormat="false" ht="41.25" hidden="false" customHeight="true" outlineLevel="0" collapsed="false">
      <c r="A6" s="18"/>
      <c r="B6" s="19" t="n">
        <v>5</v>
      </c>
      <c r="C6" s="20" t="s">
        <v>80</v>
      </c>
      <c r="D6" s="23" t="s">
        <v>81</v>
      </c>
      <c r="E6" s="22" t="s">
        <v>39</v>
      </c>
      <c r="F6" s="1" t="s">
        <v>478</v>
      </c>
    </row>
    <row r="7" customFormat="false" ht="41.25" hidden="false" customHeight="true" outlineLevel="0" collapsed="false">
      <c r="A7" s="18"/>
      <c r="B7" s="19" t="n">
        <v>6</v>
      </c>
      <c r="C7" s="20" t="s">
        <v>82</v>
      </c>
      <c r="D7" s="23" t="s">
        <v>83</v>
      </c>
      <c r="E7" s="22" t="s">
        <v>39</v>
      </c>
      <c r="F7" s="1" t="s">
        <v>478</v>
      </c>
    </row>
    <row r="8" customFormat="false" ht="27" hidden="false" customHeight="true" outlineLevel="0" collapsed="false">
      <c r="A8" s="18"/>
      <c r="B8" s="19" t="n">
        <v>7</v>
      </c>
      <c r="C8" s="20" t="s">
        <v>84</v>
      </c>
      <c r="D8" s="23" t="s">
        <v>85</v>
      </c>
      <c r="E8" s="22" t="s">
        <v>39</v>
      </c>
      <c r="F8" s="1" t="s">
        <v>478</v>
      </c>
    </row>
    <row r="9" customFormat="false" ht="14.25" hidden="false" customHeight="true" outlineLevel="0" collapsed="false">
      <c r="A9" s="18"/>
      <c r="B9" s="19" t="n">
        <v>8</v>
      </c>
      <c r="C9" s="1" t="s">
        <v>86</v>
      </c>
      <c r="D9" s="1" t="s">
        <v>87</v>
      </c>
      <c r="E9" s="22" t="s">
        <v>39</v>
      </c>
      <c r="F9" s="1" t="s">
        <v>478</v>
      </c>
    </row>
    <row r="10" customFormat="false" ht="14.25" hidden="false" customHeight="true" outlineLevel="0" collapsed="false">
      <c r="A10" s="18"/>
      <c r="B10" s="19" t="n">
        <v>9</v>
      </c>
      <c r="C10" s="1" t="s">
        <v>236</v>
      </c>
      <c r="D10" s="1" t="s">
        <v>237</v>
      </c>
      <c r="E10" s="22" t="s">
        <v>39</v>
      </c>
      <c r="F10" s="1" t="s">
        <v>478</v>
      </c>
    </row>
    <row r="11" customFormat="false" ht="13.5" hidden="false" customHeight="true" outlineLevel="0" collapsed="false">
      <c r="A11" s="24"/>
      <c r="B11" s="24"/>
      <c r="C11" s="24"/>
      <c r="D11" s="24"/>
      <c r="E11" s="24"/>
      <c r="F11" s="24"/>
    </row>
    <row r="12" customFormat="false" ht="130.5" hidden="false" customHeight="true" outlineLevel="0" collapsed="false">
      <c r="A12" s="18" t="s">
        <v>408</v>
      </c>
      <c r="B12" s="19" t="n">
        <v>1</v>
      </c>
      <c r="C12" s="20" t="s">
        <v>479</v>
      </c>
      <c r="D12" s="23" t="s">
        <v>480</v>
      </c>
      <c r="E12" s="22" t="s">
        <v>39</v>
      </c>
      <c r="F12" s="1" t="s">
        <v>478</v>
      </c>
    </row>
    <row r="13" customFormat="false" ht="27" hidden="false" customHeight="true" outlineLevel="0" collapsed="false">
      <c r="A13" s="18"/>
      <c r="B13" s="19" t="n">
        <v>2</v>
      </c>
      <c r="C13" s="21" t="s">
        <v>481</v>
      </c>
      <c r="D13" s="1" t="s">
        <v>482</v>
      </c>
      <c r="E13" s="22" t="s">
        <v>39</v>
      </c>
      <c r="F13" s="1" t="s">
        <v>478</v>
      </c>
    </row>
    <row r="14" customFormat="false" ht="54.75" hidden="false" customHeight="true" outlineLevel="0" collapsed="false">
      <c r="A14" s="18"/>
      <c r="B14" s="19" t="n">
        <v>3</v>
      </c>
      <c r="C14" s="20" t="s">
        <v>154</v>
      </c>
      <c r="D14" s="21" t="s">
        <v>155</v>
      </c>
      <c r="E14" s="22" t="s">
        <v>39</v>
      </c>
      <c r="F14" s="1" t="s">
        <v>478</v>
      </c>
    </row>
    <row r="15" customFormat="false" ht="27" hidden="false" customHeight="true" outlineLevel="0" collapsed="false">
      <c r="A15" s="18"/>
      <c r="B15" s="19" t="n">
        <v>4</v>
      </c>
      <c r="C15" s="20" t="s">
        <v>156</v>
      </c>
      <c r="D15" s="21" t="s">
        <v>157</v>
      </c>
      <c r="E15" s="22" t="s">
        <v>39</v>
      </c>
      <c r="F15" s="1" t="s">
        <v>478</v>
      </c>
    </row>
    <row r="16" customFormat="false" ht="54.75" hidden="false" customHeight="true" outlineLevel="0" collapsed="false">
      <c r="A16" s="18"/>
      <c r="B16" s="19" t="n">
        <v>5</v>
      </c>
      <c r="C16" s="20" t="s">
        <v>158</v>
      </c>
      <c r="D16" s="21" t="s">
        <v>159</v>
      </c>
      <c r="E16" s="22" t="s">
        <v>39</v>
      </c>
      <c r="F16" s="1" t="s">
        <v>478</v>
      </c>
    </row>
    <row r="17" customFormat="false" ht="41.25" hidden="false" customHeight="true" outlineLevel="0" collapsed="false">
      <c r="A17" s="18"/>
      <c r="B17" s="19" t="n">
        <v>6</v>
      </c>
      <c r="C17" s="1" t="s">
        <v>160</v>
      </c>
      <c r="D17" s="21" t="s">
        <v>161</v>
      </c>
      <c r="E17" s="22" t="s">
        <v>39</v>
      </c>
      <c r="F17" s="1" t="s">
        <v>478</v>
      </c>
    </row>
    <row r="18" customFormat="false" ht="41.25" hidden="false" customHeight="true" outlineLevel="0" collapsed="false">
      <c r="A18" s="18"/>
      <c r="B18" s="19" t="n">
        <v>7</v>
      </c>
      <c r="C18" s="20" t="s">
        <v>162</v>
      </c>
      <c r="D18" s="21" t="s">
        <v>163</v>
      </c>
      <c r="E18" s="22" t="s">
        <v>39</v>
      </c>
      <c r="F18" s="1" t="s">
        <v>478</v>
      </c>
    </row>
    <row r="19" customFormat="false" ht="27" hidden="false" customHeight="true" outlineLevel="0" collapsed="false">
      <c r="A19" s="18"/>
      <c r="B19" s="19" t="n">
        <v>8</v>
      </c>
      <c r="C19" s="20" t="s">
        <v>164</v>
      </c>
      <c r="D19" s="21" t="s">
        <v>165</v>
      </c>
      <c r="E19" s="22" t="s">
        <v>39</v>
      </c>
      <c r="F19" s="1" t="s">
        <v>478</v>
      </c>
    </row>
    <row r="20" customFormat="false" ht="27" hidden="false" customHeight="true" outlineLevel="0" collapsed="false">
      <c r="A20" s="18"/>
      <c r="B20" s="19" t="n">
        <v>9</v>
      </c>
      <c r="C20" s="20" t="s">
        <v>166</v>
      </c>
      <c r="D20" s="21" t="s">
        <v>167</v>
      </c>
      <c r="E20" s="22" t="s">
        <v>39</v>
      </c>
      <c r="F20" s="1" t="s">
        <v>478</v>
      </c>
    </row>
    <row r="21" customFormat="false" ht="13.5" hidden="false" customHeight="true" outlineLevel="0" collapsed="false">
      <c r="A21" s="24"/>
      <c r="B21" s="24"/>
      <c r="C21" s="24"/>
      <c r="D21" s="24"/>
      <c r="E21" s="24"/>
      <c r="F21" s="24"/>
    </row>
    <row r="22" customFormat="false" ht="276" hidden="false" customHeight="true" outlineLevel="0" collapsed="false">
      <c r="A22" s="18" t="s">
        <v>168</v>
      </c>
      <c r="B22" s="19" t="n">
        <v>1</v>
      </c>
      <c r="C22" s="20" t="s">
        <v>169</v>
      </c>
      <c r="D22" s="21" t="s">
        <v>170</v>
      </c>
      <c r="E22" s="22" t="s">
        <v>39</v>
      </c>
      <c r="F22" s="1" t="s">
        <v>478</v>
      </c>
    </row>
    <row r="23" customFormat="false" ht="54.75" hidden="false" customHeight="true" outlineLevel="0" collapsed="false">
      <c r="A23" s="18"/>
      <c r="B23" s="19" t="n">
        <v>2</v>
      </c>
      <c r="C23" s="20" t="s">
        <v>171</v>
      </c>
      <c r="D23" s="21" t="s">
        <v>172</v>
      </c>
      <c r="E23" s="22" t="s">
        <v>39</v>
      </c>
      <c r="F23" s="1" t="s">
        <v>478</v>
      </c>
    </row>
    <row r="24" customFormat="false" ht="96" hidden="false" customHeight="true" outlineLevel="0" collapsed="false">
      <c r="A24" s="18"/>
      <c r="B24" s="19" t="n">
        <v>3</v>
      </c>
      <c r="C24" s="20" t="s">
        <v>173</v>
      </c>
      <c r="D24" s="21" t="s">
        <v>174</v>
      </c>
      <c r="E24" s="22" t="s">
        <v>39</v>
      </c>
      <c r="F24" s="1" t="s">
        <v>478</v>
      </c>
    </row>
    <row r="25" customFormat="false" ht="27" hidden="false" customHeight="true" outlineLevel="0" collapsed="false">
      <c r="A25" s="18"/>
      <c r="B25" s="19" t="n">
        <v>4</v>
      </c>
      <c r="C25" s="21" t="s">
        <v>175</v>
      </c>
      <c r="D25" s="20" t="s">
        <v>176</v>
      </c>
      <c r="E25" s="22" t="s">
        <v>39</v>
      </c>
      <c r="F25" s="1" t="s">
        <v>478</v>
      </c>
    </row>
    <row r="26" customFormat="false" ht="41.25" hidden="false" customHeight="true" outlineLevel="0" collapsed="false">
      <c r="A26" s="18"/>
      <c r="B26" s="19" t="n">
        <v>5</v>
      </c>
      <c r="C26" s="20" t="s">
        <v>177</v>
      </c>
      <c r="D26" s="21" t="s">
        <v>178</v>
      </c>
      <c r="E26" s="22" t="s">
        <v>39</v>
      </c>
      <c r="F26" s="1" t="s">
        <v>478</v>
      </c>
    </row>
    <row r="27" customFormat="false" ht="14.25" hidden="false" customHeight="true" outlineLevel="0" collapsed="false">
      <c r="A27" s="18"/>
      <c r="B27" s="19" t="n">
        <v>6</v>
      </c>
      <c r="C27" s="1" t="s">
        <v>179</v>
      </c>
      <c r="D27" s="1" t="s">
        <v>180</v>
      </c>
      <c r="E27" s="22" t="s">
        <v>39</v>
      </c>
      <c r="F27" s="1" t="s">
        <v>478</v>
      </c>
    </row>
    <row r="28" customFormat="false" ht="41.25" hidden="false" customHeight="true" outlineLevel="0" collapsed="false">
      <c r="A28" s="18"/>
      <c r="B28" s="19" t="n">
        <v>7</v>
      </c>
      <c r="C28" s="20" t="s">
        <v>181</v>
      </c>
      <c r="D28" s="21" t="s">
        <v>182</v>
      </c>
      <c r="E28" s="22" t="s">
        <v>39</v>
      </c>
      <c r="F28" s="1" t="s">
        <v>478</v>
      </c>
    </row>
    <row r="29" customFormat="false" ht="14.25" hidden="false" customHeight="true" outlineLevel="0" collapsed="false">
      <c r="A29" s="18"/>
      <c r="B29" s="19" t="n">
        <v>8</v>
      </c>
      <c r="C29" s="1" t="s">
        <v>183</v>
      </c>
      <c r="D29" s="1" t="s">
        <v>184</v>
      </c>
      <c r="E29" s="22" t="s">
        <v>39</v>
      </c>
      <c r="F29" s="1" t="s">
        <v>478</v>
      </c>
    </row>
    <row r="30" customFormat="false" ht="13.5" hidden="false" customHeight="true" outlineLevel="0" collapsed="false">
      <c r="A30" s="24"/>
      <c r="B30" s="24"/>
      <c r="C30" s="24"/>
      <c r="D30" s="24"/>
      <c r="E30" s="24"/>
      <c r="F30" s="24"/>
    </row>
    <row r="31" customFormat="false" ht="30" hidden="false" customHeight="true" outlineLevel="0" collapsed="false">
      <c r="A31" s="18" t="s">
        <v>483</v>
      </c>
      <c r="B31" s="28" t="n">
        <v>1</v>
      </c>
      <c r="C31" s="29" t="s">
        <v>186</v>
      </c>
      <c r="D31" s="29" t="s">
        <v>187</v>
      </c>
      <c r="E31" s="22" t="s">
        <v>39</v>
      </c>
      <c r="F31" s="1" t="s">
        <v>478</v>
      </c>
    </row>
    <row r="32" customFormat="false" ht="14.25" hidden="false" customHeight="true" outlineLevel="0" collapsed="false">
      <c r="A32" s="18"/>
      <c r="B32" s="19" t="n">
        <v>2</v>
      </c>
      <c r="C32" s="1" t="s">
        <v>188</v>
      </c>
      <c r="D32" s="1" t="s">
        <v>189</v>
      </c>
      <c r="E32" s="22" t="s">
        <v>39</v>
      </c>
      <c r="F32" s="1" t="s">
        <v>478</v>
      </c>
    </row>
    <row r="33" customFormat="false" ht="54.75" hidden="false" customHeight="true" outlineLevel="0" collapsed="false">
      <c r="A33" s="18"/>
      <c r="B33" s="19" t="n">
        <v>3</v>
      </c>
      <c r="C33" s="20" t="s">
        <v>190</v>
      </c>
      <c r="D33" s="21" t="s">
        <v>191</v>
      </c>
      <c r="E33" s="22" t="s">
        <v>39</v>
      </c>
      <c r="F33" s="1" t="s">
        <v>478</v>
      </c>
    </row>
    <row r="34" customFormat="false" ht="13.5" hidden="false" customHeight="true" outlineLevel="0" collapsed="false">
      <c r="A34" s="24"/>
      <c r="B34" s="24"/>
      <c r="C34" s="24"/>
      <c r="D34" s="24"/>
      <c r="E34" s="24"/>
      <c r="F34" s="24"/>
    </row>
    <row r="35" customFormat="false" ht="27" hidden="false" customHeight="true" outlineLevel="0" collapsed="false">
      <c r="A35" s="18" t="s">
        <v>484</v>
      </c>
      <c r="B35" s="19" t="n">
        <v>1</v>
      </c>
      <c r="C35" s="21" t="s">
        <v>485</v>
      </c>
      <c r="D35" s="1" t="s">
        <v>486</v>
      </c>
      <c r="E35" s="22" t="s">
        <v>39</v>
      </c>
      <c r="F35" s="1" t="s">
        <v>478</v>
      </c>
    </row>
    <row r="36" customFormat="false" ht="54.75" hidden="false" customHeight="true" outlineLevel="0" collapsed="false">
      <c r="A36" s="18"/>
      <c r="B36" s="19" t="n">
        <v>2</v>
      </c>
      <c r="C36" s="20" t="s">
        <v>487</v>
      </c>
      <c r="D36" s="21" t="s">
        <v>488</v>
      </c>
      <c r="E36" s="22" t="s">
        <v>39</v>
      </c>
      <c r="F36" s="1" t="s">
        <v>478</v>
      </c>
    </row>
    <row r="37" customFormat="false" ht="13.5" hidden="false" customHeight="true" outlineLevel="0" collapsed="false">
      <c r="A37" s="24"/>
      <c r="B37" s="24"/>
      <c r="C37" s="24"/>
      <c r="D37" s="24"/>
      <c r="E37" s="24"/>
      <c r="F37" s="24"/>
    </row>
    <row r="38" customFormat="false" ht="14.25" hidden="false" customHeight="true" outlineLevel="0" collapsed="false">
      <c r="A38" s="18" t="s">
        <v>401</v>
      </c>
      <c r="B38" s="19" t="n">
        <v>1</v>
      </c>
      <c r="C38" s="1" t="s">
        <v>351</v>
      </c>
      <c r="D38" s="1" t="s">
        <v>75</v>
      </c>
      <c r="E38" s="22" t="s">
        <v>39</v>
      </c>
      <c r="F38" s="1" t="s">
        <v>478</v>
      </c>
    </row>
    <row r="39" customFormat="false" ht="165" hidden="false" customHeight="true" outlineLevel="0" collapsed="false">
      <c r="A39" s="18"/>
      <c r="B39" s="19" t="n">
        <v>2</v>
      </c>
      <c r="C39" s="20" t="s">
        <v>76</v>
      </c>
      <c r="D39" s="21" t="s">
        <v>402</v>
      </c>
      <c r="E39" s="22" t="s">
        <v>39</v>
      </c>
      <c r="F39" s="1" t="s">
        <v>478</v>
      </c>
    </row>
    <row r="40" customFormat="false" ht="27" hidden="false" customHeight="true" outlineLevel="0" collapsed="false">
      <c r="A40" s="18"/>
      <c r="B40" s="19" t="n">
        <v>3</v>
      </c>
      <c r="C40" s="20" t="s">
        <v>78</v>
      </c>
      <c r="D40" s="21" t="s">
        <v>79</v>
      </c>
      <c r="E40" s="22" t="s">
        <v>39</v>
      </c>
      <c r="F40" s="1" t="s">
        <v>478</v>
      </c>
    </row>
    <row r="41" customFormat="false" ht="41.25" hidden="false" customHeight="true" outlineLevel="0" collapsed="false">
      <c r="A41" s="18"/>
      <c r="B41" s="19" t="n">
        <v>4</v>
      </c>
      <c r="C41" s="20" t="s">
        <v>80</v>
      </c>
      <c r="D41" s="21" t="s">
        <v>81</v>
      </c>
      <c r="E41" s="22" t="s">
        <v>39</v>
      </c>
      <c r="F41" s="1" t="s">
        <v>478</v>
      </c>
    </row>
    <row r="42" customFormat="false" ht="41.25" hidden="false" customHeight="true" outlineLevel="0" collapsed="false">
      <c r="A42" s="18"/>
      <c r="B42" s="19" t="n">
        <v>5</v>
      </c>
      <c r="C42" s="20" t="s">
        <v>82</v>
      </c>
      <c r="D42" s="21" t="s">
        <v>83</v>
      </c>
      <c r="E42" s="22" t="s">
        <v>39</v>
      </c>
      <c r="F42" s="1" t="s">
        <v>478</v>
      </c>
    </row>
    <row r="43" customFormat="false" ht="27" hidden="false" customHeight="true" outlineLevel="0" collapsed="false">
      <c r="A43" s="18"/>
      <c r="B43" s="19" t="n">
        <v>6</v>
      </c>
      <c r="C43" s="20" t="s">
        <v>84</v>
      </c>
      <c r="D43" s="21" t="s">
        <v>85</v>
      </c>
      <c r="E43" s="22" t="s">
        <v>39</v>
      </c>
      <c r="F43" s="1" t="s">
        <v>478</v>
      </c>
    </row>
    <row r="44" customFormat="false" ht="14.25" hidden="false" customHeight="true" outlineLevel="0" collapsed="false">
      <c r="A44" s="18"/>
      <c r="B44" s="19" t="n">
        <v>7</v>
      </c>
      <c r="C44" s="1" t="s">
        <v>86</v>
      </c>
      <c r="D44" s="1" t="s">
        <v>87</v>
      </c>
      <c r="E44" s="22" t="s">
        <v>39</v>
      </c>
      <c r="F44" s="1" t="s">
        <v>478</v>
      </c>
    </row>
    <row r="45" customFormat="false" ht="41.25" hidden="false" customHeight="true" outlineLevel="0" collapsed="false">
      <c r="A45" s="18"/>
      <c r="B45" s="19" t="n">
        <v>8</v>
      </c>
      <c r="C45" s="21" t="s">
        <v>403</v>
      </c>
      <c r="D45" s="23" t="s">
        <v>404</v>
      </c>
      <c r="E45" s="22" t="s">
        <v>39</v>
      </c>
      <c r="F45" s="1" t="s">
        <v>478</v>
      </c>
    </row>
    <row r="46" customFormat="false" ht="13.5" hidden="false" customHeight="true" outlineLevel="0" collapsed="false">
      <c r="A46" s="24"/>
      <c r="B46" s="24"/>
      <c r="C46" s="24"/>
      <c r="D46" s="24"/>
      <c r="E46" s="24"/>
      <c r="F46" s="24"/>
    </row>
    <row r="47" customFormat="false" ht="14.25" hidden="false" customHeight="true" outlineLevel="0" collapsed="false">
      <c r="A47" s="18" t="s">
        <v>216</v>
      </c>
      <c r="B47" s="19" t="n">
        <v>1</v>
      </c>
      <c r="C47" s="1" t="s">
        <v>217</v>
      </c>
      <c r="D47" s="1" t="s">
        <v>218</v>
      </c>
      <c r="E47" s="22" t="s">
        <v>39</v>
      </c>
      <c r="F47" s="1" t="s">
        <v>478</v>
      </c>
    </row>
    <row r="48" customFormat="false" ht="14.25" hidden="false" customHeight="true" outlineLevel="0" collapsed="false">
      <c r="A48" s="18"/>
      <c r="B48" s="19" t="n">
        <v>2</v>
      </c>
      <c r="C48" s="1" t="s">
        <v>219</v>
      </c>
      <c r="D48" s="1" t="s">
        <v>220</v>
      </c>
      <c r="E48" s="22" t="s">
        <v>39</v>
      </c>
      <c r="F48" s="1" t="s">
        <v>478</v>
      </c>
    </row>
    <row r="49" customFormat="false" ht="27" hidden="false" customHeight="true" outlineLevel="0" collapsed="false">
      <c r="A49" s="18"/>
      <c r="B49" s="19" t="n">
        <v>3</v>
      </c>
      <c r="C49" s="21" t="s">
        <v>221</v>
      </c>
      <c r="D49" s="21" t="s">
        <v>222</v>
      </c>
      <c r="E49" s="22" t="s">
        <v>39</v>
      </c>
      <c r="F49" s="1" t="s">
        <v>478</v>
      </c>
    </row>
    <row r="50" customFormat="false" ht="27" hidden="false" customHeight="true" outlineLevel="0" collapsed="false">
      <c r="A50" s="18"/>
      <c r="B50" s="19" t="n">
        <v>4</v>
      </c>
      <c r="C50" s="20" t="s">
        <v>223</v>
      </c>
      <c r="D50" s="21" t="s">
        <v>224</v>
      </c>
      <c r="E50" s="22" t="s">
        <v>39</v>
      </c>
      <c r="F50" s="1" t="s">
        <v>478</v>
      </c>
    </row>
    <row r="51" customFormat="false" ht="41.25" hidden="false" customHeight="true" outlineLevel="0" collapsed="false">
      <c r="A51" s="18"/>
      <c r="B51" s="19" t="n">
        <v>5</v>
      </c>
      <c r="C51" s="20" t="s">
        <v>225</v>
      </c>
      <c r="D51" s="21" t="s">
        <v>226</v>
      </c>
      <c r="E51" s="22" t="s">
        <v>39</v>
      </c>
      <c r="F51" s="1" t="s">
        <v>478</v>
      </c>
    </row>
    <row r="52" customFormat="false" ht="27" hidden="false" customHeight="true" outlineLevel="0" collapsed="false">
      <c r="A52" s="18"/>
      <c r="B52" s="19" t="n">
        <v>6</v>
      </c>
      <c r="C52" s="20" t="s">
        <v>227</v>
      </c>
      <c r="D52" s="21" t="s">
        <v>228</v>
      </c>
      <c r="E52" s="22" t="s">
        <v>39</v>
      </c>
      <c r="F52" s="1" t="s">
        <v>478</v>
      </c>
    </row>
    <row r="53" customFormat="false" ht="27" hidden="false" customHeight="true" outlineLevel="0" collapsed="false">
      <c r="A53" s="18"/>
      <c r="B53" s="19" t="n">
        <v>7</v>
      </c>
      <c r="C53" s="1" t="s">
        <v>229</v>
      </c>
      <c r="D53" s="21" t="s">
        <v>230</v>
      </c>
      <c r="E53" s="22" t="s">
        <v>39</v>
      </c>
      <c r="F53" s="1" t="s">
        <v>478</v>
      </c>
    </row>
  </sheetData>
  <autoFilter ref="A1:G53"/>
  <mergeCells count="7">
    <mergeCell ref="A2:A10"/>
    <mergeCell ref="A12:A20"/>
    <mergeCell ref="A22:A29"/>
    <mergeCell ref="A31:A33"/>
    <mergeCell ref="A35:A36"/>
    <mergeCell ref="A38:A45"/>
    <mergeCell ref="A47:A53"/>
  </mergeCells>
  <conditionalFormatting sqref="E47:E53">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38:E45">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conditionalFormatting sqref="E35:E36">
    <cfRule type="cellIs" priority="12" operator="equal" aboveAverage="0" equalAverage="0" bottom="0" percent="0" rank="0" text="" dxfId="8">
      <formula>"Blocked"</formula>
    </cfRule>
    <cfRule type="cellIs" priority="13" operator="equal" aboveAverage="0" equalAverage="0" bottom="0" percent="0" rank="0" text="" dxfId="9">
      <formula>"Skipped"</formula>
    </cfRule>
    <cfRule type="cellIs" priority="14" operator="equal" aboveAverage="0" equalAverage="0" bottom="0" percent="0" rank="0" text="" dxfId="10">
      <formula>"Not Tested"</formula>
    </cfRule>
    <cfRule type="cellIs" priority="15" operator="equal" aboveAverage="0" equalAverage="0" bottom="0" percent="0" rank="0" text="" dxfId="11">
      <formula>"Passed"</formula>
    </cfRule>
    <cfRule type="cellIs" priority="16" operator="equal" aboveAverage="0" equalAverage="0" bottom="0" percent="0" rank="0" text="" dxfId="12">
      <formula>"Failed"</formula>
    </cfRule>
  </conditionalFormatting>
  <conditionalFormatting sqref="E31:E33">
    <cfRule type="cellIs" priority="17" operator="equal" aboveAverage="0" equalAverage="0" bottom="0" percent="0" rank="0" text="" dxfId="8">
      <formula>"Blocked"</formula>
    </cfRule>
    <cfRule type="cellIs" priority="18" operator="equal" aboveAverage="0" equalAverage="0" bottom="0" percent="0" rank="0" text="" dxfId="9">
      <formula>"Skipped"</formula>
    </cfRule>
    <cfRule type="cellIs" priority="19" operator="equal" aboveAverage="0" equalAverage="0" bottom="0" percent="0" rank="0" text="" dxfId="10">
      <formula>"Not Tested"</formula>
    </cfRule>
    <cfRule type="cellIs" priority="20" operator="equal" aboveAverage="0" equalAverage="0" bottom="0" percent="0" rank="0" text="" dxfId="11">
      <formula>"Passed"</formula>
    </cfRule>
    <cfRule type="cellIs" priority="21" operator="equal" aboveAverage="0" equalAverage="0" bottom="0" percent="0" rank="0" text="" dxfId="12">
      <formula>"Failed"</formula>
    </cfRule>
  </conditionalFormatting>
  <conditionalFormatting sqref="E22:E29">
    <cfRule type="cellIs" priority="22" operator="equal" aboveAverage="0" equalAverage="0" bottom="0" percent="0" rank="0" text="" dxfId="8">
      <formula>"Blocked"</formula>
    </cfRule>
    <cfRule type="cellIs" priority="23" operator="equal" aboveAverage="0" equalAverage="0" bottom="0" percent="0" rank="0" text="" dxfId="9">
      <formula>"Skipped"</formula>
    </cfRule>
    <cfRule type="cellIs" priority="24" operator="equal" aboveAverage="0" equalAverage="0" bottom="0" percent="0" rank="0" text="" dxfId="10">
      <formula>"Not Tested"</formula>
    </cfRule>
    <cfRule type="cellIs" priority="25" operator="equal" aboveAverage="0" equalAverage="0" bottom="0" percent="0" rank="0" text="" dxfId="11">
      <formula>"Passed"</formula>
    </cfRule>
    <cfRule type="cellIs" priority="26" operator="equal" aboveAverage="0" equalAverage="0" bottom="0" percent="0" rank="0" text="" dxfId="12">
      <formula>"Failed"</formula>
    </cfRule>
  </conditionalFormatting>
  <conditionalFormatting sqref="E12:E20">
    <cfRule type="cellIs" priority="27" operator="equal" aboveAverage="0" equalAverage="0" bottom="0" percent="0" rank="0" text="" dxfId="8">
      <formula>"Blocked"</formula>
    </cfRule>
    <cfRule type="cellIs" priority="28" operator="equal" aboveAverage="0" equalAverage="0" bottom="0" percent="0" rank="0" text="" dxfId="9">
      <formula>"Skipped"</formula>
    </cfRule>
    <cfRule type="cellIs" priority="29" operator="equal" aboveAverage="0" equalAverage="0" bottom="0" percent="0" rank="0" text="" dxfId="10">
      <formula>"Not Tested"</formula>
    </cfRule>
    <cfRule type="cellIs" priority="30" operator="equal" aboveAverage="0" equalAverage="0" bottom="0" percent="0" rank="0" text="" dxfId="11">
      <formula>"Passed"</formula>
    </cfRule>
    <cfRule type="cellIs" priority="31" operator="equal" aboveAverage="0" equalAverage="0" bottom="0" percent="0" rank="0" text="" dxfId="12">
      <formula>"Failed"</formula>
    </cfRule>
  </conditionalFormatting>
  <conditionalFormatting sqref="E2:E10">
    <cfRule type="cellIs" priority="32" operator="equal" aboveAverage="0" equalAverage="0" bottom="0" percent="0" rank="0" text="" dxfId="8">
      <formula>"Blocked"</formula>
    </cfRule>
    <cfRule type="cellIs" priority="33" operator="equal" aboveAverage="0" equalAverage="0" bottom="0" percent="0" rank="0" text="" dxfId="9">
      <formula>"Skipped"</formula>
    </cfRule>
    <cfRule type="cellIs" priority="34" operator="equal" aboveAverage="0" equalAverage="0" bottom="0" percent="0" rank="0" text="" dxfId="10">
      <formula>"Not Tested"</formula>
    </cfRule>
    <cfRule type="cellIs" priority="35" operator="equal" aboveAverage="0" equalAverage="0" bottom="0" percent="0" rank="0" text="" dxfId="11">
      <formula>"Passed"</formula>
    </cfRule>
    <cfRule type="cellIs" priority="36"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53"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3.5" customHeight="false" zeroHeight="false" outlineLevelRow="0" outlineLevelCol="0"/>
  <cols>
    <col collapsed="false" customWidth="true" hidden="false" outlineLevel="0" max="2" min="1" style="1" width="29"/>
    <col collapsed="false" customWidth="true" hidden="false" outlineLevel="0" max="3" min="3" style="1" width="35"/>
    <col collapsed="false" customWidth="true" hidden="false" outlineLevel="0" max="4" min="4" style="1" width="39.6"/>
    <col collapsed="false" customWidth="true" hidden="false" outlineLevel="0" max="5" min="5" style="1" width="33.3"/>
    <col collapsed="false" customWidth="true" hidden="false" outlineLevel="0" max="6" min="6" style="1" width="34.1"/>
    <col collapsed="false" customWidth="true" hidden="false" outlineLevel="0" max="7" min="7" style="1" width="12"/>
    <col collapsed="false" customWidth="true" hidden="false" outlineLevel="0" max="9" min="9" style="1" width="55"/>
  </cols>
  <sheetData>
    <row r="1" customFormat="false" ht="13.5" hidden="false" customHeight="true" outlineLevel="0" collapsed="false">
      <c r="A1" s="15" t="s">
        <v>33</v>
      </c>
      <c r="B1" s="16" t="s">
        <v>65</v>
      </c>
      <c r="C1" s="16" t="s">
        <v>66</v>
      </c>
      <c r="D1" s="16" t="s">
        <v>67</v>
      </c>
      <c r="E1" s="16" t="s">
        <v>68</v>
      </c>
      <c r="F1" s="16" t="s">
        <v>69</v>
      </c>
      <c r="G1" s="17" t="s">
        <v>70</v>
      </c>
      <c r="I1" s="32" t="s">
        <v>475</v>
      </c>
    </row>
    <row r="2" customFormat="false" ht="41.25" hidden="false" customHeight="true" outlineLevel="0" collapsed="false">
      <c r="A2" s="18" t="s">
        <v>71</v>
      </c>
      <c r="B2" s="19" t="n">
        <v>1</v>
      </c>
      <c r="C2" s="20" t="s">
        <v>489</v>
      </c>
      <c r="D2" s="23" t="s">
        <v>490</v>
      </c>
      <c r="E2" s="22" t="s">
        <v>39</v>
      </c>
      <c r="F2" s="1" t="s">
        <v>478</v>
      </c>
    </row>
    <row r="3" customFormat="false" ht="14.25" hidden="false" customHeight="true" outlineLevel="0" collapsed="false">
      <c r="A3" s="18"/>
      <c r="B3" s="19" t="n">
        <v>2</v>
      </c>
      <c r="C3" s="1" t="s">
        <v>407</v>
      </c>
      <c r="D3" s="1" t="s">
        <v>75</v>
      </c>
      <c r="E3" s="22" t="s">
        <v>39</v>
      </c>
      <c r="F3" s="1" t="s">
        <v>478</v>
      </c>
    </row>
    <row r="4" customFormat="false" ht="54.75" hidden="false" customHeight="true" outlineLevel="0" collapsed="false">
      <c r="A4" s="18"/>
      <c r="B4" s="19" t="n">
        <v>3</v>
      </c>
      <c r="C4" s="20" t="s">
        <v>76</v>
      </c>
      <c r="D4" s="23" t="s">
        <v>77</v>
      </c>
      <c r="E4" s="22" t="s">
        <v>39</v>
      </c>
      <c r="F4" s="1" t="s">
        <v>478</v>
      </c>
    </row>
    <row r="5" customFormat="false" ht="27" hidden="false" customHeight="true" outlineLevel="0" collapsed="false">
      <c r="A5" s="18"/>
      <c r="B5" s="19" t="n">
        <v>4</v>
      </c>
      <c r="C5" s="20" t="s">
        <v>78</v>
      </c>
      <c r="D5" s="23" t="s">
        <v>79</v>
      </c>
      <c r="E5" s="22" t="s">
        <v>39</v>
      </c>
      <c r="F5" s="1" t="s">
        <v>478</v>
      </c>
    </row>
    <row r="6" customFormat="false" ht="41.25" hidden="false" customHeight="true" outlineLevel="0" collapsed="false">
      <c r="A6" s="18"/>
      <c r="B6" s="19" t="n">
        <v>5</v>
      </c>
      <c r="C6" s="20" t="s">
        <v>80</v>
      </c>
      <c r="D6" s="23" t="s">
        <v>81</v>
      </c>
      <c r="E6" s="22" t="s">
        <v>39</v>
      </c>
      <c r="F6" s="1" t="s">
        <v>478</v>
      </c>
    </row>
    <row r="7" customFormat="false" ht="41.25" hidden="false" customHeight="true" outlineLevel="0" collapsed="false">
      <c r="A7" s="18"/>
      <c r="B7" s="19" t="n">
        <v>6</v>
      </c>
      <c r="C7" s="20" t="s">
        <v>82</v>
      </c>
      <c r="D7" s="23" t="s">
        <v>83</v>
      </c>
      <c r="E7" s="22" t="s">
        <v>39</v>
      </c>
      <c r="F7" s="1" t="s">
        <v>478</v>
      </c>
    </row>
    <row r="8" customFormat="false" ht="27" hidden="false" customHeight="true" outlineLevel="0" collapsed="false">
      <c r="A8" s="18"/>
      <c r="B8" s="19" t="n">
        <v>7</v>
      </c>
      <c r="C8" s="20" t="s">
        <v>84</v>
      </c>
      <c r="D8" s="23" t="s">
        <v>85</v>
      </c>
      <c r="E8" s="22" t="s">
        <v>39</v>
      </c>
      <c r="F8" s="1" t="s">
        <v>478</v>
      </c>
    </row>
    <row r="9" customFormat="false" ht="14.25" hidden="false" customHeight="true" outlineLevel="0" collapsed="false">
      <c r="A9" s="18"/>
      <c r="B9" s="19" t="n">
        <v>8</v>
      </c>
      <c r="C9" s="1" t="s">
        <v>86</v>
      </c>
      <c r="D9" s="1" t="s">
        <v>87</v>
      </c>
      <c r="E9" s="22" t="s">
        <v>39</v>
      </c>
      <c r="F9" s="1" t="s">
        <v>478</v>
      </c>
    </row>
    <row r="10" customFormat="false" ht="14.25" hidden="false" customHeight="true" outlineLevel="0" collapsed="false">
      <c r="A10" s="18"/>
      <c r="B10" s="19" t="n">
        <v>9</v>
      </c>
      <c r="C10" s="1" t="s">
        <v>236</v>
      </c>
      <c r="D10" s="1" t="s">
        <v>237</v>
      </c>
      <c r="E10" s="22" t="s">
        <v>39</v>
      </c>
      <c r="F10" s="1" t="s">
        <v>478</v>
      </c>
    </row>
    <row r="11" customFormat="false" ht="13.5" hidden="false" customHeight="true" outlineLevel="0" collapsed="false">
      <c r="A11" s="24"/>
      <c r="B11" s="24"/>
      <c r="C11" s="24"/>
      <c r="D11" s="24"/>
      <c r="E11" s="24"/>
    </row>
    <row r="12" customFormat="false" ht="41.25" hidden="false" customHeight="true" outlineLevel="0" collapsed="false">
      <c r="A12" s="18" t="s">
        <v>491</v>
      </c>
      <c r="B12" s="19" t="n">
        <v>1</v>
      </c>
      <c r="C12" s="20" t="s">
        <v>354</v>
      </c>
      <c r="D12" s="21" t="s">
        <v>492</v>
      </c>
      <c r="E12" s="22" t="s">
        <v>39</v>
      </c>
      <c r="F12" s="1" t="s">
        <v>478</v>
      </c>
    </row>
    <row r="13" customFormat="false" ht="41.25" hidden="false" customHeight="true" outlineLevel="0" collapsed="false">
      <c r="A13" s="18"/>
      <c r="B13" s="19" t="n">
        <v>2</v>
      </c>
      <c r="C13" s="20" t="s">
        <v>493</v>
      </c>
      <c r="D13" s="21" t="s">
        <v>494</v>
      </c>
      <c r="E13" s="22" t="s">
        <v>39</v>
      </c>
      <c r="F13" s="1" t="s">
        <v>478</v>
      </c>
    </row>
    <row r="14" customFormat="false" ht="41.25" hidden="false" customHeight="true" outlineLevel="0" collapsed="false">
      <c r="A14" s="18"/>
      <c r="B14" s="19" t="n">
        <v>3</v>
      </c>
      <c r="C14" s="20" t="s">
        <v>495</v>
      </c>
      <c r="D14" s="21" t="s">
        <v>496</v>
      </c>
      <c r="E14" s="22" t="s">
        <v>39</v>
      </c>
      <c r="F14" s="1" t="s">
        <v>478</v>
      </c>
    </row>
    <row r="15" customFormat="false" ht="41.25" hidden="false" customHeight="true" outlineLevel="0" collapsed="false">
      <c r="A15" s="18"/>
      <c r="B15" s="19" t="n">
        <v>4</v>
      </c>
      <c r="C15" s="20" t="s">
        <v>497</v>
      </c>
      <c r="D15" s="21" t="s">
        <v>498</v>
      </c>
      <c r="E15" s="22" t="s">
        <v>39</v>
      </c>
      <c r="F15" s="1" t="s">
        <v>478</v>
      </c>
    </row>
    <row r="16" customFormat="false" ht="27" hidden="false" customHeight="true" outlineLevel="0" collapsed="false">
      <c r="A16" s="18"/>
      <c r="B16" s="19" t="n">
        <v>5</v>
      </c>
      <c r="C16" s="20" t="s">
        <v>499</v>
      </c>
      <c r="D16" s="21" t="s">
        <v>500</v>
      </c>
      <c r="E16" s="22" t="s">
        <v>39</v>
      </c>
      <c r="F16" s="1" t="s">
        <v>478</v>
      </c>
    </row>
    <row r="17" customFormat="false" ht="14.25" hidden="false" customHeight="true" outlineLevel="0" collapsed="false">
      <c r="A17" s="18"/>
      <c r="B17" s="19" t="n">
        <v>6</v>
      </c>
      <c r="C17" s="1" t="s">
        <v>497</v>
      </c>
      <c r="D17" s="21" t="s">
        <v>501</v>
      </c>
      <c r="E17" s="22" t="s">
        <v>39</v>
      </c>
      <c r="F17" s="1" t="s">
        <v>478</v>
      </c>
    </row>
    <row r="18" customFormat="false" ht="96" hidden="false" customHeight="true" outlineLevel="0" collapsed="false">
      <c r="A18" s="18"/>
      <c r="B18" s="19" t="n">
        <v>7</v>
      </c>
      <c r="C18" s="20" t="s">
        <v>502</v>
      </c>
      <c r="D18" s="21" t="s">
        <v>503</v>
      </c>
      <c r="E18" s="22" t="s">
        <v>39</v>
      </c>
      <c r="F18" s="1" t="s">
        <v>478</v>
      </c>
    </row>
    <row r="19" customFormat="false" ht="345" hidden="false" customHeight="true" outlineLevel="0" collapsed="false">
      <c r="A19" s="18"/>
      <c r="B19" s="19" t="n">
        <v>8</v>
      </c>
      <c r="C19" s="20" t="s">
        <v>504</v>
      </c>
      <c r="D19" s="21" t="s">
        <v>505</v>
      </c>
      <c r="E19" s="22" t="s">
        <v>39</v>
      </c>
      <c r="F19" s="1" t="s">
        <v>478</v>
      </c>
    </row>
    <row r="20" customFormat="false" ht="15.75" hidden="false" customHeight="true" outlineLevel="0" collapsed="false">
      <c r="A20" s="18"/>
      <c r="B20" s="19" t="n">
        <v>9</v>
      </c>
      <c r="C20" s="20" t="s">
        <v>506</v>
      </c>
      <c r="D20" s="21" t="s">
        <v>336</v>
      </c>
      <c r="E20" s="22" t="s">
        <v>39</v>
      </c>
      <c r="F20" s="1" t="s">
        <v>478</v>
      </c>
    </row>
    <row r="21" customFormat="false" ht="69" hidden="false" customHeight="true" outlineLevel="0" collapsed="false">
      <c r="A21" s="18"/>
      <c r="B21" s="19" t="n">
        <v>10</v>
      </c>
      <c r="C21" s="20" t="s">
        <v>507</v>
      </c>
      <c r="D21" s="21" t="s">
        <v>508</v>
      </c>
      <c r="E21" s="22" t="s">
        <v>39</v>
      </c>
      <c r="F21" s="1" t="s">
        <v>478</v>
      </c>
    </row>
    <row r="22" customFormat="false" ht="14.25" hidden="false" customHeight="true" outlineLevel="0" collapsed="false">
      <c r="A22" s="18"/>
      <c r="B22" s="19" t="n">
        <v>11</v>
      </c>
      <c r="C22" s="1" t="s">
        <v>506</v>
      </c>
      <c r="D22" s="1" t="s">
        <v>509</v>
      </c>
      <c r="E22" s="22" t="s">
        <v>39</v>
      </c>
      <c r="F22" s="1" t="s">
        <v>478</v>
      </c>
    </row>
    <row r="23" customFormat="false" ht="96" hidden="false" customHeight="true" outlineLevel="0" collapsed="false">
      <c r="A23" s="18"/>
      <c r="B23" s="19" t="n">
        <v>12</v>
      </c>
      <c r="C23" s="20" t="s">
        <v>510</v>
      </c>
      <c r="D23" s="21" t="s">
        <v>511</v>
      </c>
      <c r="E23" s="22" t="s">
        <v>39</v>
      </c>
      <c r="F23" s="1" t="s">
        <v>478</v>
      </c>
    </row>
    <row r="24" customFormat="false" ht="14.25" hidden="false" customHeight="true" outlineLevel="0" collapsed="false">
      <c r="A24" s="18"/>
      <c r="B24" s="19" t="n">
        <v>13</v>
      </c>
      <c r="C24" s="1" t="s">
        <v>512</v>
      </c>
      <c r="D24" s="1" t="s">
        <v>383</v>
      </c>
      <c r="E24" s="22" t="s">
        <v>39</v>
      </c>
      <c r="F24" s="1" t="s">
        <v>478</v>
      </c>
    </row>
    <row r="25" customFormat="false" ht="27" hidden="false" customHeight="true" outlineLevel="0" collapsed="false">
      <c r="A25" s="18"/>
      <c r="B25" s="19" t="n">
        <v>14</v>
      </c>
      <c r="C25" s="21" t="s">
        <v>513</v>
      </c>
      <c r="D25" s="20" t="s">
        <v>514</v>
      </c>
      <c r="E25" s="22" t="s">
        <v>39</v>
      </c>
      <c r="F25" s="1" t="s">
        <v>478</v>
      </c>
    </row>
    <row r="26" customFormat="false" ht="27" hidden="false" customHeight="true" outlineLevel="0" collapsed="false">
      <c r="A26" s="18"/>
      <c r="B26" s="19" t="n">
        <v>15</v>
      </c>
      <c r="C26" s="20" t="s">
        <v>497</v>
      </c>
      <c r="D26" s="21" t="s">
        <v>515</v>
      </c>
      <c r="E26" s="22" t="s">
        <v>39</v>
      </c>
      <c r="F26" s="1" t="s">
        <v>478</v>
      </c>
    </row>
    <row r="27" customFormat="false" ht="69" hidden="false" customHeight="true" outlineLevel="0" collapsed="false">
      <c r="A27" s="18"/>
      <c r="B27" s="19" t="n">
        <v>16</v>
      </c>
      <c r="C27" s="1" t="s">
        <v>516</v>
      </c>
      <c r="D27" s="21" t="s">
        <v>517</v>
      </c>
      <c r="E27" s="22" t="s">
        <v>39</v>
      </c>
      <c r="F27" s="1" t="s">
        <v>478</v>
      </c>
    </row>
    <row r="28" customFormat="false" ht="14.25" hidden="false" customHeight="true" outlineLevel="0" collapsed="false">
      <c r="A28" s="18"/>
      <c r="B28" s="19" t="n">
        <v>17</v>
      </c>
      <c r="C28" s="1" t="s">
        <v>379</v>
      </c>
      <c r="D28" s="1" t="s">
        <v>383</v>
      </c>
      <c r="E28" s="22" t="s">
        <v>39</v>
      </c>
      <c r="F28" s="1" t="s">
        <v>478</v>
      </c>
    </row>
    <row r="29" customFormat="false" ht="254.25" hidden="false" customHeight="true" outlineLevel="0" collapsed="false">
      <c r="A29" s="18"/>
      <c r="B29" s="19" t="n">
        <v>18</v>
      </c>
      <c r="C29" s="23" t="s">
        <v>518</v>
      </c>
      <c r="D29" s="21" t="s">
        <v>519</v>
      </c>
      <c r="E29" s="22" t="s">
        <v>39</v>
      </c>
      <c r="F29" s="1" t="s">
        <v>478</v>
      </c>
    </row>
    <row r="30" customFormat="false" ht="14.25" hidden="false" customHeight="true" outlineLevel="0" collapsed="false">
      <c r="A30" s="18"/>
      <c r="B30" s="19" t="n">
        <v>19</v>
      </c>
      <c r="C30" s="1" t="s">
        <v>520</v>
      </c>
      <c r="D30" s="1" t="s">
        <v>521</v>
      </c>
      <c r="E30" s="22" t="s">
        <v>39</v>
      </c>
      <c r="F30" s="1" t="s">
        <v>478</v>
      </c>
    </row>
    <row r="31" customFormat="false" ht="27" hidden="false" customHeight="true" outlineLevel="0" collapsed="false">
      <c r="A31" s="18"/>
      <c r="B31" s="19" t="n">
        <v>20</v>
      </c>
      <c r="C31" s="20" t="s">
        <v>522</v>
      </c>
      <c r="D31" s="21" t="s">
        <v>523</v>
      </c>
      <c r="E31" s="22" t="s">
        <v>39</v>
      </c>
      <c r="F31" s="1" t="s">
        <v>478</v>
      </c>
    </row>
    <row r="32" customFormat="false" ht="13.5" hidden="false" customHeight="true" outlineLevel="0" collapsed="false">
      <c r="A32" s="24"/>
      <c r="B32" s="24"/>
      <c r="C32" s="24"/>
      <c r="D32" s="24"/>
      <c r="E32" s="24"/>
      <c r="F32" s="24"/>
    </row>
    <row r="33" customFormat="false" ht="54.75" hidden="false" customHeight="true" outlineLevel="0" collapsed="false">
      <c r="A33" s="18" t="s">
        <v>129</v>
      </c>
      <c r="B33" s="19" t="n">
        <v>1</v>
      </c>
      <c r="C33" s="20" t="s">
        <v>479</v>
      </c>
      <c r="D33" s="21" t="s">
        <v>524</v>
      </c>
      <c r="E33" s="22" t="s">
        <v>39</v>
      </c>
      <c r="F33" s="1" t="s">
        <v>478</v>
      </c>
    </row>
    <row r="34" customFormat="false" ht="14.25" hidden="false" customHeight="true" outlineLevel="0" collapsed="false">
      <c r="A34" s="18"/>
      <c r="B34" s="19" t="n">
        <v>2</v>
      </c>
      <c r="C34" s="1" t="s">
        <v>525</v>
      </c>
      <c r="D34" s="1" t="s">
        <v>526</v>
      </c>
      <c r="E34" s="22" t="s">
        <v>39</v>
      </c>
      <c r="F34" s="1" t="s">
        <v>478</v>
      </c>
    </row>
    <row r="35" customFormat="false" ht="27" hidden="false" customHeight="true" outlineLevel="0" collapsed="false">
      <c r="A35" s="18"/>
      <c r="B35" s="19" t="n">
        <v>3</v>
      </c>
      <c r="C35" s="20" t="s">
        <v>457</v>
      </c>
      <c r="D35" s="21" t="s">
        <v>527</v>
      </c>
      <c r="E35" s="22" t="s">
        <v>39</v>
      </c>
      <c r="F35" s="1" t="s">
        <v>478</v>
      </c>
    </row>
    <row r="36" customFormat="false" ht="27" hidden="false" customHeight="true" outlineLevel="0" collapsed="false">
      <c r="A36" s="18"/>
      <c r="B36" s="19" t="n">
        <v>4</v>
      </c>
      <c r="C36" s="20" t="s">
        <v>528</v>
      </c>
      <c r="D36" s="21" t="s">
        <v>529</v>
      </c>
      <c r="E36" s="22" t="s">
        <v>39</v>
      </c>
      <c r="F36" s="1" t="s">
        <v>478</v>
      </c>
    </row>
    <row r="37" customFormat="false" ht="27" hidden="false" customHeight="true" outlineLevel="0" collapsed="false">
      <c r="A37" s="18"/>
      <c r="B37" s="19" t="n">
        <v>5</v>
      </c>
      <c r="C37" s="1" t="s">
        <v>530</v>
      </c>
      <c r="D37" s="21" t="s">
        <v>531</v>
      </c>
      <c r="E37" s="22" t="s">
        <v>39</v>
      </c>
      <c r="F37" s="1" t="s">
        <v>478</v>
      </c>
    </row>
    <row r="38" customFormat="false" ht="13.5" hidden="false" customHeight="true" outlineLevel="0" collapsed="false">
      <c r="A38" s="24"/>
      <c r="B38" s="24"/>
      <c r="C38" s="24"/>
      <c r="D38" s="24"/>
      <c r="E38" s="24"/>
      <c r="F38" s="24"/>
    </row>
    <row r="39" customFormat="false" ht="240" hidden="false" customHeight="true" outlineLevel="0" collapsed="false">
      <c r="A39" s="19" t="s">
        <v>168</v>
      </c>
      <c r="B39" s="19" t="n">
        <v>1</v>
      </c>
      <c r="C39" s="20" t="s">
        <v>487</v>
      </c>
      <c r="D39" s="21" t="s">
        <v>532</v>
      </c>
      <c r="E39" s="22" t="s">
        <v>39</v>
      </c>
      <c r="F39" s="1" t="s">
        <v>478</v>
      </c>
    </row>
    <row r="40" customFormat="false" ht="13.5" hidden="false" customHeight="true" outlineLevel="0" collapsed="false">
      <c r="A40" s="24"/>
      <c r="B40" s="24"/>
      <c r="C40" s="24"/>
      <c r="D40" s="24"/>
      <c r="E40" s="24"/>
      <c r="F40" s="24"/>
    </row>
    <row r="41" customFormat="false" ht="30" hidden="false" customHeight="true" outlineLevel="0" collapsed="false">
      <c r="A41" s="18" t="s">
        <v>185</v>
      </c>
      <c r="B41" s="19" t="n">
        <v>1</v>
      </c>
      <c r="C41" s="29" t="s">
        <v>186</v>
      </c>
      <c r="D41" s="29" t="s">
        <v>187</v>
      </c>
      <c r="E41" s="22" t="s">
        <v>39</v>
      </c>
      <c r="F41" s="1" t="s">
        <v>478</v>
      </c>
    </row>
    <row r="42" customFormat="false" ht="14.25" hidden="false" customHeight="true" outlineLevel="0" collapsed="false">
      <c r="A42" s="18"/>
      <c r="B42" s="19" t="n">
        <v>2</v>
      </c>
      <c r="C42" s="1" t="s">
        <v>188</v>
      </c>
      <c r="D42" s="1" t="s">
        <v>189</v>
      </c>
      <c r="E42" s="22" t="s">
        <v>39</v>
      </c>
      <c r="F42" s="1" t="s">
        <v>478</v>
      </c>
    </row>
    <row r="43" customFormat="false" ht="54.75" hidden="false" customHeight="true" outlineLevel="0" collapsed="false">
      <c r="A43" s="18"/>
      <c r="B43" s="19" t="n">
        <v>3</v>
      </c>
      <c r="C43" s="20" t="s">
        <v>190</v>
      </c>
      <c r="D43" s="21" t="s">
        <v>191</v>
      </c>
      <c r="E43" s="22" t="s">
        <v>39</v>
      </c>
      <c r="F43" s="1" t="s">
        <v>478</v>
      </c>
    </row>
    <row r="44" customFormat="false" ht="13.5" hidden="false" customHeight="true" outlineLevel="0" collapsed="false">
      <c r="A44" s="24"/>
      <c r="B44" s="24"/>
      <c r="C44" s="24"/>
      <c r="D44" s="24"/>
      <c r="E44" s="24"/>
      <c r="F44" s="24"/>
    </row>
    <row r="45" customFormat="false" ht="27" hidden="false" customHeight="true" outlineLevel="0" collapsed="false">
      <c r="A45" s="19" t="s">
        <v>533</v>
      </c>
      <c r="B45" s="19" t="n">
        <v>1</v>
      </c>
      <c r="C45" s="20" t="s">
        <v>294</v>
      </c>
      <c r="D45" s="21" t="s">
        <v>534</v>
      </c>
      <c r="E45" s="22" t="s">
        <v>39</v>
      </c>
      <c r="F45" s="1" t="s">
        <v>478</v>
      </c>
    </row>
    <row r="46" customFormat="false" ht="13.5" hidden="false" customHeight="true" outlineLevel="0" collapsed="false">
      <c r="A46" s="24"/>
      <c r="B46" s="24"/>
      <c r="C46" s="24"/>
      <c r="D46" s="24"/>
      <c r="E46" s="24"/>
      <c r="F46" s="24"/>
    </row>
    <row r="47" customFormat="false" ht="27" hidden="false" customHeight="true" outlineLevel="0" collapsed="false">
      <c r="A47" s="19" t="s">
        <v>535</v>
      </c>
      <c r="B47" s="19" t="n">
        <v>1</v>
      </c>
      <c r="C47" s="21" t="s">
        <v>536</v>
      </c>
      <c r="D47" s="21" t="s">
        <v>537</v>
      </c>
      <c r="E47" s="22" t="s">
        <v>39</v>
      </c>
      <c r="F47" s="1" t="s">
        <v>478</v>
      </c>
    </row>
  </sheetData>
  <autoFilter ref="A1:G47"/>
  <mergeCells count="4">
    <mergeCell ref="A2:A10"/>
    <mergeCell ref="A12:A31"/>
    <mergeCell ref="A33:A37"/>
    <mergeCell ref="A41:A43"/>
  </mergeCells>
  <conditionalFormatting sqref="E47">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45">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conditionalFormatting sqref="E41:E43">
    <cfRule type="cellIs" priority="12" operator="equal" aboveAverage="0" equalAverage="0" bottom="0" percent="0" rank="0" text="" dxfId="8">
      <formula>"Blocked"</formula>
    </cfRule>
    <cfRule type="cellIs" priority="13" operator="equal" aboveAverage="0" equalAverage="0" bottom="0" percent="0" rank="0" text="" dxfId="9">
      <formula>"Skipped"</formula>
    </cfRule>
    <cfRule type="cellIs" priority="14" operator="equal" aboveAverage="0" equalAverage="0" bottom="0" percent="0" rank="0" text="" dxfId="10">
      <formula>"Not Tested"</formula>
    </cfRule>
    <cfRule type="cellIs" priority="15" operator="equal" aboveAverage="0" equalAverage="0" bottom="0" percent="0" rank="0" text="" dxfId="11">
      <formula>"Passed"</formula>
    </cfRule>
    <cfRule type="cellIs" priority="16" operator="equal" aboveAverage="0" equalAverage="0" bottom="0" percent="0" rank="0" text="" dxfId="12">
      <formula>"Failed"</formula>
    </cfRule>
  </conditionalFormatting>
  <conditionalFormatting sqref="E39">
    <cfRule type="cellIs" priority="17" operator="equal" aboveAverage="0" equalAverage="0" bottom="0" percent="0" rank="0" text="" dxfId="8">
      <formula>"Blocked"</formula>
    </cfRule>
    <cfRule type="cellIs" priority="18" operator="equal" aboveAverage="0" equalAverage="0" bottom="0" percent="0" rank="0" text="" dxfId="9">
      <formula>"Skipped"</formula>
    </cfRule>
    <cfRule type="cellIs" priority="19" operator="equal" aboveAverage="0" equalAverage="0" bottom="0" percent="0" rank="0" text="" dxfId="10">
      <formula>"Not Tested"</formula>
    </cfRule>
    <cfRule type="cellIs" priority="20" operator="equal" aboveAverage="0" equalAverage="0" bottom="0" percent="0" rank="0" text="" dxfId="11">
      <formula>"Passed"</formula>
    </cfRule>
    <cfRule type="cellIs" priority="21" operator="equal" aboveAverage="0" equalAverage="0" bottom="0" percent="0" rank="0" text="" dxfId="12">
      <formula>"Failed"</formula>
    </cfRule>
  </conditionalFormatting>
  <conditionalFormatting sqref="E33:E37">
    <cfRule type="cellIs" priority="22" operator="equal" aboveAverage="0" equalAverage="0" bottom="0" percent="0" rank="0" text="" dxfId="8">
      <formula>"Blocked"</formula>
    </cfRule>
    <cfRule type="cellIs" priority="23" operator="equal" aboveAverage="0" equalAverage="0" bottom="0" percent="0" rank="0" text="" dxfId="9">
      <formula>"Skipped"</formula>
    </cfRule>
    <cfRule type="cellIs" priority="24" operator="equal" aboveAverage="0" equalAverage="0" bottom="0" percent="0" rank="0" text="" dxfId="10">
      <formula>"Not Tested"</formula>
    </cfRule>
    <cfRule type="cellIs" priority="25" operator="equal" aboveAverage="0" equalAverage="0" bottom="0" percent="0" rank="0" text="" dxfId="11">
      <formula>"Passed"</formula>
    </cfRule>
    <cfRule type="cellIs" priority="26" operator="equal" aboveAverage="0" equalAverage="0" bottom="0" percent="0" rank="0" text="" dxfId="12">
      <formula>"Failed"</formula>
    </cfRule>
  </conditionalFormatting>
  <conditionalFormatting sqref="E12:E31">
    <cfRule type="cellIs" priority="27" operator="equal" aboveAverage="0" equalAverage="0" bottom="0" percent="0" rank="0" text="" dxfId="8">
      <formula>"Blocked"</formula>
    </cfRule>
    <cfRule type="cellIs" priority="28" operator="equal" aboveAverage="0" equalAverage="0" bottom="0" percent="0" rank="0" text="" dxfId="9">
      <formula>"Skipped"</formula>
    </cfRule>
    <cfRule type="cellIs" priority="29" operator="equal" aboveAverage="0" equalAverage="0" bottom="0" percent="0" rank="0" text="" dxfId="10">
      <formula>"Not Tested"</formula>
    </cfRule>
    <cfRule type="cellIs" priority="30" operator="equal" aboveAverage="0" equalAverage="0" bottom="0" percent="0" rank="0" text="" dxfId="11">
      <formula>"Passed"</formula>
    </cfRule>
    <cfRule type="cellIs" priority="31" operator="equal" aboveAverage="0" equalAverage="0" bottom="0" percent="0" rank="0" text="" dxfId="12">
      <formula>"Failed"</formula>
    </cfRule>
  </conditionalFormatting>
  <conditionalFormatting sqref="E2:E10">
    <cfRule type="cellIs" priority="32" operator="equal" aboveAverage="0" equalAverage="0" bottom="0" percent="0" rank="0" text="" dxfId="8">
      <formula>"Blocked"</formula>
    </cfRule>
    <cfRule type="cellIs" priority="33" operator="equal" aboveAverage="0" equalAverage="0" bottom="0" percent="0" rank="0" text="" dxfId="9">
      <formula>"Skipped"</formula>
    </cfRule>
    <cfRule type="cellIs" priority="34" operator="equal" aboveAverage="0" equalAverage="0" bottom="0" percent="0" rank="0" text="" dxfId="10">
      <formula>"Not Tested"</formula>
    </cfRule>
    <cfRule type="cellIs" priority="35" operator="equal" aboveAverage="0" equalAverage="0" bottom="0" percent="0" rank="0" text="" dxfId="11">
      <formula>"Passed"</formula>
    </cfRule>
    <cfRule type="cellIs" priority="36"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47"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34" activeCellId="0" sqref="A34"/>
    </sheetView>
  </sheetViews>
  <sheetFormatPr defaultColWidth="8.5390625" defaultRowHeight="13.5" customHeight="false" zeroHeight="false" outlineLevelRow="0" outlineLevelCol="0"/>
  <cols>
    <col collapsed="false" customWidth="true" hidden="false" outlineLevel="0" max="2" min="1" style="1" width="34"/>
    <col collapsed="false" customWidth="true" hidden="false" outlineLevel="0" max="3" min="3" style="1" width="42.9"/>
    <col collapsed="false" customWidth="true" hidden="false" outlineLevel="0" max="4" min="4" style="1" width="51.6"/>
    <col collapsed="false" customWidth="true" hidden="false" outlineLevel="0" max="5" min="5" style="1" width="27.1"/>
    <col collapsed="false" customWidth="true" hidden="false" outlineLevel="0" max="6" min="6" style="1" width="30.1"/>
    <col collapsed="false" customWidth="true" hidden="false" outlineLevel="0" max="7" min="7" style="1" width="12"/>
  </cols>
  <sheetData>
    <row r="1" customFormat="false" ht="13.5" hidden="false" customHeight="true" outlineLevel="0" collapsed="false">
      <c r="A1" s="15" t="s">
        <v>33</v>
      </c>
      <c r="B1" s="16" t="s">
        <v>65</v>
      </c>
      <c r="C1" s="16" t="s">
        <v>66</v>
      </c>
      <c r="D1" s="16" t="s">
        <v>67</v>
      </c>
      <c r="E1" s="16" t="s">
        <v>68</v>
      </c>
      <c r="F1" s="16" t="s">
        <v>69</v>
      </c>
      <c r="G1" s="17" t="s">
        <v>70</v>
      </c>
    </row>
    <row r="2" customFormat="false" ht="14.25" hidden="false" customHeight="true" outlineLevel="0" collapsed="false">
      <c r="A2" s="18" t="s">
        <v>71</v>
      </c>
      <c r="B2" s="19" t="n">
        <v>1</v>
      </c>
      <c r="C2" s="20" t="s">
        <v>538</v>
      </c>
      <c r="D2" s="23" t="s">
        <v>539</v>
      </c>
      <c r="E2" s="22" t="s">
        <v>38</v>
      </c>
    </row>
    <row r="3" customFormat="false" ht="25.5" hidden="false" customHeight="true" outlineLevel="0" collapsed="false">
      <c r="A3" s="18"/>
      <c r="B3" s="19" t="n">
        <v>2</v>
      </c>
      <c r="C3" s="20" t="s">
        <v>540</v>
      </c>
      <c r="D3" s="20" t="s">
        <v>75</v>
      </c>
      <c r="E3" s="22" t="s">
        <v>38</v>
      </c>
    </row>
    <row r="4" customFormat="false" ht="39" hidden="false" customHeight="true" outlineLevel="0" collapsed="false">
      <c r="A4" s="18"/>
      <c r="B4" s="19" t="n">
        <v>3</v>
      </c>
      <c r="C4" s="20" t="s">
        <v>76</v>
      </c>
      <c r="D4" s="23" t="s">
        <v>352</v>
      </c>
      <c r="E4" s="22" t="s">
        <v>38</v>
      </c>
    </row>
    <row r="5" customFormat="false" ht="27" hidden="false" customHeight="true" outlineLevel="0" collapsed="false">
      <c r="A5" s="18"/>
      <c r="B5" s="19" t="n">
        <v>4</v>
      </c>
      <c r="C5" s="20" t="s">
        <v>78</v>
      </c>
      <c r="D5" s="23" t="s">
        <v>79</v>
      </c>
      <c r="E5" s="22" t="s">
        <v>38</v>
      </c>
    </row>
    <row r="6" customFormat="false" ht="41.25" hidden="false" customHeight="true" outlineLevel="0" collapsed="false">
      <c r="A6" s="18"/>
      <c r="B6" s="19" t="n">
        <v>5</v>
      </c>
      <c r="C6" s="20" t="s">
        <v>80</v>
      </c>
      <c r="D6" s="23" t="s">
        <v>81</v>
      </c>
      <c r="E6" s="22" t="s">
        <v>38</v>
      </c>
    </row>
    <row r="7" customFormat="false" ht="41.25" hidden="false" customHeight="true" outlineLevel="0" collapsed="false">
      <c r="A7" s="18"/>
      <c r="B7" s="19" t="n">
        <v>6</v>
      </c>
      <c r="C7" s="20" t="s">
        <v>82</v>
      </c>
      <c r="D7" s="23" t="s">
        <v>83</v>
      </c>
      <c r="E7" s="22" t="s">
        <v>38</v>
      </c>
    </row>
    <row r="8" customFormat="false" ht="27" hidden="false" customHeight="true" outlineLevel="0" collapsed="false">
      <c r="A8" s="18"/>
      <c r="B8" s="19" t="n">
        <v>7</v>
      </c>
      <c r="C8" s="20" t="s">
        <v>84</v>
      </c>
      <c r="D8" s="23" t="s">
        <v>85</v>
      </c>
      <c r="E8" s="22" t="s">
        <v>38</v>
      </c>
    </row>
    <row r="9" customFormat="false" ht="30.75" hidden="false" customHeight="true" outlineLevel="0" collapsed="false">
      <c r="A9" s="18"/>
      <c r="B9" s="19" t="n">
        <v>8</v>
      </c>
      <c r="C9" s="20" t="s">
        <v>86</v>
      </c>
      <c r="D9" s="20" t="s">
        <v>87</v>
      </c>
      <c r="E9" s="22" t="s">
        <v>38</v>
      </c>
    </row>
    <row r="10" customFormat="false" ht="32.25" hidden="false" customHeight="true" outlineLevel="0" collapsed="false">
      <c r="A10" s="18"/>
      <c r="B10" s="19" t="n">
        <v>9</v>
      </c>
      <c r="C10" s="20" t="s">
        <v>236</v>
      </c>
      <c r="D10" s="20" t="s">
        <v>237</v>
      </c>
      <c r="E10" s="22" t="s">
        <v>38</v>
      </c>
    </row>
    <row r="11" customFormat="false" ht="13.5" hidden="false" customHeight="true" outlineLevel="0" collapsed="false">
      <c r="A11" s="24"/>
      <c r="B11" s="24"/>
      <c r="C11" s="24"/>
      <c r="D11" s="24"/>
      <c r="E11" s="24"/>
      <c r="F11" s="24"/>
    </row>
    <row r="12" customFormat="false" ht="14.25" hidden="false" customHeight="true" outlineLevel="0" collapsed="false">
      <c r="A12" s="18" t="s">
        <v>541</v>
      </c>
      <c r="B12" s="19" t="n">
        <v>1</v>
      </c>
      <c r="C12" s="1" t="s">
        <v>542</v>
      </c>
      <c r="D12" s="1" t="s">
        <v>543</v>
      </c>
      <c r="E12" s="22" t="s">
        <v>38</v>
      </c>
    </row>
    <row r="13" customFormat="false" ht="14.25" hidden="false" customHeight="true" outlineLevel="0" collapsed="false">
      <c r="A13" s="18"/>
      <c r="B13" s="19" t="n">
        <v>2</v>
      </c>
      <c r="C13" s="1" t="s">
        <v>356</v>
      </c>
      <c r="D13" s="1" t="s">
        <v>357</v>
      </c>
      <c r="E13" s="22" t="s">
        <v>38</v>
      </c>
    </row>
    <row r="14" customFormat="false" ht="14.25" hidden="false" customHeight="true" outlineLevel="0" collapsed="false">
      <c r="A14" s="18"/>
      <c r="B14" s="19" t="n">
        <v>3</v>
      </c>
      <c r="C14" s="1" t="s">
        <v>95</v>
      </c>
      <c r="D14" s="1" t="s">
        <v>358</v>
      </c>
      <c r="E14" s="22" t="s">
        <v>38</v>
      </c>
    </row>
    <row r="15" customFormat="false" ht="27" hidden="false" customHeight="true" outlineLevel="0" collapsed="false">
      <c r="A15" s="18"/>
      <c r="B15" s="19" t="n">
        <v>4</v>
      </c>
      <c r="C15" s="20" t="s">
        <v>544</v>
      </c>
      <c r="D15" s="21" t="s">
        <v>545</v>
      </c>
      <c r="E15" s="22" t="s">
        <v>38</v>
      </c>
    </row>
    <row r="16" customFormat="false" ht="27" hidden="false" customHeight="true" outlineLevel="0" collapsed="false">
      <c r="A16" s="18"/>
      <c r="B16" s="19" t="n">
        <v>5</v>
      </c>
      <c r="C16" s="20" t="s">
        <v>361</v>
      </c>
      <c r="D16" s="21" t="s">
        <v>546</v>
      </c>
      <c r="E16" s="22" t="s">
        <v>38</v>
      </c>
    </row>
    <row r="17" customFormat="false" ht="13.5" hidden="false" customHeight="true" outlineLevel="0" collapsed="false">
      <c r="A17" s="24"/>
      <c r="B17" s="24"/>
      <c r="C17" s="24"/>
      <c r="D17" s="24"/>
      <c r="E17" s="24"/>
      <c r="F17" s="24"/>
    </row>
    <row r="18" customFormat="false" ht="14.25" hidden="false" customHeight="true" outlineLevel="0" collapsed="false">
      <c r="A18" s="18" t="s">
        <v>547</v>
      </c>
      <c r="B18" s="19" t="n">
        <v>1</v>
      </c>
      <c r="C18" s="20" t="s">
        <v>548</v>
      </c>
      <c r="D18" s="20" t="s">
        <v>75</v>
      </c>
      <c r="E18" s="22" t="s">
        <v>38</v>
      </c>
    </row>
    <row r="19" customFormat="false" ht="27" hidden="false" customHeight="true" outlineLevel="0" collapsed="false">
      <c r="A19" s="18"/>
      <c r="B19" s="19" t="n">
        <v>2</v>
      </c>
      <c r="C19" s="20" t="s">
        <v>76</v>
      </c>
      <c r="D19" s="23" t="s">
        <v>352</v>
      </c>
      <c r="E19" s="22" t="s">
        <v>38</v>
      </c>
    </row>
    <row r="20" customFormat="false" ht="27" hidden="false" customHeight="true" outlineLevel="0" collapsed="false">
      <c r="A20" s="18"/>
      <c r="B20" s="19" t="n">
        <v>3</v>
      </c>
      <c r="C20" s="20" t="s">
        <v>78</v>
      </c>
      <c r="D20" s="23" t="s">
        <v>79</v>
      </c>
      <c r="E20" s="22" t="s">
        <v>38</v>
      </c>
    </row>
    <row r="21" customFormat="false" ht="41.25" hidden="false" customHeight="true" outlineLevel="0" collapsed="false">
      <c r="A21" s="18"/>
      <c r="B21" s="19" t="n">
        <v>4</v>
      </c>
      <c r="C21" s="20" t="s">
        <v>80</v>
      </c>
      <c r="D21" s="23" t="s">
        <v>81</v>
      </c>
      <c r="E21" s="22" t="s">
        <v>38</v>
      </c>
    </row>
    <row r="22" customFormat="false" ht="41.25" hidden="false" customHeight="true" outlineLevel="0" collapsed="false">
      <c r="A22" s="18"/>
      <c r="B22" s="19" t="n">
        <v>5</v>
      </c>
      <c r="C22" s="20" t="s">
        <v>82</v>
      </c>
      <c r="D22" s="23" t="s">
        <v>83</v>
      </c>
      <c r="E22" s="22" t="s">
        <v>38</v>
      </c>
    </row>
    <row r="23" customFormat="false" ht="27" hidden="false" customHeight="true" outlineLevel="0" collapsed="false">
      <c r="A23" s="18"/>
      <c r="B23" s="19" t="n">
        <v>6</v>
      </c>
      <c r="C23" s="20" t="s">
        <v>84</v>
      </c>
      <c r="D23" s="23" t="s">
        <v>85</v>
      </c>
      <c r="E23" s="22" t="s">
        <v>38</v>
      </c>
    </row>
    <row r="24" customFormat="false" ht="14.25" hidden="false" customHeight="true" outlineLevel="0" collapsed="false">
      <c r="A24" s="18"/>
      <c r="B24" s="19" t="n">
        <v>7</v>
      </c>
      <c r="C24" s="20" t="s">
        <v>86</v>
      </c>
      <c r="D24" s="20" t="s">
        <v>87</v>
      </c>
      <c r="E24" s="22" t="s">
        <v>38</v>
      </c>
    </row>
    <row r="25" customFormat="false" ht="14.25" hidden="false" customHeight="true" outlineLevel="0" collapsed="false">
      <c r="A25" s="18"/>
      <c r="B25" s="19" t="n">
        <v>8</v>
      </c>
      <c r="C25" s="20" t="s">
        <v>236</v>
      </c>
      <c r="D25" s="20" t="s">
        <v>237</v>
      </c>
      <c r="E25" s="22" t="s">
        <v>38</v>
      </c>
    </row>
    <row r="26" customFormat="false" ht="27" hidden="false" customHeight="true" outlineLevel="0" collapsed="false">
      <c r="A26" s="18"/>
      <c r="B26" s="19" t="n">
        <v>9</v>
      </c>
      <c r="C26" s="33" t="s">
        <v>549</v>
      </c>
      <c r="D26" s="21" t="s">
        <v>550</v>
      </c>
      <c r="E26" s="22" t="s">
        <v>38</v>
      </c>
    </row>
    <row r="27" customFormat="false" ht="14.25" hidden="false" customHeight="true" outlineLevel="0" collapsed="false">
      <c r="A27" s="18"/>
      <c r="B27" s="19" t="n">
        <v>10</v>
      </c>
      <c r="C27" s="1" t="s">
        <v>551</v>
      </c>
      <c r="D27" s="1" t="s">
        <v>552</v>
      </c>
      <c r="E27" s="22" t="s">
        <v>38</v>
      </c>
    </row>
    <row r="28" customFormat="false" ht="27" hidden="false" customHeight="true" outlineLevel="0" collapsed="false">
      <c r="A28" s="18"/>
      <c r="B28" s="19" t="n">
        <v>11</v>
      </c>
      <c r="C28" s="20" t="s">
        <v>553</v>
      </c>
      <c r="D28" s="21" t="s">
        <v>554</v>
      </c>
      <c r="E28" s="22" t="s">
        <v>38</v>
      </c>
    </row>
    <row r="29" customFormat="false" ht="14.25" hidden="false" customHeight="true" outlineLevel="0" collapsed="false">
      <c r="A29" s="18"/>
      <c r="B29" s="19" t="n">
        <v>12</v>
      </c>
      <c r="C29" s="1" t="s">
        <v>497</v>
      </c>
      <c r="D29" s="1" t="s">
        <v>555</v>
      </c>
      <c r="E29" s="22" t="s">
        <v>38</v>
      </c>
    </row>
    <row r="30" customFormat="false" ht="14.25" hidden="false" customHeight="true" outlineLevel="0" collapsed="false">
      <c r="A30" s="18"/>
      <c r="B30" s="19" t="n">
        <v>13</v>
      </c>
      <c r="C30" s="1" t="s">
        <v>556</v>
      </c>
      <c r="D30" s="1" t="s">
        <v>557</v>
      </c>
      <c r="E30" s="22" t="s">
        <v>38</v>
      </c>
    </row>
    <row r="31" customFormat="false" ht="27" hidden="false" customHeight="true" outlineLevel="0" collapsed="false">
      <c r="A31" s="18"/>
      <c r="B31" s="19" t="n">
        <v>14</v>
      </c>
      <c r="C31" s="20" t="s">
        <v>558</v>
      </c>
      <c r="D31" s="21" t="s">
        <v>559</v>
      </c>
      <c r="E31" s="22" t="s">
        <v>38</v>
      </c>
    </row>
    <row r="32" customFormat="false" ht="27" hidden="false" customHeight="true" outlineLevel="0" collapsed="false">
      <c r="A32" s="18"/>
      <c r="B32" s="19" t="n">
        <v>15</v>
      </c>
      <c r="C32" s="20" t="s">
        <v>136</v>
      </c>
      <c r="D32" s="21" t="s">
        <v>560</v>
      </c>
      <c r="E32" s="22" t="s">
        <v>38</v>
      </c>
    </row>
    <row r="33" customFormat="false" ht="13.5" hidden="false" customHeight="true" outlineLevel="0" collapsed="false">
      <c r="A33" s="24"/>
      <c r="B33" s="24"/>
      <c r="C33" s="24"/>
      <c r="D33" s="24"/>
      <c r="E33" s="24"/>
      <c r="F33" s="24"/>
    </row>
    <row r="34" customFormat="false" ht="14.25" hidden="false" customHeight="true" outlineLevel="0" collapsed="false">
      <c r="A34" s="18" t="s">
        <v>401</v>
      </c>
      <c r="B34" s="19" t="n">
        <v>1</v>
      </c>
      <c r="C34" s="1" t="s">
        <v>351</v>
      </c>
      <c r="D34" s="1" t="s">
        <v>75</v>
      </c>
      <c r="E34" s="22" t="s">
        <v>38</v>
      </c>
    </row>
    <row r="35" customFormat="false" ht="151.5" hidden="false" customHeight="true" outlineLevel="0" collapsed="false">
      <c r="A35" s="18"/>
      <c r="B35" s="19" t="n">
        <v>2</v>
      </c>
      <c r="C35" s="20" t="s">
        <v>76</v>
      </c>
      <c r="D35" s="21" t="s">
        <v>402</v>
      </c>
      <c r="E35" s="22" t="s">
        <v>38</v>
      </c>
    </row>
    <row r="36" customFormat="false" ht="27" hidden="false" customHeight="true" outlineLevel="0" collapsed="false">
      <c r="A36" s="18"/>
      <c r="B36" s="19" t="n">
        <v>3</v>
      </c>
      <c r="C36" s="20" t="s">
        <v>78</v>
      </c>
      <c r="D36" s="21" t="s">
        <v>79</v>
      </c>
      <c r="E36" s="22" t="s">
        <v>38</v>
      </c>
    </row>
    <row r="37" customFormat="false" ht="41.25" hidden="false" customHeight="true" outlineLevel="0" collapsed="false">
      <c r="A37" s="18"/>
      <c r="B37" s="19" t="n">
        <v>4</v>
      </c>
      <c r="C37" s="20" t="s">
        <v>80</v>
      </c>
      <c r="D37" s="21" t="s">
        <v>81</v>
      </c>
      <c r="E37" s="22" t="s">
        <v>38</v>
      </c>
    </row>
    <row r="38" customFormat="false" ht="41.25" hidden="false" customHeight="true" outlineLevel="0" collapsed="false">
      <c r="A38" s="18"/>
      <c r="B38" s="19" t="n">
        <v>5</v>
      </c>
      <c r="C38" s="20" t="s">
        <v>82</v>
      </c>
      <c r="D38" s="21" t="s">
        <v>83</v>
      </c>
      <c r="E38" s="22" t="s">
        <v>38</v>
      </c>
    </row>
    <row r="39" customFormat="false" ht="27" hidden="false" customHeight="true" outlineLevel="0" collapsed="false">
      <c r="A39" s="18"/>
      <c r="B39" s="19" t="n">
        <v>6</v>
      </c>
      <c r="C39" s="20" t="s">
        <v>84</v>
      </c>
      <c r="D39" s="21" t="s">
        <v>85</v>
      </c>
      <c r="E39" s="22" t="s">
        <v>38</v>
      </c>
    </row>
    <row r="40" customFormat="false" ht="14.25" hidden="false" customHeight="true" outlineLevel="0" collapsed="false">
      <c r="A40" s="18"/>
      <c r="B40" s="19" t="n">
        <v>7</v>
      </c>
      <c r="C40" s="1" t="s">
        <v>86</v>
      </c>
      <c r="D40" s="1" t="s">
        <v>87</v>
      </c>
      <c r="E40" s="22" t="s">
        <v>38</v>
      </c>
    </row>
    <row r="41" customFormat="false" ht="27" hidden="false" customHeight="true" outlineLevel="0" collapsed="false">
      <c r="A41" s="18"/>
      <c r="B41" s="19" t="n">
        <v>8</v>
      </c>
      <c r="C41" s="21" t="s">
        <v>403</v>
      </c>
      <c r="D41" s="23" t="s">
        <v>404</v>
      </c>
      <c r="E41" s="22" t="s">
        <v>38</v>
      </c>
    </row>
    <row r="42" customFormat="false" ht="13.5" hidden="false" customHeight="true" outlineLevel="0" collapsed="false">
      <c r="A42" s="24"/>
      <c r="B42" s="24"/>
      <c r="C42" s="24"/>
      <c r="D42" s="24"/>
      <c r="E42" s="24"/>
      <c r="F42" s="24"/>
    </row>
    <row r="43" customFormat="false" ht="14.25" hidden="false" customHeight="true" outlineLevel="0" collapsed="false">
      <c r="A43" s="18" t="s">
        <v>216</v>
      </c>
      <c r="B43" s="19" t="n">
        <v>1</v>
      </c>
      <c r="C43" s="1" t="s">
        <v>217</v>
      </c>
      <c r="D43" s="1" t="s">
        <v>218</v>
      </c>
      <c r="E43" s="22" t="s">
        <v>38</v>
      </c>
    </row>
    <row r="44" customFormat="false" ht="14.25" hidden="false" customHeight="true" outlineLevel="0" collapsed="false">
      <c r="A44" s="18"/>
      <c r="B44" s="19" t="n">
        <v>2</v>
      </c>
      <c r="C44" s="1" t="s">
        <v>219</v>
      </c>
      <c r="D44" s="1" t="s">
        <v>220</v>
      </c>
      <c r="E44" s="22" t="s">
        <v>38</v>
      </c>
    </row>
    <row r="45" customFormat="false" ht="27" hidden="false" customHeight="true" outlineLevel="0" collapsed="false">
      <c r="A45" s="18"/>
      <c r="B45" s="19" t="n">
        <v>3</v>
      </c>
      <c r="C45" s="21" t="s">
        <v>221</v>
      </c>
      <c r="D45" s="21" t="s">
        <v>222</v>
      </c>
      <c r="E45" s="22" t="s">
        <v>38</v>
      </c>
    </row>
    <row r="46" customFormat="false" ht="27" hidden="false" customHeight="true" outlineLevel="0" collapsed="false">
      <c r="A46" s="18"/>
      <c r="B46" s="19" t="n">
        <v>4</v>
      </c>
      <c r="C46" s="20" t="s">
        <v>223</v>
      </c>
      <c r="D46" s="21" t="s">
        <v>224</v>
      </c>
      <c r="E46" s="22" t="s">
        <v>38</v>
      </c>
    </row>
    <row r="47" customFormat="false" ht="27" hidden="false" customHeight="true" outlineLevel="0" collapsed="false">
      <c r="A47" s="18"/>
      <c r="B47" s="19" t="n">
        <v>5</v>
      </c>
      <c r="C47" s="20" t="s">
        <v>225</v>
      </c>
      <c r="D47" s="21" t="s">
        <v>226</v>
      </c>
      <c r="E47" s="22" t="s">
        <v>38</v>
      </c>
    </row>
    <row r="48" customFormat="false" ht="27" hidden="false" customHeight="true" outlineLevel="0" collapsed="false">
      <c r="A48" s="18"/>
      <c r="B48" s="19" t="n">
        <v>6</v>
      </c>
      <c r="C48" s="20" t="s">
        <v>227</v>
      </c>
      <c r="D48" s="21" t="s">
        <v>228</v>
      </c>
      <c r="E48" s="22" t="s">
        <v>38</v>
      </c>
    </row>
    <row r="49" customFormat="false" ht="27" hidden="false" customHeight="true" outlineLevel="0" collapsed="false">
      <c r="A49" s="18"/>
      <c r="B49" s="19" t="n">
        <v>7</v>
      </c>
      <c r="C49" s="1" t="s">
        <v>229</v>
      </c>
      <c r="D49" s="21" t="s">
        <v>230</v>
      </c>
      <c r="E49" s="22" t="s">
        <v>38</v>
      </c>
    </row>
  </sheetData>
  <autoFilter ref="A1:G49"/>
  <mergeCells count="5">
    <mergeCell ref="A2:A10"/>
    <mergeCell ref="A12:A16"/>
    <mergeCell ref="A18:A32"/>
    <mergeCell ref="A34:A41"/>
    <mergeCell ref="A43:A49"/>
  </mergeCells>
  <conditionalFormatting sqref="E18:E32">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43:E49">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conditionalFormatting sqref="E34:E41">
    <cfRule type="cellIs" priority="12" operator="equal" aboveAverage="0" equalAverage="0" bottom="0" percent="0" rank="0" text="" dxfId="8">
      <formula>"Blocked"</formula>
    </cfRule>
    <cfRule type="cellIs" priority="13" operator="equal" aboveAverage="0" equalAverage="0" bottom="0" percent="0" rank="0" text="" dxfId="9">
      <formula>"Skipped"</formula>
    </cfRule>
    <cfRule type="cellIs" priority="14" operator="equal" aboveAverage="0" equalAverage="0" bottom="0" percent="0" rank="0" text="" dxfId="10">
      <formula>"Not Tested"</formula>
    </cfRule>
    <cfRule type="cellIs" priority="15" operator="equal" aboveAverage="0" equalAverage="0" bottom="0" percent="0" rank="0" text="" dxfId="11">
      <formula>"Passed"</formula>
    </cfRule>
    <cfRule type="cellIs" priority="16" operator="equal" aboveAverage="0" equalAverage="0" bottom="0" percent="0" rank="0" text="" dxfId="12">
      <formula>"Failed"</formula>
    </cfRule>
  </conditionalFormatting>
  <conditionalFormatting sqref="E12:E16">
    <cfRule type="cellIs" priority="17" operator="equal" aboveAverage="0" equalAverage="0" bottom="0" percent="0" rank="0" text="" dxfId="8">
      <formula>"Blocked"</formula>
    </cfRule>
    <cfRule type="cellIs" priority="18" operator="equal" aboveAverage="0" equalAverage="0" bottom="0" percent="0" rank="0" text="" dxfId="9">
      <formula>"Skipped"</formula>
    </cfRule>
    <cfRule type="cellIs" priority="19" operator="equal" aboveAverage="0" equalAverage="0" bottom="0" percent="0" rank="0" text="" dxfId="10">
      <formula>"Not Tested"</formula>
    </cfRule>
    <cfRule type="cellIs" priority="20" operator="equal" aboveAverage="0" equalAverage="0" bottom="0" percent="0" rank="0" text="" dxfId="11">
      <formula>"Passed"</formula>
    </cfRule>
    <cfRule type="cellIs" priority="21" operator="equal" aboveAverage="0" equalAverage="0" bottom="0" percent="0" rank="0" text="" dxfId="12">
      <formula>"Failed"</formula>
    </cfRule>
  </conditionalFormatting>
  <conditionalFormatting sqref="E2:E10">
    <cfRule type="cellIs" priority="22" operator="equal" aboveAverage="0" equalAverage="0" bottom="0" percent="0" rank="0" text="" dxfId="8">
      <formula>"Blocked"</formula>
    </cfRule>
    <cfRule type="cellIs" priority="23" operator="equal" aboveAverage="0" equalAverage="0" bottom="0" percent="0" rank="0" text="" dxfId="9">
      <formula>"Skipped"</formula>
    </cfRule>
    <cfRule type="cellIs" priority="24" operator="equal" aboveAverage="0" equalAverage="0" bottom="0" percent="0" rank="0" text="" dxfId="10">
      <formula>"Not Tested"</formula>
    </cfRule>
    <cfRule type="cellIs" priority="25" operator="equal" aboveAverage="0" equalAverage="0" bottom="0" percent="0" rank="0" text="" dxfId="11">
      <formula>"Passed"</formula>
    </cfRule>
    <cfRule type="cellIs" priority="26"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49"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1"/>
  <sheetViews>
    <sheetView showFormulas="false" showGridLines="true" showRowColHeaders="true" showZeros="true" rightToLeft="false" tabSelected="false" showOutlineSymbols="true" defaultGridColor="true" view="normal" topLeftCell="A39" colorId="64" zoomScale="100" zoomScaleNormal="100" zoomScalePageLayoutView="100" workbookViewId="0">
      <pane xSplit="0" ySplit="1" topLeftCell="A2" activePane="bottomLeft" state="frozen"/>
      <selection pane="topLeft" activeCell="A39" activeCellId="0" sqref="A39"/>
      <selection pane="bottomLeft" activeCell="B36" activeCellId="0" sqref="B36"/>
    </sheetView>
  </sheetViews>
  <sheetFormatPr defaultColWidth="8.5390625" defaultRowHeight="13.5" customHeight="false" zeroHeight="false" outlineLevelRow="0" outlineLevelCol="0"/>
  <cols>
    <col collapsed="false" customWidth="true" hidden="false" outlineLevel="0" max="1" min="1" style="1" width="32.7"/>
    <col collapsed="false" customWidth="true" hidden="false" outlineLevel="0" max="2" min="2" style="1" width="30.6"/>
    <col collapsed="false" customWidth="true" hidden="false" outlineLevel="0" max="3" min="3" style="1" width="46.7"/>
    <col collapsed="false" customWidth="true" hidden="false" outlineLevel="0" max="4" min="4" style="1" width="46"/>
    <col collapsed="false" customWidth="true" hidden="false" outlineLevel="0" max="5" min="5" style="1" width="27"/>
    <col collapsed="false" customWidth="true" hidden="false" outlineLevel="0" max="6" min="6" style="1" width="29"/>
    <col collapsed="false" customWidth="true" hidden="false" outlineLevel="0" max="7" min="7" style="1" width="12"/>
  </cols>
  <sheetData>
    <row r="1" customFormat="false" ht="13.5" hidden="false" customHeight="true" outlineLevel="0" collapsed="false">
      <c r="A1" s="15" t="s">
        <v>33</v>
      </c>
      <c r="B1" s="16" t="s">
        <v>65</v>
      </c>
      <c r="C1" s="16" t="s">
        <v>66</v>
      </c>
      <c r="D1" s="16" t="s">
        <v>67</v>
      </c>
      <c r="E1" s="16" t="s">
        <v>68</v>
      </c>
      <c r="F1" s="16" t="s">
        <v>69</v>
      </c>
      <c r="G1" s="17" t="s">
        <v>70</v>
      </c>
    </row>
    <row r="2" customFormat="false" ht="14.25" hidden="false" customHeight="true" outlineLevel="0" collapsed="false">
      <c r="A2" s="18" t="s">
        <v>71</v>
      </c>
      <c r="B2" s="19" t="n">
        <v>1</v>
      </c>
      <c r="C2" s="20" t="s">
        <v>561</v>
      </c>
      <c r="D2" s="23" t="s">
        <v>562</v>
      </c>
      <c r="E2" s="22" t="s">
        <v>38</v>
      </c>
    </row>
    <row r="3" customFormat="false" ht="14.25" hidden="false" customHeight="true" outlineLevel="0" collapsed="false">
      <c r="A3" s="18"/>
      <c r="B3" s="19" t="n">
        <v>2</v>
      </c>
      <c r="C3" s="20" t="s">
        <v>540</v>
      </c>
      <c r="D3" s="20" t="s">
        <v>75</v>
      </c>
      <c r="E3" s="22" t="s">
        <v>38</v>
      </c>
    </row>
    <row r="4" customFormat="false" ht="41.25" hidden="false" customHeight="true" outlineLevel="0" collapsed="false">
      <c r="A4" s="18"/>
      <c r="B4" s="19" t="n">
        <v>3</v>
      </c>
      <c r="C4" s="20" t="s">
        <v>76</v>
      </c>
      <c r="D4" s="23" t="s">
        <v>352</v>
      </c>
      <c r="E4" s="22" t="s">
        <v>38</v>
      </c>
    </row>
    <row r="5" customFormat="false" ht="27" hidden="false" customHeight="true" outlineLevel="0" collapsed="false">
      <c r="A5" s="18"/>
      <c r="B5" s="19" t="n">
        <v>4</v>
      </c>
      <c r="C5" s="20" t="s">
        <v>78</v>
      </c>
      <c r="D5" s="23" t="s">
        <v>79</v>
      </c>
      <c r="E5" s="22" t="s">
        <v>38</v>
      </c>
    </row>
    <row r="6" customFormat="false" ht="41.25" hidden="false" customHeight="true" outlineLevel="0" collapsed="false">
      <c r="A6" s="18"/>
      <c r="B6" s="19" t="n">
        <v>5</v>
      </c>
      <c r="C6" s="20" t="s">
        <v>80</v>
      </c>
      <c r="D6" s="23" t="s">
        <v>81</v>
      </c>
      <c r="E6" s="22" t="s">
        <v>38</v>
      </c>
    </row>
    <row r="7" customFormat="false" ht="41.25" hidden="false" customHeight="true" outlineLevel="0" collapsed="false">
      <c r="A7" s="18"/>
      <c r="B7" s="19" t="n">
        <v>6</v>
      </c>
      <c r="C7" s="20" t="s">
        <v>82</v>
      </c>
      <c r="D7" s="23" t="s">
        <v>83</v>
      </c>
      <c r="E7" s="22" t="s">
        <v>38</v>
      </c>
    </row>
    <row r="8" customFormat="false" ht="27" hidden="false" customHeight="true" outlineLevel="0" collapsed="false">
      <c r="A8" s="18"/>
      <c r="B8" s="19" t="n">
        <v>7</v>
      </c>
      <c r="C8" s="20" t="s">
        <v>84</v>
      </c>
      <c r="D8" s="23" t="s">
        <v>85</v>
      </c>
      <c r="E8" s="22" t="s">
        <v>38</v>
      </c>
    </row>
    <row r="9" customFormat="false" ht="14.25" hidden="false" customHeight="true" outlineLevel="0" collapsed="false">
      <c r="A9" s="18"/>
      <c r="B9" s="19" t="n">
        <v>8</v>
      </c>
      <c r="C9" s="20" t="s">
        <v>86</v>
      </c>
      <c r="D9" s="20" t="s">
        <v>87</v>
      </c>
      <c r="E9" s="22" t="s">
        <v>38</v>
      </c>
    </row>
    <row r="10" customFormat="false" ht="14.25" hidden="false" customHeight="true" outlineLevel="0" collapsed="false">
      <c r="A10" s="18"/>
      <c r="B10" s="19" t="n">
        <v>9</v>
      </c>
      <c r="C10" s="20" t="s">
        <v>236</v>
      </c>
      <c r="D10" s="20" t="s">
        <v>237</v>
      </c>
      <c r="E10" s="22" t="s">
        <v>38</v>
      </c>
    </row>
    <row r="11" customFormat="false" ht="13.5" hidden="false" customHeight="true" outlineLevel="0" collapsed="false">
      <c r="A11" s="24"/>
      <c r="B11" s="24"/>
      <c r="C11" s="24"/>
      <c r="D11" s="24"/>
      <c r="E11" s="24"/>
      <c r="F11" s="24"/>
    </row>
    <row r="12" customFormat="false" ht="14.25" hidden="false" customHeight="true" outlineLevel="0" collapsed="false">
      <c r="A12" s="18" t="s">
        <v>563</v>
      </c>
      <c r="B12" s="19" t="n">
        <v>1</v>
      </c>
      <c r="C12" s="1" t="s">
        <v>542</v>
      </c>
      <c r="D12" s="1" t="s">
        <v>564</v>
      </c>
      <c r="E12" s="22" t="s">
        <v>38</v>
      </c>
    </row>
    <row r="13" customFormat="false" ht="14.25" hidden="false" customHeight="true" outlineLevel="0" collapsed="false">
      <c r="A13" s="18"/>
      <c r="B13" s="19" t="n">
        <v>2</v>
      </c>
      <c r="C13" s="1" t="s">
        <v>356</v>
      </c>
      <c r="D13" s="1" t="s">
        <v>357</v>
      </c>
      <c r="E13" s="22" t="s">
        <v>38</v>
      </c>
    </row>
    <row r="14" customFormat="false" ht="14.25" hidden="false" customHeight="true" outlineLevel="0" collapsed="false">
      <c r="A14" s="18"/>
      <c r="B14" s="19" t="n">
        <v>3</v>
      </c>
      <c r="C14" s="1" t="s">
        <v>95</v>
      </c>
      <c r="D14" s="1" t="s">
        <v>358</v>
      </c>
      <c r="E14" s="22" t="s">
        <v>38</v>
      </c>
    </row>
    <row r="15" customFormat="false" ht="27" hidden="false" customHeight="true" outlineLevel="0" collapsed="false">
      <c r="A15" s="18"/>
      <c r="B15" s="19" t="n">
        <v>4</v>
      </c>
      <c r="C15" s="20" t="s">
        <v>544</v>
      </c>
      <c r="D15" s="21" t="s">
        <v>545</v>
      </c>
      <c r="E15" s="22" t="s">
        <v>38</v>
      </c>
    </row>
    <row r="16" customFormat="false" ht="27" hidden="false" customHeight="true" outlineLevel="0" collapsed="false">
      <c r="A16" s="18"/>
      <c r="B16" s="19" t="n">
        <v>5</v>
      </c>
      <c r="C16" s="20" t="s">
        <v>361</v>
      </c>
      <c r="D16" s="21" t="s">
        <v>546</v>
      </c>
      <c r="E16" s="22" t="s">
        <v>38</v>
      </c>
    </row>
    <row r="17" customFormat="false" ht="13.5" hidden="false" customHeight="true" outlineLevel="0" collapsed="false">
      <c r="A17" s="24"/>
      <c r="B17" s="24"/>
      <c r="C17" s="24"/>
      <c r="D17" s="24"/>
      <c r="E17" s="24"/>
      <c r="F17" s="24"/>
    </row>
    <row r="18" customFormat="false" ht="69" hidden="false" customHeight="true" outlineLevel="0" collapsed="false">
      <c r="A18" s="18" t="s">
        <v>129</v>
      </c>
      <c r="B18" s="19" t="n">
        <v>1</v>
      </c>
      <c r="C18" s="20" t="s">
        <v>479</v>
      </c>
      <c r="D18" s="21" t="s">
        <v>565</v>
      </c>
      <c r="E18" s="22" t="s">
        <v>38</v>
      </c>
    </row>
    <row r="19" customFormat="false" ht="14.25" hidden="false" customHeight="true" outlineLevel="0" collapsed="false">
      <c r="A19" s="18"/>
      <c r="B19" s="19" t="n">
        <v>2</v>
      </c>
      <c r="C19" s="1" t="s">
        <v>566</v>
      </c>
      <c r="D19" s="1" t="s">
        <v>567</v>
      </c>
      <c r="E19" s="22" t="s">
        <v>38</v>
      </c>
    </row>
    <row r="20" customFormat="false" ht="14.25" hidden="false" customHeight="true" outlineLevel="0" collapsed="false">
      <c r="A20" s="18"/>
      <c r="B20" s="19" t="n">
        <v>3</v>
      </c>
      <c r="C20" s="20" t="s">
        <v>568</v>
      </c>
      <c r="D20" s="21" t="s">
        <v>569</v>
      </c>
      <c r="E20" s="22" t="s">
        <v>38</v>
      </c>
    </row>
    <row r="21" customFormat="false" ht="14.25" hidden="false" customHeight="true" outlineLevel="0" collapsed="false">
      <c r="A21" s="18"/>
      <c r="B21" s="19" t="n">
        <v>4</v>
      </c>
      <c r="C21" s="1" t="s">
        <v>570</v>
      </c>
      <c r="D21" s="1" t="s">
        <v>571</v>
      </c>
      <c r="E21" s="22" t="s">
        <v>38</v>
      </c>
    </row>
    <row r="22" customFormat="false" ht="13.5" hidden="false" customHeight="true" outlineLevel="0" collapsed="false">
      <c r="A22" s="24"/>
      <c r="B22" s="24"/>
      <c r="C22" s="24"/>
      <c r="D22" s="24"/>
      <c r="E22" s="24"/>
      <c r="F22" s="24"/>
    </row>
    <row r="23" customFormat="false" ht="14.25" hidden="false" customHeight="true" outlineLevel="0" collapsed="false">
      <c r="A23" s="18" t="s">
        <v>572</v>
      </c>
      <c r="B23" s="19" t="n">
        <v>1</v>
      </c>
      <c r="C23" s="20" t="s">
        <v>573</v>
      </c>
      <c r="D23" s="20" t="s">
        <v>75</v>
      </c>
      <c r="E23" s="22" t="s">
        <v>38</v>
      </c>
    </row>
    <row r="24" customFormat="false" ht="41.25" hidden="false" customHeight="true" outlineLevel="0" collapsed="false">
      <c r="A24" s="18"/>
      <c r="B24" s="19" t="n">
        <v>2</v>
      </c>
      <c r="C24" s="20" t="s">
        <v>76</v>
      </c>
      <c r="D24" s="23" t="s">
        <v>352</v>
      </c>
      <c r="E24" s="22" t="s">
        <v>38</v>
      </c>
    </row>
    <row r="25" customFormat="false" ht="27" hidden="false" customHeight="true" outlineLevel="0" collapsed="false">
      <c r="A25" s="18"/>
      <c r="B25" s="19" t="n">
        <v>3</v>
      </c>
      <c r="C25" s="20" t="s">
        <v>78</v>
      </c>
      <c r="D25" s="23" t="s">
        <v>79</v>
      </c>
      <c r="E25" s="22" t="s">
        <v>38</v>
      </c>
    </row>
    <row r="26" customFormat="false" ht="41.25" hidden="false" customHeight="true" outlineLevel="0" collapsed="false">
      <c r="A26" s="18"/>
      <c r="B26" s="19" t="n">
        <v>4</v>
      </c>
      <c r="C26" s="20" t="s">
        <v>80</v>
      </c>
      <c r="D26" s="23" t="s">
        <v>81</v>
      </c>
      <c r="E26" s="22" t="s">
        <v>38</v>
      </c>
    </row>
    <row r="27" customFormat="false" ht="41.25" hidden="false" customHeight="true" outlineLevel="0" collapsed="false">
      <c r="A27" s="18"/>
      <c r="B27" s="19" t="n">
        <v>5</v>
      </c>
      <c r="C27" s="20" t="s">
        <v>82</v>
      </c>
      <c r="D27" s="23" t="s">
        <v>83</v>
      </c>
      <c r="E27" s="22" t="s">
        <v>38</v>
      </c>
    </row>
    <row r="28" customFormat="false" ht="27" hidden="false" customHeight="true" outlineLevel="0" collapsed="false">
      <c r="A28" s="18"/>
      <c r="B28" s="19" t="n">
        <v>6</v>
      </c>
      <c r="C28" s="20" t="s">
        <v>84</v>
      </c>
      <c r="D28" s="23" t="s">
        <v>85</v>
      </c>
      <c r="E28" s="22" t="s">
        <v>38</v>
      </c>
    </row>
    <row r="29" customFormat="false" ht="14.25" hidden="false" customHeight="true" outlineLevel="0" collapsed="false">
      <c r="A29" s="18"/>
      <c r="B29" s="19" t="n">
        <v>7</v>
      </c>
      <c r="C29" s="20" t="s">
        <v>86</v>
      </c>
      <c r="D29" s="20" t="s">
        <v>87</v>
      </c>
      <c r="E29" s="22" t="s">
        <v>38</v>
      </c>
    </row>
    <row r="30" customFormat="false" ht="14.25" hidden="false" customHeight="true" outlineLevel="0" collapsed="false">
      <c r="A30" s="18"/>
      <c r="B30" s="19" t="n">
        <v>8</v>
      </c>
      <c r="C30" s="20" t="s">
        <v>236</v>
      </c>
      <c r="D30" s="20" t="s">
        <v>237</v>
      </c>
      <c r="E30" s="22" t="s">
        <v>38</v>
      </c>
    </row>
    <row r="31" customFormat="false" ht="14.25" hidden="false" customHeight="true" outlineLevel="0" collapsed="false">
      <c r="A31" s="18"/>
      <c r="B31" s="19" t="n">
        <v>9</v>
      </c>
      <c r="C31" s="1" t="s">
        <v>549</v>
      </c>
      <c r="D31" s="1" t="s">
        <v>574</v>
      </c>
      <c r="E31" s="22" t="s">
        <v>38</v>
      </c>
    </row>
    <row r="32" customFormat="false" ht="14.25" hidden="false" customHeight="true" outlineLevel="0" collapsed="false">
      <c r="A32" s="18"/>
      <c r="B32" s="19" t="n">
        <v>10</v>
      </c>
      <c r="C32" s="1" t="s">
        <v>575</v>
      </c>
      <c r="D32" s="1" t="s">
        <v>576</v>
      </c>
      <c r="E32" s="22" t="s">
        <v>38</v>
      </c>
    </row>
    <row r="33" customFormat="false" ht="41.25" hidden="false" customHeight="true" outlineLevel="0" collapsed="false">
      <c r="A33" s="18"/>
      <c r="B33" s="19" t="n">
        <v>11</v>
      </c>
      <c r="C33" s="20" t="s">
        <v>577</v>
      </c>
      <c r="D33" s="21" t="s">
        <v>578</v>
      </c>
      <c r="E33" s="22" t="s">
        <v>38</v>
      </c>
    </row>
    <row r="34" customFormat="false" ht="41.25" hidden="false" customHeight="true" outlineLevel="0" collapsed="false">
      <c r="A34" s="18"/>
      <c r="B34" s="19" t="n">
        <v>12</v>
      </c>
      <c r="C34" s="1" t="s">
        <v>136</v>
      </c>
      <c r="D34" s="21" t="s">
        <v>579</v>
      </c>
      <c r="E34" s="22" t="s">
        <v>38</v>
      </c>
    </row>
    <row r="35" customFormat="false" ht="13.5" hidden="false" customHeight="true" outlineLevel="0" collapsed="false">
      <c r="A35" s="24"/>
      <c r="B35" s="24"/>
      <c r="C35" s="24"/>
      <c r="D35" s="24"/>
      <c r="E35" s="24"/>
      <c r="F35" s="24"/>
    </row>
    <row r="36" customFormat="false" ht="14.25" hidden="false" customHeight="true" outlineLevel="0" collapsed="false">
      <c r="A36" s="18" t="s">
        <v>401</v>
      </c>
      <c r="B36" s="19" t="n">
        <v>1</v>
      </c>
      <c r="C36" s="1" t="s">
        <v>351</v>
      </c>
      <c r="D36" s="1" t="s">
        <v>75</v>
      </c>
      <c r="E36" s="22" t="s">
        <v>38</v>
      </c>
    </row>
    <row r="37" customFormat="false" ht="165" hidden="false" customHeight="true" outlineLevel="0" collapsed="false">
      <c r="A37" s="18"/>
      <c r="B37" s="19" t="n">
        <v>2</v>
      </c>
      <c r="C37" s="20" t="s">
        <v>76</v>
      </c>
      <c r="D37" s="21" t="s">
        <v>402</v>
      </c>
      <c r="E37" s="22" t="s">
        <v>38</v>
      </c>
    </row>
    <row r="38" customFormat="false" ht="27" hidden="false" customHeight="true" outlineLevel="0" collapsed="false">
      <c r="A38" s="18"/>
      <c r="B38" s="19" t="n">
        <v>3</v>
      </c>
      <c r="C38" s="20" t="s">
        <v>78</v>
      </c>
      <c r="D38" s="21" t="s">
        <v>79</v>
      </c>
      <c r="E38" s="22" t="s">
        <v>38</v>
      </c>
    </row>
    <row r="39" customFormat="false" ht="41.25" hidden="false" customHeight="true" outlineLevel="0" collapsed="false">
      <c r="A39" s="18"/>
      <c r="B39" s="19" t="n">
        <v>4</v>
      </c>
      <c r="C39" s="20" t="s">
        <v>80</v>
      </c>
      <c r="D39" s="21" t="s">
        <v>81</v>
      </c>
      <c r="E39" s="22" t="s">
        <v>38</v>
      </c>
    </row>
    <row r="40" customFormat="false" ht="41.25" hidden="false" customHeight="true" outlineLevel="0" collapsed="false">
      <c r="A40" s="18"/>
      <c r="B40" s="19" t="n">
        <v>5</v>
      </c>
      <c r="C40" s="20" t="s">
        <v>82</v>
      </c>
      <c r="D40" s="21" t="s">
        <v>83</v>
      </c>
      <c r="E40" s="22" t="s">
        <v>38</v>
      </c>
    </row>
    <row r="41" customFormat="false" ht="27" hidden="false" customHeight="true" outlineLevel="0" collapsed="false">
      <c r="A41" s="18"/>
      <c r="B41" s="19" t="n">
        <v>6</v>
      </c>
      <c r="C41" s="20" t="s">
        <v>84</v>
      </c>
      <c r="D41" s="21" t="s">
        <v>85</v>
      </c>
      <c r="E41" s="22" t="s">
        <v>38</v>
      </c>
    </row>
    <row r="42" customFormat="false" ht="14.25" hidden="false" customHeight="true" outlineLevel="0" collapsed="false">
      <c r="A42" s="18"/>
      <c r="B42" s="19" t="n">
        <v>7</v>
      </c>
      <c r="C42" s="1" t="s">
        <v>86</v>
      </c>
      <c r="D42" s="1" t="s">
        <v>87</v>
      </c>
      <c r="E42" s="22" t="s">
        <v>38</v>
      </c>
    </row>
    <row r="43" customFormat="false" ht="27" hidden="false" customHeight="true" outlineLevel="0" collapsed="false">
      <c r="A43" s="18"/>
      <c r="B43" s="19" t="n">
        <v>8</v>
      </c>
      <c r="C43" s="21" t="s">
        <v>403</v>
      </c>
      <c r="D43" s="23" t="s">
        <v>404</v>
      </c>
      <c r="E43" s="22" t="s">
        <v>38</v>
      </c>
    </row>
    <row r="44" customFormat="false" ht="13.5" hidden="false" customHeight="true" outlineLevel="0" collapsed="false">
      <c r="A44" s="24"/>
      <c r="B44" s="24"/>
      <c r="C44" s="24"/>
      <c r="D44" s="24"/>
      <c r="E44" s="24"/>
      <c r="F44" s="24"/>
    </row>
    <row r="45" customFormat="false" ht="14.25" hidden="false" customHeight="true" outlineLevel="0" collapsed="false">
      <c r="A45" s="18" t="s">
        <v>216</v>
      </c>
      <c r="B45" s="19" t="n">
        <v>1</v>
      </c>
      <c r="C45" s="1" t="s">
        <v>217</v>
      </c>
      <c r="D45" s="1" t="s">
        <v>218</v>
      </c>
      <c r="E45" s="22" t="s">
        <v>38</v>
      </c>
    </row>
    <row r="46" customFormat="false" ht="14.25" hidden="false" customHeight="true" outlineLevel="0" collapsed="false">
      <c r="A46" s="18"/>
      <c r="B46" s="19" t="n">
        <v>2</v>
      </c>
      <c r="C46" s="1" t="s">
        <v>219</v>
      </c>
      <c r="D46" s="1" t="s">
        <v>220</v>
      </c>
      <c r="E46" s="22" t="s">
        <v>38</v>
      </c>
    </row>
    <row r="47" customFormat="false" ht="14.25" hidden="false" customHeight="true" outlineLevel="0" collapsed="false">
      <c r="A47" s="18"/>
      <c r="B47" s="19" t="n">
        <v>3</v>
      </c>
      <c r="C47" s="21" t="s">
        <v>221</v>
      </c>
      <c r="D47" s="21" t="s">
        <v>222</v>
      </c>
      <c r="E47" s="22" t="s">
        <v>38</v>
      </c>
    </row>
    <row r="48" customFormat="false" ht="27" hidden="false" customHeight="true" outlineLevel="0" collapsed="false">
      <c r="A48" s="18"/>
      <c r="B48" s="19" t="n">
        <v>4</v>
      </c>
      <c r="C48" s="20" t="s">
        <v>223</v>
      </c>
      <c r="D48" s="21" t="s">
        <v>224</v>
      </c>
      <c r="E48" s="22" t="s">
        <v>38</v>
      </c>
    </row>
    <row r="49" customFormat="false" ht="41.25" hidden="false" customHeight="true" outlineLevel="0" collapsed="false">
      <c r="A49" s="18"/>
      <c r="B49" s="19" t="n">
        <v>5</v>
      </c>
      <c r="C49" s="20" t="s">
        <v>225</v>
      </c>
      <c r="D49" s="21" t="s">
        <v>226</v>
      </c>
      <c r="E49" s="22" t="s">
        <v>38</v>
      </c>
    </row>
    <row r="50" customFormat="false" ht="27" hidden="false" customHeight="true" outlineLevel="0" collapsed="false">
      <c r="A50" s="18"/>
      <c r="B50" s="19" t="n">
        <v>6</v>
      </c>
      <c r="C50" s="20" t="s">
        <v>227</v>
      </c>
      <c r="D50" s="21" t="s">
        <v>228</v>
      </c>
      <c r="E50" s="22" t="s">
        <v>38</v>
      </c>
    </row>
    <row r="51" customFormat="false" ht="27" hidden="false" customHeight="true" outlineLevel="0" collapsed="false">
      <c r="A51" s="18"/>
      <c r="B51" s="19" t="n">
        <v>7</v>
      </c>
      <c r="C51" s="1" t="s">
        <v>229</v>
      </c>
      <c r="D51" s="21" t="s">
        <v>230</v>
      </c>
      <c r="E51" s="22" t="s">
        <v>38</v>
      </c>
    </row>
  </sheetData>
  <autoFilter ref="A1:G51"/>
  <mergeCells count="6">
    <mergeCell ref="A2:A10"/>
    <mergeCell ref="A12:A16"/>
    <mergeCell ref="A18:A21"/>
    <mergeCell ref="A23:A34"/>
    <mergeCell ref="A36:A43"/>
    <mergeCell ref="A45:A51"/>
  </mergeCells>
  <conditionalFormatting sqref="E45:E51">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36:E43">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conditionalFormatting sqref="E23:E34">
    <cfRule type="cellIs" priority="12" operator="equal" aboveAverage="0" equalAverage="0" bottom="0" percent="0" rank="0" text="" dxfId="8">
      <formula>"Blocked"</formula>
    </cfRule>
    <cfRule type="cellIs" priority="13" operator="equal" aboveAverage="0" equalAverage="0" bottom="0" percent="0" rank="0" text="" dxfId="9">
      <formula>"Skipped"</formula>
    </cfRule>
    <cfRule type="cellIs" priority="14" operator="equal" aboveAverage="0" equalAverage="0" bottom="0" percent="0" rank="0" text="" dxfId="10">
      <formula>"Not Tested"</formula>
    </cfRule>
    <cfRule type="cellIs" priority="15" operator="equal" aboveAverage="0" equalAverage="0" bottom="0" percent="0" rank="0" text="" dxfId="11">
      <formula>"Passed"</formula>
    </cfRule>
    <cfRule type="cellIs" priority="16" operator="equal" aboveAverage="0" equalAverage="0" bottom="0" percent="0" rank="0" text="" dxfId="12">
      <formula>"Failed"</formula>
    </cfRule>
  </conditionalFormatting>
  <conditionalFormatting sqref="E18:E21">
    <cfRule type="cellIs" priority="17" operator="equal" aboveAverage="0" equalAverage="0" bottom="0" percent="0" rank="0" text="" dxfId="8">
      <formula>"Blocked"</formula>
    </cfRule>
    <cfRule type="cellIs" priority="18" operator="equal" aboveAverage="0" equalAverage="0" bottom="0" percent="0" rank="0" text="" dxfId="9">
      <formula>"Skipped"</formula>
    </cfRule>
    <cfRule type="cellIs" priority="19" operator="equal" aboveAverage="0" equalAverage="0" bottom="0" percent="0" rank="0" text="" dxfId="10">
      <formula>"Not Tested"</formula>
    </cfRule>
    <cfRule type="cellIs" priority="20" operator="equal" aboveAverage="0" equalAverage="0" bottom="0" percent="0" rank="0" text="" dxfId="11">
      <formula>"Passed"</formula>
    </cfRule>
    <cfRule type="cellIs" priority="21" operator="equal" aboveAverage="0" equalAverage="0" bottom="0" percent="0" rank="0" text="" dxfId="12">
      <formula>"Failed"</formula>
    </cfRule>
  </conditionalFormatting>
  <conditionalFormatting sqref="E12:E16">
    <cfRule type="cellIs" priority="22" operator="equal" aboveAverage="0" equalAverage="0" bottom="0" percent="0" rank="0" text="" dxfId="8">
      <formula>"Blocked"</formula>
    </cfRule>
    <cfRule type="cellIs" priority="23" operator="equal" aboveAverage="0" equalAverage="0" bottom="0" percent="0" rank="0" text="" dxfId="9">
      <formula>"Skipped"</formula>
    </cfRule>
    <cfRule type="cellIs" priority="24" operator="equal" aboveAverage="0" equalAverage="0" bottom="0" percent="0" rank="0" text="" dxfId="10">
      <formula>"Not Tested"</formula>
    </cfRule>
    <cfRule type="cellIs" priority="25" operator="equal" aboveAverage="0" equalAverage="0" bottom="0" percent="0" rank="0" text="" dxfId="11">
      <formula>"Passed"</formula>
    </cfRule>
    <cfRule type="cellIs" priority="26" operator="equal" aboveAverage="0" equalAverage="0" bottom="0" percent="0" rank="0" text="" dxfId="12">
      <formula>"Failed"</formula>
    </cfRule>
  </conditionalFormatting>
  <conditionalFormatting sqref="E2:E10">
    <cfRule type="cellIs" priority="27" operator="equal" aboveAverage="0" equalAverage="0" bottom="0" percent="0" rank="0" text="" dxfId="8">
      <formula>"Blocked"</formula>
    </cfRule>
    <cfRule type="cellIs" priority="28" operator="equal" aboveAverage="0" equalAverage="0" bottom="0" percent="0" rank="0" text="" dxfId="9">
      <formula>"Skipped"</formula>
    </cfRule>
    <cfRule type="cellIs" priority="29" operator="equal" aboveAverage="0" equalAverage="0" bottom="0" percent="0" rank="0" text="" dxfId="10">
      <formula>"Not Tested"</formula>
    </cfRule>
    <cfRule type="cellIs" priority="30" operator="equal" aboveAverage="0" equalAverage="0" bottom="0" percent="0" rank="0" text="" dxfId="11">
      <formula>"Passed"</formula>
    </cfRule>
    <cfRule type="cellIs" priority="31"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51"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2"/>
  <sheetViews>
    <sheetView showFormulas="false" showGridLines="true" showRowColHeaders="true" showZeros="true" rightToLeft="false" tabSelected="false" showOutlineSymbols="true" defaultGridColor="true" view="normal" topLeftCell="A15" colorId="64" zoomScale="100" zoomScaleNormal="100" zoomScalePageLayoutView="100" workbookViewId="0">
      <pane xSplit="0" ySplit="1" topLeftCell="A2" activePane="bottomLeft" state="frozen"/>
      <selection pane="topLeft" activeCell="A15" activeCellId="0" sqref="A15"/>
      <selection pane="bottomLeft" activeCell="D11" activeCellId="0" sqref="D11"/>
    </sheetView>
  </sheetViews>
  <sheetFormatPr defaultColWidth="8.5390625" defaultRowHeight="13.5" customHeight="false" zeroHeight="false" outlineLevelRow="0" outlineLevelCol="0"/>
  <cols>
    <col collapsed="false" customWidth="true" hidden="false" outlineLevel="0" max="1" min="1" style="1" width="32.7"/>
    <col collapsed="false" customWidth="true" hidden="false" outlineLevel="0" max="2" min="2" style="1" width="29.9"/>
    <col collapsed="false" customWidth="true" hidden="false" outlineLevel="0" max="3" min="3" style="1" width="47.1"/>
    <col collapsed="false" customWidth="true" hidden="false" outlineLevel="0" max="4" min="4" style="1" width="45.7"/>
    <col collapsed="false" customWidth="true" hidden="false" outlineLevel="0" max="5" min="5" style="1" width="29.4"/>
    <col collapsed="false" customWidth="true" hidden="false" outlineLevel="0" max="6" min="6" style="1" width="29"/>
    <col collapsed="false" customWidth="true" hidden="false" outlineLevel="0" max="7" min="7" style="1" width="12"/>
  </cols>
  <sheetData>
    <row r="1" customFormat="false" ht="13.5" hidden="false" customHeight="true" outlineLevel="0" collapsed="false">
      <c r="A1" s="15" t="s">
        <v>33</v>
      </c>
      <c r="B1" s="16" t="s">
        <v>65</v>
      </c>
      <c r="C1" s="16" t="s">
        <v>66</v>
      </c>
      <c r="D1" s="16" t="s">
        <v>67</v>
      </c>
      <c r="E1" s="16" t="s">
        <v>68</v>
      </c>
      <c r="F1" s="16" t="s">
        <v>69</v>
      </c>
      <c r="G1" s="17" t="s">
        <v>70</v>
      </c>
    </row>
    <row r="2" customFormat="false" ht="14.25" hidden="false" customHeight="true" outlineLevel="0" collapsed="false">
      <c r="A2" s="18" t="s">
        <v>71</v>
      </c>
      <c r="B2" s="19" t="n">
        <v>1</v>
      </c>
      <c r="C2" s="20" t="s">
        <v>561</v>
      </c>
      <c r="D2" s="23" t="s">
        <v>562</v>
      </c>
      <c r="E2" s="22" t="s">
        <v>38</v>
      </c>
    </row>
    <row r="3" customFormat="false" ht="13.5" hidden="false" customHeight="true" outlineLevel="0" collapsed="false">
      <c r="A3" s="18"/>
      <c r="B3" s="19" t="n">
        <v>2</v>
      </c>
      <c r="C3" s="20" t="s">
        <v>540</v>
      </c>
      <c r="D3" s="20" t="s">
        <v>75</v>
      </c>
      <c r="E3" s="22" t="s">
        <v>38</v>
      </c>
    </row>
    <row r="4" customFormat="false" ht="41.25" hidden="false" customHeight="true" outlineLevel="0" collapsed="false">
      <c r="A4" s="18"/>
      <c r="B4" s="19" t="n">
        <v>3</v>
      </c>
      <c r="C4" s="20" t="s">
        <v>76</v>
      </c>
      <c r="D4" s="23" t="s">
        <v>352</v>
      </c>
      <c r="E4" s="22" t="s">
        <v>38</v>
      </c>
    </row>
    <row r="5" customFormat="false" ht="27" hidden="false" customHeight="true" outlineLevel="0" collapsed="false">
      <c r="A5" s="18"/>
      <c r="B5" s="19" t="n">
        <v>4</v>
      </c>
      <c r="C5" s="20" t="s">
        <v>78</v>
      </c>
      <c r="D5" s="23" t="s">
        <v>79</v>
      </c>
      <c r="E5" s="22" t="s">
        <v>38</v>
      </c>
    </row>
    <row r="6" customFormat="false" ht="41.25" hidden="false" customHeight="true" outlineLevel="0" collapsed="false">
      <c r="A6" s="18"/>
      <c r="B6" s="19" t="n">
        <v>5</v>
      </c>
      <c r="C6" s="20" t="s">
        <v>80</v>
      </c>
      <c r="D6" s="23" t="s">
        <v>81</v>
      </c>
      <c r="E6" s="22" t="s">
        <v>38</v>
      </c>
    </row>
    <row r="7" customFormat="false" ht="41.25" hidden="false" customHeight="true" outlineLevel="0" collapsed="false">
      <c r="A7" s="18"/>
      <c r="B7" s="19" t="n">
        <v>6</v>
      </c>
      <c r="C7" s="20" t="s">
        <v>82</v>
      </c>
      <c r="D7" s="23" t="s">
        <v>83</v>
      </c>
      <c r="E7" s="22" t="s">
        <v>38</v>
      </c>
    </row>
    <row r="8" customFormat="false" ht="27" hidden="false" customHeight="true" outlineLevel="0" collapsed="false">
      <c r="A8" s="18"/>
      <c r="B8" s="19" t="n">
        <v>7</v>
      </c>
      <c r="C8" s="20" t="s">
        <v>84</v>
      </c>
      <c r="D8" s="23" t="s">
        <v>85</v>
      </c>
      <c r="E8" s="22" t="s">
        <v>38</v>
      </c>
    </row>
    <row r="9" customFormat="false" ht="13.5" hidden="false" customHeight="true" outlineLevel="0" collapsed="false">
      <c r="A9" s="18"/>
      <c r="B9" s="19" t="n">
        <v>8</v>
      </c>
      <c r="C9" s="20" t="s">
        <v>86</v>
      </c>
      <c r="D9" s="20" t="s">
        <v>87</v>
      </c>
      <c r="E9" s="22" t="s">
        <v>38</v>
      </c>
    </row>
    <row r="10" customFormat="false" ht="13.5" hidden="false" customHeight="true" outlineLevel="0" collapsed="false">
      <c r="A10" s="18"/>
      <c r="B10" s="19" t="n">
        <v>9</v>
      </c>
      <c r="C10" s="20" t="s">
        <v>236</v>
      </c>
      <c r="D10" s="20" t="s">
        <v>237</v>
      </c>
      <c r="E10" s="22" t="s">
        <v>38</v>
      </c>
    </row>
    <row r="11" customFormat="false" ht="13.5" hidden="false" customHeight="true" outlineLevel="0" collapsed="false">
      <c r="A11" s="24"/>
      <c r="B11" s="24"/>
      <c r="C11" s="24"/>
      <c r="D11" s="24"/>
      <c r="E11" s="24"/>
      <c r="F11" s="24"/>
    </row>
    <row r="12" customFormat="false" ht="13.5" hidden="false" customHeight="true" outlineLevel="0" collapsed="false">
      <c r="A12" s="18" t="s">
        <v>580</v>
      </c>
      <c r="B12" s="19" t="n">
        <v>1</v>
      </c>
      <c r="C12" s="1" t="s">
        <v>354</v>
      </c>
      <c r="D12" s="1" t="s">
        <v>581</v>
      </c>
      <c r="E12" s="22" t="s">
        <v>38</v>
      </c>
    </row>
    <row r="13" customFormat="false" ht="13.5" hidden="false" customHeight="true" outlineLevel="0" collapsed="false">
      <c r="A13" s="18"/>
      <c r="B13" s="19" t="n">
        <v>2</v>
      </c>
      <c r="C13" s="1" t="s">
        <v>356</v>
      </c>
      <c r="D13" s="1" t="s">
        <v>357</v>
      </c>
      <c r="E13" s="22" t="s">
        <v>38</v>
      </c>
    </row>
    <row r="14" customFormat="false" ht="13.5" hidden="false" customHeight="true" outlineLevel="0" collapsed="false">
      <c r="A14" s="18"/>
      <c r="B14" s="19" t="n">
        <v>3</v>
      </c>
      <c r="C14" s="1" t="s">
        <v>95</v>
      </c>
      <c r="D14" s="1" t="s">
        <v>358</v>
      </c>
      <c r="E14" s="22" t="s">
        <v>38</v>
      </c>
    </row>
    <row r="15" customFormat="false" ht="27" hidden="false" customHeight="true" outlineLevel="0" collapsed="false">
      <c r="A15" s="18"/>
      <c r="B15" s="19" t="n">
        <v>4</v>
      </c>
      <c r="C15" s="20" t="s">
        <v>544</v>
      </c>
      <c r="D15" s="21" t="s">
        <v>545</v>
      </c>
      <c r="E15" s="22" t="s">
        <v>38</v>
      </c>
    </row>
    <row r="16" customFormat="false" ht="27" hidden="false" customHeight="true" outlineLevel="0" collapsed="false">
      <c r="A16" s="18"/>
      <c r="B16" s="19" t="n">
        <v>5</v>
      </c>
      <c r="C16" s="20" t="s">
        <v>361</v>
      </c>
      <c r="D16" s="21" t="s">
        <v>546</v>
      </c>
      <c r="E16" s="22" t="s">
        <v>38</v>
      </c>
    </row>
    <row r="17" customFormat="false" ht="13.5" hidden="false" customHeight="true" outlineLevel="0" collapsed="false">
      <c r="A17" s="24"/>
      <c r="B17" s="24"/>
      <c r="C17" s="24"/>
      <c r="D17" s="24"/>
      <c r="E17" s="24"/>
      <c r="F17" s="24"/>
    </row>
    <row r="18" customFormat="false" ht="69" hidden="false" customHeight="true" outlineLevel="0" collapsed="false">
      <c r="A18" s="18" t="s">
        <v>408</v>
      </c>
      <c r="B18" s="19" t="n">
        <v>1</v>
      </c>
      <c r="C18" s="20" t="s">
        <v>582</v>
      </c>
      <c r="D18" s="21" t="s">
        <v>583</v>
      </c>
      <c r="E18" s="22" t="s">
        <v>38</v>
      </c>
    </row>
    <row r="19" customFormat="false" ht="13.5" hidden="false" customHeight="true" outlineLevel="0" collapsed="false">
      <c r="A19" s="18"/>
      <c r="B19" s="19" t="n">
        <v>2</v>
      </c>
      <c r="C19" s="1" t="s">
        <v>584</v>
      </c>
      <c r="D19" s="1" t="s">
        <v>585</v>
      </c>
      <c r="E19" s="22" t="s">
        <v>38</v>
      </c>
    </row>
    <row r="20" customFormat="false" ht="13.5" hidden="false" customHeight="true" outlineLevel="0" collapsed="false">
      <c r="A20" s="18"/>
      <c r="B20" s="19" t="n">
        <v>3</v>
      </c>
      <c r="C20" s="1" t="s">
        <v>586</v>
      </c>
      <c r="D20" s="1" t="s">
        <v>569</v>
      </c>
      <c r="E20" s="22" t="s">
        <v>38</v>
      </c>
    </row>
    <row r="21" customFormat="false" ht="13.5" hidden="false" customHeight="true" outlineLevel="0" collapsed="false">
      <c r="A21" s="18"/>
      <c r="B21" s="19" t="n">
        <v>4</v>
      </c>
      <c r="C21" s="1" t="s">
        <v>570</v>
      </c>
      <c r="D21" s="1" t="s">
        <v>587</v>
      </c>
      <c r="E21" s="22" t="s">
        <v>38</v>
      </c>
    </row>
    <row r="22" customFormat="false" ht="13.5" hidden="false" customHeight="true" outlineLevel="0" collapsed="false">
      <c r="A22" s="24"/>
      <c r="B22" s="24"/>
      <c r="C22" s="24"/>
      <c r="D22" s="24"/>
      <c r="E22" s="24"/>
    </row>
    <row r="23" customFormat="false" ht="13.5" hidden="false" customHeight="true" outlineLevel="0" collapsed="false">
      <c r="A23" s="18" t="s">
        <v>547</v>
      </c>
      <c r="B23" s="19" t="n">
        <v>1</v>
      </c>
      <c r="C23" s="20" t="s">
        <v>540</v>
      </c>
      <c r="D23" s="20" t="s">
        <v>75</v>
      </c>
      <c r="E23" s="22" t="s">
        <v>38</v>
      </c>
    </row>
    <row r="24" customFormat="false" ht="41.25" hidden="false" customHeight="true" outlineLevel="0" collapsed="false">
      <c r="A24" s="18"/>
      <c r="B24" s="19" t="n">
        <v>2</v>
      </c>
      <c r="C24" s="20" t="s">
        <v>76</v>
      </c>
      <c r="D24" s="23" t="s">
        <v>352</v>
      </c>
      <c r="E24" s="22" t="s">
        <v>38</v>
      </c>
    </row>
    <row r="25" customFormat="false" ht="27" hidden="false" customHeight="true" outlineLevel="0" collapsed="false">
      <c r="A25" s="18"/>
      <c r="B25" s="19" t="n">
        <v>3</v>
      </c>
      <c r="C25" s="20" t="s">
        <v>78</v>
      </c>
      <c r="D25" s="23" t="s">
        <v>79</v>
      </c>
      <c r="E25" s="22" t="s">
        <v>38</v>
      </c>
    </row>
    <row r="26" customFormat="false" ht="41.25" hidden="false" customHeight="true" outlineLevel="0" collapsed="false">
      <c r="A26" s="18"/>
      <c r="B26" s="19" t="n">
        <v>4</v>
      </c>
      <c r="C26" s="20" t="s">
        <v>80</v>
      </c>
      <c r="D26" s="23" t="s">
        <v>81</v>
      </c>
      <c r="E26" s="22" t="s">
        <v>38</v>
      </c>
    </row>
    <row r="27" customFormat="false" ht="41.25" hidden="false" customHeight="true" outlineLevel="0" collapsed="false">
      <c r="A27" s="18"/>
      <c r="B27" s="19" t="n">
        <v>5</v>
      </c>
      <c r="C27" s="20" t="s">
        <v>82</v>
      </c>
      <c r="D27" s="23" t="s">
        <v>83</v>
      </c>
      <c r="E27" s="22" t="s">
        <v>38</v>
      </c>
    </row>
    <row r="28" customFormat="false" ht="27" hidden="false" customHeight="true" outlineLevel="0" collapsed="false">
      <c r="A28" s="18"/>
      <c r="B28" s="19" t="n">
        <v>6</v>
      </c>
      <c r="C28" s="20" t="s">
        <v>84</v>
      </c>
      <c r="D28" s="23" t="s">
        <v>85</v>
      </c>
      <c r="E28" s="22" t="s">
        <v>38</v>
      </c>
    </row>
    <row r="29" customFormat="false" ht="13.5" hidden="false" customHeight="true" outlineLevel="0" collapsed="false">
      <c r="A29" s="18"/>
      <c r="B29" s="19" t="n">
        <v>7</v>
      </c>
      <c r="C29" s="20" t="s">
        <v>86</v>
      </c>
      <c r="D29" s="20" t="s">
        <v>87</v>
      </c>
      <c r="E29" s="22" t="s">
        <v>38</v>
      </c>
    </row>
    <row r="30" customFormat="false" ht="13.5" hidden="false" customHeight="true" outlineLevel="0" collapsed="false">
      <c r="A30" s="18"/>
      <c r="B30" s="19" t="n">
        <v>8</v>
      </c>
      <c r="C30" s="20" t="s">
        <v>236</v>
      </c>
      <c r="D30" s="20" t="s">
        <v>237</v>
      </c>
      <c r="E30" s="22" t="s">
        <v>38</v>
      </c>
    </row>
    <row r="31" customFormat="false" ht="13.5" hidden="false" customHeight="true" outlineLevel="0" collapsed="false">
      <c r="A31" s="18"/>
      <c r="B31" s="19" t="n">
        <v>9</v>
      </c>
      <c r="C31" s="1" t="s">
        <v>588</v>
      </c>
      <c r="D31" s="1" t="s">
        <v>589</v>
      </c>
      <c r="E31" s="22" t="s">
        <v>38</v>
      </c>
    </row>
    <row r="32" customFormat="false" ht="13.5" hidden="false" customHeight="true" outlineLevel="0" collapsed="false">
      <c r="A32" s="18"/>
      <c r="B32" s="19" t="n">
        <v>10</v>
      </c>
      <c r="C32" s="1" t="s">
        <v>354</v>
      </c>
      <c r="D32" s="1" t="s">
        <v>590</v>
      </c>
      <c r="E32" s="22" t="s">
        <v>38</v>
      </c>
    </row>
    <row r="33" customFormat="false" ht="13.5" hidden="false" customHeight="true" outlineLevel="0" collapsed="false">
      <c r="A33" s="18"/>
      <c r="B33" s="19" t="n">
        <v>11</v>
      </c>
      <c r="C33" s="1" t="s">
        <v>356</v>
      </c>
      <c r="D33" s="1" t="s">
        <v>357</v>
      </c>
      <c r="E33" s="22" t="s">
        <v>38</v>
      </c>
    </row>
    <row r="34" customFormat="false" ht="13.5" hidden="false" customHeight="true" outlineLevel="0" collapsed="false">
      <c r="A34" s="18"/>
      <c r="B34" s="19" t="n">
        <v>12</v>
      </c>
      <c r="C34" s="1" t="s">
        <v>95</v>
      </c>
      <c r="D34" s="1" t="s">
        <v>358</v>
      </c>
      <c r="E34" s="22" t="s">
        <v>38</v>
      </c>
    </row>
    <row r="35" customFormat="false" ht="13.5" hidden="false" customHeight="true" outlineLevel="0" collapsed="false">
      <c r="A35" s="18"/>
      <c r="B35" s="19" t="n">
        <v>13</v>
      </c>
      <c r="C35" s="1" t="s">
        <v>591</v>
      </c>
      <c r="D35" s="1" t="s">
        <v>592</v>
      </c>
      <c r="E35" s="22" t="s">
        <v>38</v>
      </c>
    </row>
    <row r="36" customFormat="false" ht="13.5" hidden="false" customHeight="true" outlineLevel="0" collapsed="false">
      <c r="A36" s="18"/>
      <c r="B36" s="19" t="n">
        <v>14</v>
      </c>
      <c r="C36" s="1" t="s">
        <v>593</v>
      </c>
      <c r="D36" s="1" t="s">
        <v>594</v>
      </c>
      <c r="E36" s="22" t="s">
        <v>38</v>
      </c>
    </row>
    <row r="37" customFormat="false" ht="13.5" hidden="false" customHeight="true" outlineLevel="0" collapsed="false">
      <c r="A37" s="18"/>
      <c r="B37" s="19" t="n">
        <v>15</v>
      </c>
      <c r="C37" s="1" t="s">
        <v>595</v>
      </c>
      <c r="D37" s="1" t="s">
        <v>383</v>
      </c>
      <c r="E37" s="22" t="s">
        <v>38</v>
      </c>
    </row>
    <row r="38" customFormat="false" ht="13.5" hidden="false" customHeight="true" outlineLevel="0" collapsed="false">
      <c r="A38" s="18"/>
      <c r="B38" s="19" t="n">
        <v>16</v>
      </c>
      <c r="C38" s="1" t="s">
        <v>596</v>
      </c>
      <c r="D38" s="1" t="s">
        <v>594</v>
      </c>
      <c r="E38" s="22" t="s">
        <v>38</v>
      </c>
    </row>
    <row r="39" customFormat="false" ht="13.5" hidden="false" customHeight="true" outlineLevel="0" collapsed="false">
      <c r="A39" s="18"/>
      <c r="B39" s="19" t="n">
        <v>17</v>
      </c>
      <c r="C39" s="1" t="s">
        <v>597</v>
      </c>
      <c r="D39" s="1" t="s">
        <v>383</v>
      </c>
      <c r="E39" s="22" t="s">
        <v>38</v>
      </c>
    </row>
    <row r="40" customFormat="false" ht="13.5" hidden="false" customHeight="true" outlineLevel="0" collapsed="false">
      <c r="A40" s="18"/>
      <c r="B40" s="19" t="n">
        <v>18</v>
      </c>
      <c r="C40" s="1" t="s">
        <v>598</v>
      </c>
      <c r="D40" s="1" t="s">
        <v>594</v>
      </c>
      <c r="E40" s="22" t="s">
        <v>38</v>
      </c>
    </row>
    <row r="41" customFormat="false" ht="13.5" hidden="false" customHeight="true" outlineLevel="0" collapsed="false">
      <c r="A41" s="18"/>
      <c r="B41" s="19" t="n">
        <v>19</v>
      </c>
      <c r="C41" s="1" t="s">
        <v>599</v>
      </c>
      <c r="D41" s="1" t="s">
        <v>383</v>
      </c>
      <c r="E41" s="22" t="s">
        <v>38</v>
      </c>
    </row>
    <row r="42" customFormat="false" ht="13.5" hidden="false" customHeight="true" outlineLevel="0" collapsed="false">
      <c r="A42" s="18"/>
      <c r="B42" s="19" t="n">
        <v>20</v>
      </c>
      <c r="C42" s="1" t="s">
        <v>600</v>
      </c>
      <c r="D42" s="1" t="s">
        <v>601</v>
      </c>
      <c r="E42" s="22" t="s">
        <v>38</v>
      </c>
    </row>
    <row r="43" customFormat="false" ht="13.5" hidden="false" customHeight="true" outlineLevel="0" collapsed="false">
      <c r="A43" s="18"/>
      <c r="B43" s="19" t="n">
        <v>21</v>
      </c>
      <c r="C43" s="1" t="s">
        <v>602</v>
      </c>
      <c r="D43" s="1" t="s">
        <v>603</v>
      </c>
      <c r="E43" s="22" t="s">
        <v>38</v>
      </c>
    </row>
    <row r="44" customFormat="false" ht="13.5" hidden="false" customHeight="true" outlineLevel="0" collapsed="false">
      <c r="A44" s="18"/>
      <c r="B44" s="19" t="n">
        <v>22</v>
      </c>
      <c r="C44" s="1" t="s">
        <v>604</v>
      </c>
      <c r="D44" s="1" t="s">
        <v>605</v>
      </c>
      <c r="E44" s="22" t="s">
        <v>38</v>
      </c>
    </row>
    <row r="45" customFormat="false" ht="27" hidden="false" customHeight="true" outlineLevel="0" collapsed="false">
      <c r="A45" s="18"/>
      <c r="B45" s="19" t="n">
        <v>23</v>
      </c>
      <c r="C45" s="20" t="s">
        <v>136</v>
      </c>
      <c r="D45" s="21" t="s">
        <v>606</v>
      </c>
      <c r="E45" s="22" t="s">
        <v>38</v>
      </c>
    </row>
    <row r="46" customFormat="false" ht="13.5" hidden="false" customHeight="true" outlineLevel="0" collapsed="false">
      <c r="A46" s="24"/>
      <c r="B46" s="24"/>
      <c r="C46" s="24"/>
      <c r="D46" s="24"/>
      <c r="E46" s="24"/>
    </row>
    <row r="47" customFormat="false" ht="13.5" hidden="false" customHeight="true" outlineLevel="0" collapsed="false">
      <c r="A47" s="18" t="s">
        <v>401</v>
      </c>
      <c r="B47" s="19" t="n">
        <v>1</v>
      </c>
      <c r="C47" s="1" t="s">
        <v>351</v>
      </c>
      <c r="D47" s="1" t="s">
        <v>75</v>
      </c>
      <c r="E47" s="22" t="s">
        <v>38</v>
      </c>
    </row>
    <row r="48" customFormat="false" ht="165" hidden="false" customHeight="true" outlineLevel="0" collapsed="false">
      <c r="A48" s="18"/>
      <c r="B48" s="19" t="n">
        <v>2</v>
      </c>
      <c r="C48" s="20" t="s">
        <v>76</v>
      </c>
      <c r="D48" s="21" t="s">
        <v>402</v>
      </c>
      <c r="E48" s="22" t="s">
        <v>38</v>
      </c>
    </row>
    <row r="49" customFormat="false" ht="27" hidden="false" customHeight="true" outlineLevel="0" collapsed="false">
      <c r="A49" s="18"/>
      <c r="B49" s="19" t="n">
        <v>3</v>
      </c>
      <c r="C49" s="20" t="s">
        <v>78</v>
      </c>
      <c r="D49" s="21" t="s">
        <v>79</v>
      </c>
      <c r="E49" s="22" t="s">
        <v>38</v>
      </c>
    </row>
    <row r="50" customFormat="false" ht="41.25" hidden="false" customHeight="true" outlineLevel="0" collapsed="false">
      <c r="A50" s="18"/>
      <c r="B50" s="19" t="n">
        <v>4</v>
      </c>
      <c r="C50" s="20" t="s">
        <v>80</v>
      </c>
      <c r="D50" s="21" t="s">
        <v>81</v>
      </c>
      <c r="E50" s="22" t="s">
        <v>38</v>
      </c>
    </row>
    <row r="51" customFormat="false" ht="41.25" hidden="false" customHeight="true" outlineLevel="0" collapsed="false">
      <c r="A51" s="18"/>
      <c r="B51" s="19" t="n">
        <v>5</v>
      </c>
      <c r="C51" s="20" t="s">
        <v>82</v>
      </c>
      <c r="D51" s="21" t="s">
        <v>83</v>
      </c>
      <c r="E51" s="22" t="s">
        <v>38</v>
      </c>
    </row>
    <row r="52" customFormat="false" ht="27" hidden="false" customHeight="true" outlineLevel="0" collapsed="false">
      <c r="A52" s="18"/>
      <c r="B52" s="19" t="n">
        <v>6</v>
      </c>
      <c r="C52" s="20" t="s">
        <v>84</v>
      </c>
      <c r="D52" s="21" t="s">
        <v>85</v>
      </c>
      <c r="E52" s="22" t="s">
        <v>38</v>
      </c>
    </row>
    <row r="53" customFormat="false" ht="13.5" hidden="false" customHeight="true" outlineLevel="0" collapsed="false">
      <c r="A53" s="18"/>
      <c r="B53" s="19" t="n">
        <v>7</v>
      </c>
      <c r="C53" s="1" t="s">
        <v>86</v>
      </c>
      <c r="D53" s="1" t="s">
        <v>87</v>
      </c>
      <c r="E53" s="22" t="s">
        <v>38</v>
      </c>
    </row>
    <row r="54" customFormat="false" ht="27" hidden="false" customHeight="true" outlineLevel="0" collapsed="false">
      <c r="A54" s="18"/>
      <c r="B54" s="19" t="n">
        <v>8</v>
      </c>
      <c r="C54" s="21" t="s">
        <v>403</v>
      </c>
      <c r="D54" s="23" t="s">
        <v>404</v>
      </c>
      <c r="E54" s="22" t="s">
        <v>38</v>
      </c>
    </row>
    <row r="55" customFormat="false" ht="13.5" hidden="false" customHeight="true" outlineLevel="0" collapsed="false">
      <c r="A55" s="24"/>
      <c r="B55" s="24"/>
      <c r="C55" s="24"/>
      <c r="D55" s="24"/>
      <c r="E55" s="24"/>
      <c r="F55" s="24"/>
    </row>
    <row r="56" customFormat="false" ht="13.5" hidden="false" customHeight="true" outlineLevel="0" collapsed="false">
      <c r="A56" s="18" t="s">
        <v>216</v>
      </c>
      <c r="B56" s="19" t="n">
        <v>1</v>
      </c>
      <c r="C56" s="1" t="s">
        <v>217</v>
      </c>
      <c r="D56" s="1" t="s">
        <v>218</v>
      </c>
      <c r="E56" s="22" t="s">
        <v>38</v>
      </c>
    </row>
    <row r="57" customFormat="false" ht="13.5" hidden="false" customHeight="true" outlineLevel="0" collapsed="false">
      <c r="A57" s="18"/>
      <c r="B57" s="19" t="n">
        <v>2</v>
      </c>
      <c r="C57" s="1" t="s">
        <v>219</v>
      </c>
      <c r="D57" s="1" t="s">
        <v>220</v>
      </c>
      <c r="E57" s="22" t="s">
        <v>38</v>
      </c>
    </row>
    <row r="58" customFormat="false" ht="14.25" hidden="false" customHeight="true" outlineLevel="0" collapsed="false">
      <c r="A58" s="18"/>
      <c r="B58" s="19" t="n">
        <v>3</v>
      </c>
      <c r="C58" s="21" t="s">
        <v>221</v>
      </c>
      <c r="D58" s="21" t="s">
        <v>222</v>
      </c>
      <c r="E58" s="22" t="s">
        <v>38</v>
      </c>
    </row>
    <row r="59" customFormat="false" ht="27" hidden="false" customHeight="true" outlineLevel="0" collapsed="false">
      <c r="A59" s="18"/>
      <c r="B59" s="19" t="n">
        <v>4</v>
      </c>
      <c r="C59" s="20" t="s">
        <v>223</v>
      </c>
      <c r="D59" s="21" t="s">
        <v>224</v>
      </c>
      <c r="E59" s="22" t="s">
        <v>38</v>
      </c>
    </row>
    <row r="60" customFormat="false" ht="41.25" hidden="false" customHeight="true" outlineLevel="0" collapsed="false">
      <c r="A60" s="18"/>
      <c r="B60" s="19" t="n">
        <v>5</v>
      </c>
      <c r="C60" s="20" t="s">
        <v>225</v>
      </c>
      <c r="D60" s="21" t="s">
        <v>226</v>
      </c>
      <c r="E60" s="22" t="s">
        <v>38</v>
      </c>
    </row>
    <row r="61" customFormat="false" ht="27" hidden="false" customHeight="true" outlineLevel="0" collapsed="false">
      <c r="A61" s="18"/>
      <c r="B61" s="19" t="n">
        <v>6</v>
      </c>
      <c r="C61" s="20" t="s">
        <v>227</v>
      </c>
      <c r="D61" s="21" t="s">
        <v>228</v>
      </c>
      <c r="E61" s="22" t="s">
        <v>38</v>
      </c>
    </row>
    <row r="62" customFormat="false" ht="27" hidden="false" customHeight="true" outlineLevel="0" collapsed="false">
      <c r="A62" s="18"/>
      <c r="B62" s="19" t="n">
        <v>7</v>
      </c>
      <c r="C62" s="1" t="s">
        <v>229</v>
      </c>
      <c r="D62" s="21" t="s">
        <v>230</v>
      </c>
      <c r="E62" s="22" t="s">
        <v>38</v>
      </c>
    </row>
  </sheetData>
  <autoFilter ref="A1:G62"/>
  <mergeCells count="6">
    <mergeCell ref="A2:A10"/>
    <mergeCell ref="A12:A16"/>
    <mergeCell ref="A18:A21"/>
    <mergeCell ref="A23:A45"/>
    <mergeCell ref="A47:A54"/>
    <mergeCell ref="A56:A62"/>
  </mergeCells>
  <conditionalFormatting sqref="E56:E62">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47:E54">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conditionalFormatting sqref="E23:E45">
    <cfRule type="cellIs" priority="12" operator="equal" aboveAverage="0" equalAverage="0" bottom="0" percent="0" rank="0" text="" dxfId="8">
      <formula>"Blocked"</formula>
    </cfRule>
    <cfRule type="cellIs" priority="13" operator="equal" aboveAverage="0" equalAverage="0" bottom="0" percent="0" rank="0" text="" dxfId="9">
      <formula>"Skipped"</formula>
    </cfRule>
    <cfRule type="cellIs" priority="14" operator="equal" aboveAverage="0" equalAverage="0" bottom="0" percent="0" rank="0" text="" dxfId="10">
      <formula>"Not Tested"</formula>
    </cfRule>
    <cfRule type="cellIs" priority="15" operator="equal" aboveAverage="0" equalAverage="0" bottom="0" percent="0" rank="0" text="" dxfId="11">
      <formula>"Passed"</formula>
    </cfRule>
    <cfRule type="cellIs" priority="16" operator="equal" aboveAverage="0" equalAverage="0" bottom="0" percent="0" rank="0" text="" dxfId="12">
      <formula>"Failed"</formula>
    </cfRule>
  </conditionalFormatting>
  <conditionalFormatting sqref="E18:E21">
    <cfRule type="cellIs" priority="17" operator="equal" aboveAverage="0" equalAverage="0" bottom="0" percent="0" rank="0" text="" dxfId="8">
      <formula>"Blocked"</formula>
    </cfRule>
    <cfRule type="cellIs" priority="18" operator="equal" aboveAverage="0" equalAverage="0" bottom="0" percent="0" rank="0" text="" dxfId="9">
      <formula>"Skipped"</formula>
    </cfRule>
    <cfRule type="cellIs" priority="19" operator="equal" aboveAverage="0" equalAverage="0" bottom="0" percent="0" rank="0" text="" dxfId="10">
      <formula>"Not Tested"</formula>
    </cfRule>
    <cfRule type="cellIs" priority="20" operator="equal" aboveAverage="0" equalAverage="0" bottom="0" percent="0" rank="0" text="" dxfId="11">
      <formula>"Passed"</formula>
    </cfRule>
    <cfRule type="cellIs" priority="21" operator="equal" aboveAverage="0" equalAverage="0" bottom="0" percent="0" rank="0" text="" dxfId="12">
      <formula>"Failed"</formula>
    </cfRule>
  </conditionalFormatting>
  <conditionalFormatting sqref="E12:E16">
    <cfRule type="cellIs" priority="22" operator="equal" aboveAverage="0" equalAverage="0" bottom="0" percent="0" rank="0" text="" dxfId="8">
      <formula>"Blocked"</formula>
    </cfRule>
    <cfRule type="cellIs" priority="23" operator="equal" aboveAverage="0" equalAverage="0" bottom="0" percent="0" rank="0" text="" dxfId="9">
      <formula>"Skipped"</formula>
    </cfRule>
    <cfRule type="cellIs" priority="24" operator="equal" aboveAverage="0" equalAverage="0" bottom="0" percent="0" rank="0" text="" dxfId="10">
      <formula>"Not Tested"</formula>
    </cfRule>
    <cfRule type="cellIs" priority="25" operator="equal" aboveAverage="0" equalAverage="0" bottom="0" percent="0" rank="0" text="" dxfId="11">
      <formula>"Passed"</formula>
    </cfRule>
    <cfRule type="cellIs" priority="26" operator="equal" aboveAverage="0" equalAverage="0" bottom="0" percent="0" rank="0" text="" dxfId="12">
      <formula>"Failed"</formula>
    </cfRule>
  </conditionalFormatting>
  <conditionalFormatting sqref="E2:E10">
    <cfRule type="cellIs" priority="27" operator="equal" aboveAverage="0" equalAverage="0" bottom="0" percent="0" rank="0" text="" dxfId="8">
      <formula>"Blocked"</formula>
    </cfRule>
    <cfRule type="cellIs" priority="28" operator="equal" aboveAverage="0" equalAverage="0" bottom="0" percent="0" rank="0" text="" dxfId="9">
      <formula>"Skipped"</formula>
    </cfRule>
    <cfRule type="cellIs" priority="29" operator="equal" aboveAverage="0" equalAverage="0" bottom="0" percent="0" rank="0" text="" dxfId="10">
      <formula>"Not Tested"</formula>
    </cfRule>
    <cfRule type="cellIs" priority="30" operator="equal" aboveAverage="0" equalAverage="0" bottom="0" percent="0" rank="0" text="" dxfId="11">
      <formula>"Passed"</formula>
    </cfRule>
    <cfRule type="cellIs" priority="31"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62"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pane xSplit="0" ySplit="1" topLeftCell="A2" activePane="bottomLeft" state="frozen"/>
      <selection pane="topLeft" activeCell="A4" activeCellId="0" sqref="A4"/>
      <selection pane="bottomLeft" activeCell="F17" activeCellId="0" sqref="F17"/>
    </sheetView>
  </sheetViews>
  <sheetFormatPr defaultColWidth="8.5390625" defaultRowHeight="13.5" customHeight="false" zeroHeight="false" outlineLevelRow="0" outlineLevelCol="0"/>
  <cols>
    <col collapsed="false" customWidth="true" hidden="false" outlineLevel="0" max="1" min="1" style="1" width="24"/>
    <col collapsed="false" customWidth="true" hidden="false" outlineLevel="0" max="2" min="2" style="1" width="25.4"/>
    <col collapsed="false" customWidth="true" hidden="false" outlineLevel="0" max="3" min="3" style="1" width="37.4"/>
    <col collapsed="false" customWidth="true" hidden="false" outlineLevel="0" max="4" min="4" style="1" width="45.4"/>
    <col collapsed="false" customWidth="true" hidden="false" outlineLevel="0" max="5" min="5" style="1" width="29.3"/>
    <col collapsed="false" customWidth="true" hidden="false" outlineLevel="0" max="6" min="6" style="1" width="38.4"/>
    <col collapsed="false" customWidth="true" hidden="false" outlineLevel="0" max="7" min="7" style="1" width="12"/>
  </cols>
  <sheetData>
    <row r="1" customFormat="false" ht="13.5" hidden="false" customHeight="true" outlineLevel="0" collapsed="false">
      <c r="A1" s="15" t="s">
        <v>33</v>
      </c>
      <c r="B1" s="16" t="s">
        <v>65</v>
      </c>
      <c r="C1" s="16" t="s">
        <v>66</v>
      </c>
      <c r="D1" s="16" t="s">
        <v>67</v>
      </c>
      <c r="E1" s="16" t="s">
        <v>68</v>
      </c>
      <c r="F1" s="16" t="s">
        <v>69</v>
      </c>
      <c r="G1" s="17" t="s">
        <v>70</v>
      </c>
    </row>
    <row r="2" customFormat="false" ht="27" hidden="false" customHeight="true" outlineLevel="0" collapsed="false">
      <c r="A2" s="18" t="s">
        <v>607</v>
      </c>
      <c r="B2" s="19" t="n">
        <v>1</v>
      </c>
      <c r="C2" s="21" t="s">
        <v>608</v>
      </c>
      <c r="D2" s="21" t="s">
        <v>609</v>
      </c>
      <c r="E2" s="22" t="s">
        <v>38</v>
      </c>
    </row>
    <row r="3" customFormat="false" ht="14.25" hidden="false" customHeight="true" outlineLevel="0" collapsed="false">
      <c r="A3" s="18"/>
      <c r="B3" s="19" t="n">
        <v>2</v>
      </c>
      <c r="C3" s="1" t="s">
        <v>610</v>
      </c>
      <c r="D3" s="1" t="s">
        <v>611</v>
      </c>
      <c r="E3" s="22" t="s">
        <v>38</v>
      </c>
    </row>
    <row r="4" customFormat="false" ht="27" hidden="false" customHeight="true" outlineLevel="0" collapsed="false">
      <c r="A4" s="18"/>
      <c r="B4" s="19" t="n">
        <v>3</v>
      </c>
      <c r="C4" s="20" t="s">
        <v>612</v>
      </c>
      <c r="D4" s="21" t="s">
        <v>613</v>
      </c>
      <c r="E4" s="22" t="s">
        <v>38</v>
      </c>
    </row>
    <row r="5" customFormat="false" ht="27" hidden="false" customHeight="true" outlineLevel="0" collapsed="false">
      <c r="A5" s="18"/>
      <c r="B5" s="19" t="n">
        <v>4</v>
      </c>
      <c r="C5" s="20" t="s">
        <v>614</v>
      </c>
      <c r="D5" s="21" t="s">
        <v>615</v>
      </c>
      <c r="E5" s="22" t="s">
        <v>38</v>
      </c>
    </row>
    <row r="6" customFormat="false" ht="27" hidden="false" customHeight="true" outlineLevel="0" collapsed="false">
      <c r="A6" s="18"/>
      <c r="B6" s="19" t="n">
        <v>5</v>
      </c>
      <c r="C6" s="20" t="s">
        <v>616</v>
      </c>
      <c r="D6" s="23" t="s">
        <v>617</v>
      </c>
      <c r="E6" s="22" t="s">
        <v>38</v>
      </c>
    </row>
    <row r="7" customFormat="false" ht="27" hidden="false" customHeight="true" outlineLevel="0" collapsed="false">
      <c r="A7" s="18"/>
      <c r="B7" s="19" t="n">
        <v>6</v>
      </c>
      <c r="C7" s="20" t="s">
        <v>618</v>
      </c>
      <c r="D7" s="21" t="s">
        <v>619</v>
      </c>
      <c r="E7" s="22" t="s">
        <v>38</v>
      </c>
    </row>
    <row r="8" customFormat="false" ht="41.25" hidden="false" customHeight="true" outlineLevel="0" collapsed="false">
      <c r="A8" s="18"/>
      <c r="B8" s="19" t="n">
        <v>7</v>
      </c>
      <c r="C8" s="20" t="s">
        <v>620</v>
      </c>
      <c r="D8" s="21" t="s">
        <v>621</v>
      </c>
      <c r="E8" s="22" t="s">
        <v>38</v>
      </c>
    </row>
    <row r="9" customFormat="false" ht="13.5" hidden="false" customHeight="true" outlineLevel="0" collapsed="false">
      <c r="A9" s="24"/>
      <c r="B9" s="24"/>
      <c r="C9" s="24"/>
      <c r="D9" s="24"/>
      <c r="E9" s="24"/>
      <c r="F9" s="24"/>
    </row>
    <row r="10" customFormat="false" ht="14.25" hidden="false" customHeight="true" outlineLevel="0" collapsed="false">
      <c r="A10" s="34" t="s">
        <v>622</v>
      </c>
      <c r="C10" s="1" t="s">
        <v>354</v>
      </c>
      <c r="D10" s="1" t="s">
        <v>623</v>
      </c>
      <c r="E10" s="19"/>
    </row>
    <row r="11" customFormat="false" ht="27" hidden="false" customHeight="true" outlineLevel="0" collapsed="false">
      <c r="A11" s="34"/>
      <c r="C11" s="1" t="s">
        <v>624</v>
      </c>
      <c r="D11" s="21" t="s">
        <v>625</v>
      </c>
      <c r="E11" s="19"/>
    </row>
    <row r="12" customFormat="false" ht="27" hidden="false" customHeight="true" outlineLevel="0" collapsed="false">
      <c r="A12" s="34"/>
      <c r="C12" s="1" t="s">
        <v>136</v>
      </c>
      <c r="D12" s="21" t="s">
        <v>626</v>
      </c>
      <c r="E12" s="19"/>
    </row>
  </sheetData>
  <autoFilter ref="A1:G12"/>
  <mergeCells count="2">
    <mergeCell ref="A2:A8"/>
    <mergeCell ref="A10:A12"/>
  </mergeCells>
  <conditionalFormatting sqref="E10:E12">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2:E8">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12"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8"/>
  <sheetViews>
    <sheetView showFormulas="false" showGridLines="true" showRowColHeaders="true" showZeros="true" rightToLeft="false" tabSelected="false" showOutlineSymbols="true" defaultGridColor="true" view="normal" topLeftCell="A54" colorId="64" zoomScale="100" zoomScaleNormal="100" zoomScalePageLayoutView="100" workbookViewId="0">
      <pane xSplit="0" ySplit="1" topLeftCell="A2" activePane="bottomLeft" state="frozen"/>
      <selection pane="topLeft" activeCell="A54" activeCellId="0" sqref="A54"/>
      <selection pane="bottomLeft" activeCell="A53" activeCellId="0" sqref="A53"/>
    </sheetView>
  </sheetViews>
  <sheetFormatPr defaultColWidth="8.5390625" defaultRowHeight="13.5" customHeight="false" zeroHeight="false" outlineLevelRow="0" outlineLevelCol="0"/>
  <cols>
    <col collapsed="false" customWidth="true" hidden="false" outlineLevel="0" max="1" min="1" style="1" width="30.9"/>
    <col collapsed="false" customWidth="true" hidden="false" outlineLevel="0" max="2" min="2" style="1" width="23"/>
    <col collapsed="false" customWidth="true" hidden="false" outlineLevel="0" max="3" min="3" style="1" width="43.1"/>
    <col collapsed="false" customWidth="true" hidden="false" outlineLevel="0" max="4" min="4" style="1" width="50.4"/>
    <col collapsed="false" customWidth="true" hidden="false" outlineLevel="0" max="5" min="5" style="1" width="29"/>
    <col collapsed="false" customWidth="true" hidden="false" outlineLevel="0" max="6" min="6" style="1" width="23.9"/>
    <col collapsed="false" customWidth="true" hidden="false" outlineLevel="0" max="7" min="7" style="1" width="12"/>
  </cols>
  <sheetData>
    <row r="1" customFormat="false" ht="13.5" hidden="false" customHeight="true" outlineLevel="0" collapsed="false">
      <c r="A1" s="15" t="s">
        <v>33</v>
      </c>
      <c r="B1" s="16" t="s">
        <v>65</v>
      </c>
      <c r="C1" s="16" t="s">
        <v>66</v>
      </c>
      <c r="D1" s="16" t="s">
        <v>67</v>
      </c>
      <c r="E1" s="16" t="s">
        <v>68</v>
      </c>
      <c r="F1" s="16" t="s">
        <v>69</v>
      </c>
      <c r="G1" s="17" t="s">
        <v>70</v>
      </c>
    </row>
    <row r="2" customFormat="false" ht="14.25" hidden="false" customHeight="true" outlineLevel="0" collapsed="false">
      <c r="A2" s="18" t="s">
        <v>71</v>
      </c>
      <c r="B2" s="19" t="n">
        <v>1</v>
      </c>
      <c r="C2" s="20" t="s">
        <v>627</v>
      </c>
      <c r="D2" s="23" t="s">
        <v>628</v>
      </c>
      <c r="E2" s="22" t="s">
        <v>38</v>
      </c>
    </row>
    <row r="3" customFormat="false" ht="14.25" hidden="false" customHeight="true" outlineLevel="0" collapsed="false">
      <c r="A3" s="18"/>
      <c r="B3" s="19" t="n">
        <v>2</v>
      </c>
      <c r="C3" s="20" t="s">
        <v>629</v>
      </c>
      <c r="D3" s="20" t="s">
        <v>75</v>
      </c>
      <c r="E3" s="22" t="s">
        <v>38</v>
      </c>
    </row>
    <row r="4" customFormat="false" ht="27" hidden="false" customHeight="true" outlineLevel="0" collapsed="false">
      <c r="A4" s="18"/>
      <c r="B4" s="19" t="n">
        <v>3</v>
      </c>
      <c r="C4" s="20" t="s">
        <v>76</v>
      </c>
      <c r="D4" s="23" t="s">
        <v>352</v>
      </c>
      <c r="E4" s="22" t="s">
        <v>38</v>
      </c>
    </row>
    <row r="5" customFormat="false" ht="27" hidden="false" customHeight="true" outlineLevel="0" collapsed="false">
      <c r="A5" s="18"/>
      <c r="B5" s="19" t="n">
        <v>4</v>
      </c>
      <c r="C5" s="20" t="s">
        <v>78</v>
      </c>
      <c r="D5" s="23" t="s">
        <v>79</v>
      </c>
      <c r="E5" s="22" t="s">
        <v>38</v>
      </c>
    </row>
    <row r="6" customFormat="false" ht="41.25" hidden="false" customHeight="true" outlineLevel="0" collapsed="false">
      <c r="A6" s="18"/>
      <c r="B6" s="19" t="n">
        <v>5</v>
      </c>
      <c r="C6" s="20" t="s">
        <v>80</v>
      </c>
      <c r="D6" s="23" t="s">
        <v>81</v>
      </c>
      <c r="E6" s="22" t="s">
        <v>38</v>
      </c>
    </row>
    <row r="7" customFormat="false" ht="41.25" hidden="false" customHeight="true" outlineLevel="0" collapsed="false">
      <c r="A7" s="18"/>
      <c r="B7" s="19" t="n">
        <v>6</v>
      </c>
      <c r="C7" s="20" t="s">
        <v>82</v>
      </c>
      <c r="D7" s="23" t="s">
        <v>83</v>
      </c>
      <c r="E7" s="22" t="s">
        <v>38</v>
      </c>
    </row>
    <row r="8" customFormat="false" ht="27" hidden="false" customHeight="true" outlineLevel="0" collapsed="false">
      <c r="A8" s="18"/>
      <c r="B8" s="19" t="n">
        <v>7</v>
      </c>
      <c r="C8" s="20" t="s">
        <v>84</v>
      </c>
      <c r="D8" s="23" t="s">
        <v>85</v>
      </c>
      <c r="E8" s="22" t="s">
        <v>38</v>
      </c>
    </row>
    <row r="9" customFormat="false" ht="14.25" hidden="false" customHeight="true" outlineLevel="0" collapsed="false">
      <c r="A9" s="18"/>
      <c r="B9" s="19" t="n">
        <v>8</v>
      </c>
      <c r="C9" s="20" t="s">
        <v>86</v>
      </c>
      <c r="D9" s="20" t="s">
        <v>87</v>
      </c>
      <c r="E9" s="22" t="s">
        <v>38</v>
      </c>
    </row>
    <row r="10" customFormat="false" ht="14.25" hidden="false" customHeight="true" outlineLevel="0" collapsed="false">
      <c r="A10" s="18"/>
      <c r="B10" s="19" t="n">
        <v>9</v>
      </c>
      <c r="C10" s="20" t="s">
        <v>236</v>
      </c>
      <c r="D10" s="20" t="s">
        <v>237</v>
      </c>
      <c r="E10" s="22" t="s">
        <v>38</v>
      </c>
    </row>
    <row r="11" customFormat="false" ht="13.5" hidden="false" customHeight="true" outlineLevel="0" collapsed="false">
      <c r="A11" s="24"/>
      <c r="B11" s="24"/>
      <c r="C11" s="24"/>
      <c r="D11" s="24"/>
      <c r="E11" s="24"/>
      <c r="F11" s="24"/>
    </row>
    <row r="12" customFormat="false" ht="27" hidden="false" customHeight="true" outlineLevel="0" collapsed="false">
      <c r="A12" s="18" t="s">
        <v>630</v>
      </c>
      <c r="B12" s="19" t="n">
        <v>1</v>
      </c>
      <c r="C12" s="20" t="s">
        <v>354</v>
      </c>
      <c r="D12" s="21" t="s">
        <v>631</v>
      </c>
      <c r="E12" s="22" t="s">
        <v>38</v>
      </c>
    </row>
    <row r="13" customFormat="false" ht="14.25" hidden="false" customHeight="true" outlineLevel="0" collapsed="false">
      <c r="A13" s="18"/>
      <c r="B13" s="19" t="n">
        <v>2</v>
      </c>
      <c r="C13" s="1" t="s">
        <v>356</v>
      </c>
      <c r="D13" s="1" t="s">
        <v>357</v>
      </c>
      <c r="E13" s="22" t="s">
        <v>38</v>
      </c>
    </row>
    <row r="14" customFormat="false" ht="14.25" hidden="false" customHeight="true" outlineLevel="0" collapsed="false">
      <c r="A14" s="18"/>
      <c r="B14" s="19" t="n">
        <v>3</v>
      </c>
      <c r="C14" s="1" t="s">
        <v>95</v>
      </c>
      <c r="D14" s="1" t="s">
        <v>358</v>
      </c>
      <c r="E14" s="22" t="s">
        <v>38</v>
      </c>
    </row>
    <row r="15" customFormat="false" ht="14.25" hidden="false" customHeight="true" outlineLevel="0" collapsed="false">
      <c r="A15" s="18"/>
      <c r="B15" s="19" t="n">
        <v>4</v>
      </c>
      <c r="C15" s="20" t="s">
        <v>632</v>
      </c>
      <c r="D15" s="21" t="s">
        <v>633</v>
      </c>
      <c r="E15" s="22" t="s">
        <v>38</v>
      </c>
    </row>
    <row r="16" customFormat="false" ht="14.25" hidden="false" customHeight="true" outlineLevel="0" collapsed="false">
      <c r="A16" s="18"/>
      <c r="B16" s="19" t="n">
        <v>5</v>
      </c>
      <c r="C16" s="1" t="s">
        <v>634</v>
      </c>
      <c r="D16" s="1" t="s">
        <v>635</v>
      </c>
      <c r="E16" s="22" t="s">
        <v>38</v>
      </c>
    </row>
    <row r="17" customFormat="false" ht="14.25" hidden="false" customHeight="true" outlineLevel="0" collapsed="false">
      <c r="A17" s="18"/>
      <c r="B17" s="19" t="n">
        <v>6</v>
      </c>
      <c r="C17" s="1" t="s">
        <v>636</v>
      </c>
      <c r="D17" s="21" t="s">
        <v>637</v>
      </c>
      <c r="E17" s="22" t="s">
        <v>38</v>
      </c>
    </row>
    <row r="18" customFormat="false" ht="14.25" hidden="false" customHeight="true" outlineLevel="0" collapsed="false">
      <c r="A18" s="18"/>
      <c r="B18" s="19" t="n">
        <v>7</v>
      </c>
      <c r="C18" s="1" t="s">
        <v>638</v>
      </c>
      <c r="D18" s="1" t="s">
        <v>639</v>
      </c>
      <c r="E18" s="22" t="s">
        <v>38</v>
      </c>
    </row>
    <row r="19" customFormat="false" ht="14.25" hidden="false" customHeight="true" outlineLevel="0" collapsed="false">
      <c r="A19" s="18"/>
      <c r="B19" s="19" t="n">
        <v>8</v>
      </c>
      <c r="C19" s="1" t="s">
        <v>640</v>
      </c>
      <c r="D19" s="1" t="s">
        <v>641</v>
      </c>
      <c r="E19" s="22" t="s">
        <v>38</v>
      </c>
    </row>
    <row r="20" customFormat="false" ht="14.25" hidden="false" customHeight="true" outlineLevel="0" collapsed="false">
      <c r="A20" s="18"/>
      <c r="B20" s="19" t="n">
        <v>9</v>
      </c>
      <c r="C20" s="1" t="s">
        <v>642</v>
      </c>
      <c r="D20" s="1" t="s">
        <v>383</v>
      </c>
      <c r="E20" s="22" t="s">
        <v>38</v>
      </c>
    </row>
    <row r="21" customFormat="false" ht="14.25" hidden="false" customHeight="true" outlineLevel="0" collapsed="false">
      <c r="A21" s="18"/>
      <c r="B21" s="19" t="n">
        <v>10</v>
      </c>
      <c r="C21" s="1" t="s">
        <v>643</v>
      </c>
      <c r="D21" s="1" t="s">
        <v>644</v>
      </c>
      <c r="E21" s="22" t="s">
        <v>38</v>
      </c>
    </row>
    <row r="22" customFormat="false" ht="14.25" hidden="false" customHeight="true" outlineLevel="0" collapsed="false">
      <c r="A22" s="18"/>
      <c r="B22" s="19" t="n">
        <v>11</v>
      </c>
      <c r="C22" s="1" t="s">
        <v>645</v>
      </c>
      <c r="D22" s="1" t="s">
        <v>646</v>
      </c>
      <c r="E22" s="22" t="s">
        <v>38</v>
      </c>
    </row>
    <row r="23" customFormat="false" ht="14.25" hidden="false" customHeight="true" outlineLevel="0" collapsed="false">
      <c r="A23" s="18"/>
      <c r="B23" s="19" t="n">
        <v>12</v>
      </c>
      <c r="C23" s="1" t="s">
        <v>647</v>
      </c>
      <c r="D23" s="1" t="s">
        <v>648</v>
      </c>
      <c r="E23" s="22" t="s">
        <v>38</v>
      </c>
    </row>
    <row r="24" customFormat="false" ht="14.25" hidden="false" customHeight="true" outlineLevel="0" collapsed="false">
      <c r="A24" s="18"/>
      <c r="B24" s="19" t="n">
        <v>13</v>
      </c>
      <c r="C24" s="1" t="s">
        <v>649</v>
      </c>
      <c r="D24" s="1" t="s">
        <v>650</v>
      </c>
      <c r="E24" s="22" t="s">
        <v>38</v>
      </c>
    </row>
    <row r="25" customFormat="false" ht="14.25" hidden="false" customHeight="true" outlineLevel="0" collapsed="false">
      <c r="A25" s="18"/>
      <c r="B25" s="19" t="n">
        <v>14</v>
      </c>
      <c r="C25" s="1" t="s">
        <v>651</v>
      </c>
      <c r="D25" s="1" t="s">
        <v>383</v>
      </c>
      <c r="E25" s="22" t="s">
        <v>38</v>
      </c>
    </row>
    <row r="26" customFormat="false" ht="14.25" hidden="false" customHeight="true" outlineLevel="0" collapsed="false">
      <c r="A26" s="18"/>
      <c r="B26" s="19" t="n">
        <v>15</v>
      </c>
      <c r="C26" s="1" t="s">
        <v>652</v>
      </c>
      <c r="D26" s="1" t="s">
        <v>653</v>
      </c>
      <c r="E26" s="22" t="s">
        <v>38</v>
      </c>
    </row>
    <row r="27" customFormat="false" ht="14.25" hidden="false" customHeight="true" outlineLevel="0" collapsed="false">
      <c r="A27" s="18"/>
      <c r="B27" s="19" t="n">
        <v>16</v>
      </c>
      <c r="C27" s="1" t="s">
        <v>654</v>
      </c>
      <c r="D27" s="1" t="s">
        <v>383</v>
      </c>
      <c r="E27" s="22" t="s">
        <v>38</v>
      </c>
    </row>
    <row r="28" customFormat="false" ht="14.25" hidden="false" customHeight="true" outlineLevel="0" collapsed="false">
      <c r="A28" s="18"/>
      <c r="B28" s="19" t="n">
        <v>17</v>
      </c>
      <c r="C28" s="1" t="s">
        <v>655</v>
      </c>
      <c r="D28" s="1" t="s">
        <v>656</v>
      </c>
      <c r="E28" s="22" t="s">
        <v>38</v>
      </c>
    </row>
    <row r="29" customFormat="false" ht="14.25" hidden="false" customHeight="true" outlineLevel="0" collapsed="false">
      <c r="A29" s="18"/>
      <c r="B29" s="19" t="n">
        <v>18</v>
      </c>
      <c r="C29" s="1" t="s">
        <v>657</v>
      </c>
      <c r="D29" s="1" t="s">
        <v>658</v>
      </c>
      <c r="E29" s="22" t="s">
        <v>38</v>
      </c>
    </row>
    <row r="30" customFormat="false" ht="14.25" hidden="false" customHeight="true" outlineLevel="0" collapsed="false">
      <c r="A30" s="18"/>
      <c r="B30" s="19" t="n">
        <v>19</v>
      </c>
      <c r="C30" s="1" t="s">
        <v>659</v>
      </c>
      <c r="D30" s="1" t="s">
        <v>660</v>
      </c>
      <c r="E30" s="22" t="s">
        <v>38</v>
      </c>
    </row>
    <row r="31" customFormat="false" ht="14.25" hidden="false" customHeight="true" outlineLevel="0" collapsed="false">
      <c r="A31" s="18"/>
      <c r="B31" s="19" t="n">
        <v>20</v>
      </c>
      <c r="C31" s="1" t="s">
        <v>661</v>
      </c>
      <c r="D31" s="1" t="s">
        <v>383</v>
      </c>
      <c r="E31" s="22" t="s">
        <v>38</v>
      </c>
    </row>
    <row r="32" customFormat="false" ht="14.25" hidden="false" customHeight="true" outlineLevel="0" collapsed="false">
      <c r="A32" s="18"/>
      <c r="B32" s="19" t="n">
        <v>21</v>
      </c>
      <c r="C32" s="1" t="s">
        <v>497</v>
      </c>
      <c r="D32" s="1" t="s">
        <v>662</v>
      </c>
      <c r="E32" s="22" t="s">
        <v>38</v>
      </c>
    </row>
    <row r="33" customFormat="false" ht="14.25" hidden="false" customHeight="true" outlineLevel="0" collapsed="false">
      <c r="A33" s="18"/>
      <c r="B33" s="19" t="n">
        <v>22</v>
      </c>
      <c r="C33" s="1" t="s">
        <v>663</v>
      </c>
      <c r="D33" s="1" t="s">
        <v>664</v>
      </c>
      <c r="E33" s="22" t="s">
        <v>38</v>
      </c>
    </row>
    <row r="34" customFormat="false" ht="14.25" hidden="false" customHeight="true" outlineLevel="0" collapsed="false">
      <c r="A34" s="18"/>
      <c r="B34" s="19" t="n">
        <v>23</v>
      </c>
      <c r="C34" s="1" t="s">
        <v>665</v>
      </c>
      <c r="D34" s="1" t="s">
        <v>383</v>
      </c>
      <c r="E34" s="22" t="s">
        <v>38</v>
      </c>
    </row>
    <row r="35" customFormat="false" ht="14.25" hidden="false" customHeight="true" outlineLevel="0" collapsed="false">
      <c r="A35" s="18"/>
      <c r="B35" s="19" t="n">
        <v>24</v>
      </c>
      <c r="C35" s="1" t="s">
        <v>666</v>
      </c>
      <c r="D35" s="1" t="s">
        <v>357</v>
      </c>
      <c r="E35" s="22" t="s">
        <v>38</v>
      </c>
    </row>
    <row r="36" customFormat="false" ht="14.25" hidden="false" customHeight="true" outlineLevel="0" collapsed="false">
      <c r="A36" s="18"/>
      <c r="B36" s="19" t="n">
        <v>25</v>
      </c>
      <c r="C36" s="1" t="s">
        <v>667</v>
      </c>
      <c r="D36" s="1" t="s">
        <v>668</v>
      </c>
      <c r="E36" s="22" t="s">
        <v>38</v>
      </c>
    </row>
    <row r="37" customFormat="false" ht="14.25" hidden="false" customHeight="true" outlineLevel="0" collapsed="false">
      <c r="A37" s="18"/>
      <c r="B37" s="19" t="n">
        <v>26</v>
      </c>
      <c r="C37" s="1" t="s">
        <v>497</v>
      </c>
      <c r="D37" s="1" t="s">
        <v>669</v>
      </c>
      <c r="E37" s="22" t="s">
        <v>38</v>
      </c>
    </row>
    <row r="38" customFormat="false" ht="14.25" hidden="false" customHeight="true" outlineLevel="0" collapsed="false">
      <c r="A38" s="18"/>
      <c r="B38" s="19" t="n">
        <v>27</v>
      </c>
      <c r="C38" s="1" t="s">
        <v>670</v>
      </c>
      <c r="D38" s="1" t="s">
        <v>671</v>
      </c>
      <c r="E38" s="22" t="s">
        <v>38</v>
      </c>
    </row>
    <row r="39" customFormat="false" ht="14.25" hidden="false" customHeight="true" outlineLevel="0" collapsed="false">
      <c r="A39" s="18"/>
      <c r="B39" s="19" t="n">
        <v>28</v>
      </c>
      <c r="C39" s="1" t="s">
        <v>672</v>
      </c>
      <c r="D39" s="1" t="s">
        <v>673</v>
      </c>
      <c r="E39" s="22" t="s">
        <v>38</v>
      </c>
    </row>
    <row r="40" customFormat="false" ht="41.25" hidden="false" customHeight="true" outlineLevel="0" collapsed="false">
      <c r="A40" s="18"/>
      <c r="B40" s="19" t="n">
        <v>29</v>
      </c>
      <c r="C40" s="20" t="s">
        <v>674</v>
      </c>
      <c r="D40" s="21" t="s">
        <v>675</v>
      </c>
      <c r="E40" s="22" t="s">
        <v>38</v>
      </c>
    </row>
    <row r="41" customFormat="false" ht="13.5" hidden="false" customHeight="true" outlineLevel="0" collapsed="false">
      <c r="A41" s="24"/>
      <c r="B41" s="24"/>
      <c r="C41" s="24"/>
      <c r="D41" s="24"/>
      <c r="E41" s="24"/>
      <c r="F41" s="24"/>
    </row>
    <row r="42" customFormat="false" ht="126" hidden="false" customHeight="true" outlineLevel="0" collapsed="false">
      <c r="A42" s="18" t="s">
        <v>408</v>
      </c>
      <c r="B42" s="19" t="n">
        <v>1</v>
      </c>
      <c r="C42" s="20" t="s">
        <v>414</v>
      </c>
      <c r="D42" s="21" t="s">
        <v>676</v>
      </c>
      <c r="E42" s="22" t="s">
        <v>38</v>
      </c>
    </row>
    <row r="43" customFormat="false" ht="14.25" hidden="false" customHeight="true" outlineLevel="0" collapsed="false">
      <c r="A43" s="18"/>
      <c r="B43" s="19" t="n">
        <v>2</v>
      </c>
      <c r="C43" s="1" t="s">
        <v>677</v>
      </c>
      <c r="D43" s="1" t="s">
        <v>678</v>
      </c>
      <c r="E43" s="22" t="s">
        <v>38</v>
      </c>
    </row>
    <row r="44" customFormat="false" ht="14.25" hidden="false" customHeight="true" outlineLevel="0" collapsed="false">
      <c r="A44" s="18"/>
      <c r="B44" s="19" t="n">
        <v>3</v>
      </c>
      <c r="C44" s="1" t="s">
        <v>679</v>
      </c>
      <c r="D44" s="1" t="s">
        <v>680</v>
      </c>
      <c r="E44" s="22" t="s">
        <v>38</v>
      </c>
    </row>
    <row r="45" customFormat="false" ht="14.25" hidden="false" customHeight="true" outlineLevel="0" collapsed="false">
      <c r="A45" s="18"/>
      <c r="B45" s="19" t="n">
        <v>4</v>
      </c>
      <c r="C45" s="1" t="s">
        <v>681</v>
      </c>
      <c r="D45" s="1" t="s">
        <v>682</v>
      </c>
      <c r="E45" s="22" t="s">
        <v>38</v>
      </c>
    </row>
    <row r="46" customFormat="false" ht="14.25" hidden="false" customHeight="true" outlineLevel="0" collapsed="false">
      <c r="A46" s="18"/>
      <c r="B46" s="19" t="n">
        <v>5</v>
      </c>
      <c r="C46" s="1" t="s">
        <v>568</v>
      </c>
      <c r="D46" s="1" t="s">
        <v>683</v>
      </c>
      <c r="E46" s="22" t="s">
        <v>38</v>
      </c>
    </row>
    <row r="47" customFormat="false" ht="14.25" hidden="false" customHeight="true" outlineLevel="0" collapsed="false">
      <c r="A47" s="18"/>
      <c r="B47" s="19" t="n">
        <v>6</v>
      </c>
      <c r="C47" s="1" t="s">
        <v>684</v>
      </c>
      <c r="D47" s="1" t="s">
        <v>587</v>
      </c>
      <c r="E47" s="22" t="s">
        <v>38</v>
      </c>
    </row>
    <row r="48" customFormat="false" ht="13.5" hidden="false" customHeight="true" outlineLevel="0" collapsed="false">
      <c r="A48" s="24"/>
      <c r="B48" s="24"/>
      <c r="C48" s="24"/>
      <c r="D48" s="24"/>
      <c r="E48" s="24"/>
      <c r="F48" s="24"/>
    </row>
    <row r="49" customFormat="false" ht="14.25" hidden="false" customHeight="true" outlineLevel="0" collapsed="false">
      <c r="A49" s="18" t="s">
        <v>168</v>
      </c>
      <c r="B49" s="35" t="n">
        <v>1</v>
      </c>
      <c r="C49" s="1" t="s">
        <v>685</v>
      </c>
      <c r="D49" s="1" t="s">
        <v>686</v>
      </c>
      <c r="E49" s="22" t="s">
        <v>38</v>
      </c>
    </row>
    <row r="50" customFormat="false" ht="14.25" hidden="false" customHeight="true" outlineLevel="0" collapsed="false">
      <c r="A50" s="18"/>
      <c r="B50" s="35" t="n">
        <v>2</v>
      </c>
      <c r="C50" s="1" t="s">
        <v>687</v>
      </c>
      <c r="D50" s="1" t="s">
        <v>688</v>
      </c>
      <c r="E50" s="22" t="s">
        <v>38</v>
      </c>
    </row>
    <row r="51" customFormat="false" ht="27" hidden="false" customHeight="true" outlineLevel="0" collapsed="false">
      <c r="A51" s="18"/>
      <c r="B51" s="35" t="n">
        <v>3</v>
      </c>
      <c r="C51" s="1" t="s">
        <v>689</v>
      </c>
      <c r="D51" s="21" t="s">
        <v>690</v>
      </c>
      <c r="E51" s="22" t="s">
        <v>38</v>
      </c>
    </row>
    <row r="52" customFormat="false" ht="13.5" hidden="false" customHeight="true" outlineLevel="0" collapsed="false">
      <c r="A52" s="24"/>
      <c r="B52" s="24"/>
      <c r="C52" s="24"/>
      <c r="D52" s="24"/>
      <c r="E52" s="24"/>
      <c r="F52" s="24"/>
    </row>
    <row r="53" customFormat="false" ht="14.25" hidden="false" customHeight="true" outlineLevel="0" collapsed="false">
      <c r="A53" s="18" t="s">
        <v>401</v>
      </c>
      <c r="B53" s="19" t="n">
        <v>1</v>
      </c>
      <c r="C53" s="1" t="s">
        <v>351</v>
      </c>
      <c r="D53" s="1" t="s">
        <v>75</v>
      </c>
      <c r="E53" s="22" t="s">
        <v>38</v>
      </c>
    </row>
    <row r="54" customFormat="false" ht="151.5" hidden="false" customHeight="true" outlineLevel="0" collapsed="false">
      <c r="A54" s="18"/>
      <c r="B54" s="19" t="n">
        <v>2</v>
      </c>
      <c r="C54" s="20" t="s">
        <v>76</v>
      </c>
      <c r="D54" s="21" t="s">
        <v>402</v>
      </c>
      <c r="E54" s="22" t="s">
        <v>38</v>
      </c>
    </row>
    <row r="55" customFormat="false" ht="27" hidden="false" customHeight="true" outlineLevel="0" collapsed="false">
      <c r="A55" s="18"/>
      <c r="B55" s="19" t="n">
        <v>3</v>
      </c>
      <c r="C55" s="20" t="s">
        <v>78</v>
      </c>
      <c r="D55" s="21" t="s">
        <v>79</v>
      </c>
      <c r="E55" s="22" t="s">
        <v>38</v>
      </c>
    </row>
    <row r="56" customFormat="false" ht="41.25" hidden="false" customHeight="true" outlineLevel="0" collapsed="false">
      <c r="A56" s="18"/>
      <c r="B56" s="19" t="n">
        <v>4</v>
      </c>
      <c r="C56" s="20" t="s">
        <v>80</v>
      </c>
      <c r="D56" s="21" t="s">
        <v>81</v>
      </c>
      <c r="E56" s="22" t="s">
        <v>38</v>
      </c>
    </row>
    <row r="57" customFormat="false" ht="41.25" hidden="false" customHeight="true" outlineLevel="0" collapsed="false">
      <c r="A57" s="18"/>
      <c r="B57" s="19" t="n">
        <v>5</v>
      </c>
      <c r="C57" s="20" t="s">
        <v>82</v>
      </c>
      <c r="D57" s="21" t="s">
        <v>83</v>
      </c>
      <c r="E57" s="22" t="s">
        <v>38</v>
      </c>
    </row>
    <row r="58" customFormat="false" ht="27" hidden="false" customHeight="true" outlineLevel="0" collapsed="false">
      <c r="A58" s="18"/>
      <c r="B58" s="19" t="n">
        <v>6</v>
      </c>
      <c r="C58" s="20" t="s">
        <v>84</v>
      </c>
      <c r="D58" s="21" t="s">
        <v>85</v>
      </c>
      <c r="E58" s="22" t="s">
        <v>38</v>
      </c>
    </row>
    <row r="59" customFormat="false" ht="14.25" hidden="false" customHeight="true" outlineLevel="0" collapsed="false">
      <c r="A59" s="18"/>
      <c r="B59" s="19" t="n">
        <v>7</v>
      </c>
      <c r="C59" s="1" t="s">
        <v>86</v>
      </c>
      <c r="D59" s="1" t="s">
        <v>87</v>
      </c>
      <c r="E59" s="22" t="s">
        <v>38</v>
      </c>
    </row>
    <row r="60" customFormat="false" ht="27" hidden="false" customHeight="true" outlineLevel="0" collapsed="false">
      <c r="A60" s="18"/>
      <c r="B60" s="19" t="n">
        <v>8</v>
      </c>
      <c r="C60" s="21" t="s">
        <v>403</v>
      </c>
      <c r="D60" s="23" t="s">
        <v>404</v>
      </c>
      <c r="E60" s="22" t="s">
        <v>38</v>
      </c>
    </row>
    <row r="61" customFormat="false" ht="13.5" hidden="false" customHeight="true" outlineLevel="0" collapsed="false">
      <c r="A61" s="24"/>
      <c r="B61" s="24"/>
      <c r="C61" s="24"/>
      <c r="D61" s="24"/>
      <c r="E61" s="24"/>
      <c r="F61" s="24"/>
    </row>
    <row r="62" customFormat="false" ht="14.25" hidden="false" customHeight="true" outlineLevel="0" collapsed="false">
      <c r="A62" s="18" t="s">
        <v>216</v>
      </c>
      <c r="B62" s="19" t="n">
        <v>1</v>
      </c>
      <c r="C62" s="1" t="s">
        <v>217</v>
      </c>
      <c r="D62" s="1" t="s">
        <v>218</v>
      </c>
      <c r="E62" s="22" t="s">
        <v>38</v>
      </c>
    </row>
    <row r="63" customFormat="false" ht="14.25" hidden="false" customHeight="true" outlineLevel="0" collapsed="false">
      <c r="A63" s="18"/>
      <c r="B63" s="19" t="n">
        <v>2</v>
      </c>
      <c r="C63" s="1" t="s">
        <v>219</v>
      </c>
      <c r="D63" s="1" t="s">
        <v>220</v>
      </c>
      <c r="E63" s="22" t="s">
        <v>38</v>
      </c>
    </row>
    <row r="64" customFormat="false" ht="27" hidden="false" customHeight="true" outlineLevel="0" collapsed="false">
      <c r="A64" s="18"/>
      <c r="B64" s="19" t="n">
        <v>3</v>
      </c>
      <c r="C64" s="21" t="s">
        <v>221</v>
      </c>
      <c r="D64" s="21" t="s">
        <v>222</v>
      </c>
      <c r="E64" s="22" t="s">
        <v>38</v>
      </c>
    </row>
    <row r="65" customFormat="false" ht="27" hidden="false" customHeight="true" outlineLevel="0" collapsed="false">
      <c r="A65" s="18"/>
      <c r="B65" s="19" t="n">
        <v>4</v>
      </c>
      <c r="C65" s="20" t="s">
        <v>223</v>
      </c>
      <c r="D65" s="21" t="s">
        <v>224</v>
      </c>
      <c r="E65" s="22" t="s">
        <v>38</v>
      </c>
    </row>
    <row r="66" customFormat="false" ht="41.25" hidden="false" customHeight="true" outlineLevel="0" collapsed="false">
      <c r="A66" s="18"/>
      <c r="B66" s="19" t="n">
        <v>5</v>
      </c>
      <c r="C66" s="20" t="s">
        <v>225</v>
      </c>
      <c r="D66" s="21" t="s">
        <v>226</v>
      </c>
      <c r="E66" s="22" t="s">
        <v>38</v>
      </c>
    </row>
    <row r="67" customFormat="false" ht="27" hidden="false" customHeight="true" outlineLevel="0" collapsed="false">
      <c r="A67" s="18"/>
      <c r="B67" s="19" t="n">
        <v>6</v>
      </c>
      <c r="C67" s="20" t="s">
        <v>227</v>
      </c>
      <c r="D67" s="21" t="s">
        <v>228</v>
      </c>
      <c r="E67" s="22" t="s">
        <v>38</v>
      </c>
    </row>
    <row r="68" customFormat="false" ht="27" hidden="false" customHeight="true" outlineLevel="0" collapsed="false">
      <c r="A68" s="18"/>
      <c r="B68" s="19" t="n">
        <v>7</v>
      </c>
      <c r="C68" s="1" t="s">
        <v>229</v>
      </c>
      <c r="D68" s="21" t="s">
        <v>230</v>
      </c>
      <c r="E68" s="22" t="s">
        <v>38</v>
      </c>
    </row>
  </sheetData>
  <autoFilter ref="A1:G68"/>
  <mergeCells count="6">
    <mergeCell ref="A2:A10"/>
    <mergeCell ref="A12:A40"/>
    <mergeCell ref="A42:A47"/>
    <mergeCell ref="A49:A51"/>
    <mergeCell ref="A53:A60"/>
    <mergeCell ref="A62:A68"/>
  </mergeCells>
  <conditionalFormatting sqref="E62:E68">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53:E60">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conditionalFormatting sqref="E49:E51">
    <cfRule type="cellIs" priority="12" operator="equal" aboveAverage="0" equalAverage="0" bottom="0" percent="0" rank="0" text="" dxfId="8">
      <formula>"Blocked"</formula>
    </cfRule>
    <cfRule type="cellIs" priority="13" operator="equal" aboveAverage="0" equalAverage="0" bottom="0" percent="0" rank="0" text="" dxfId="9">
      <formula>"Skipped"</formula>
    </cfRule>
    <cfRule type="cellIs" priority="14" operator="equal" aboveAverage="0" equalAverage="0" bottom="0" percent="0" rank="0" text="" dxfId="10">
      <formula>"Not Tested"</formula>
    </cfRule>
    <cfRule type="cellIs" priority="15" operator="equal" aboveAverage="0" equalAverage="0" bottom="0" percent="0" rank="0" text="" dxfId="11">
      <formula>"Passed"</formula>
    </cfRule>
    <cfRule type="cellIs" priority="16" operator="equal" aboveAverage="0" equalAverage="0" bottom="0" percent="0" rank="0" text="" dxfId="12">
      <formula>"Failed"</formula>
    </cfRule>
  </conditionalFormatting>
  <conditionalFormatting sqref="E42:E47">
    <cfRule type="cellIs" priority="17" operator="equal" aboveAverage="0" equalAverage="0" bottom="0" percent="0" rank="0" text="" dxfId="8">
      <formula>"Blocked"</formula>
    </cfRule>
    <cfRule type="cellIs" priority="18" operator="equal" aboveAverage="0" equalAverage="0" bottom="0" percent="0" rank="0" text="" dxfId="9">
      <formula>"Skipped"</formula>
    </cfRule>
    <cfRule type="cellIs" priority="19" operator="equal" aboveAverage="0" equalAverage="0" bottom="0" percent="0" rank="0" text="" dxfId="10">
      <formula>"Not Tested"</formula>
    </cfRule>
    <cfRule type="cellIs" priority="20" operator="equal" aboveAverage="0" equalAverage="0" bottom="0" percent="0" rank="0" text="" dxfId="11">
      <formula>"Passed"</formula>
    </cfRule>
    <cfRule type="cellIs" priority="21" operator="equal" aboveAverage="0" equalAverage="0" bottom="0" percent="0" rank="0" text="" dxfId="12">
      <formula>"Failed"</formula>
    </cfRule>
  </conditionalFormatting>
  <conditionalFormatting sqref="E12:E40">
    <cfRule type="cellIs" priority="22" operator="equal" aboveAverage="0" equalAverage="0" bottom="0" percent="0" rank="0" text="" dxfId="8">
      <formula>"Blocked"</formula>
    </cfRule>
    <cfRule type="cellIs" priority="23" operator="equal" aboveAverage="0" equalAverage="0" bottom="0" percent="0" rank="0" text="" dxfId="9">
      <formula>"Skipped"</formula>
    </cfRule>
    <cfRule type="cellIs" priority="24" operator="equal" aboveAverage="0" equalAverage="0" bottom="0" percent="0" rank="0" text="" dxfId="10">
      <formula>"Not Tested"</formula>
    </cfRule>
    <cfRule type="cellIs" priority="25" operator="equal" aboveAverage="0" equalAverage="0" bottom="0" percent="0" rank="0" text="" dxfId="11">
      <formula>"Passed"</formula>
    </cfRule>
    <cfRule type="cellIs" priority="26" operator="equal" aboveAverage="0" equalAverage="0" bottom="0" percent="0" rank="0" text="" dxfId="12">
      <formula>"Failed"</formula>
    </cfRule>
  </conditionalFormatting>
  <conditionalFormatting sqref="E2:E10">
    <cfRule type="cellIs" priority="27" operator="equal" aboveAverage="0" equalAverage="0" bottom="0" percent="0" rank="0" text="" dxfId="8">
      <formula>"Blocked"</formula>
    </cfRule>
    <cfRule type="cellIs" priority="28" operator="equal" aboveAverage="0" equalAverage="0" bottom="0" percent="0" rank="0" text="" dxfId="9">
      <formula>"Skipped"</formula>
    </cfRule>
    <cfRule type="cellIs" priority="29" operator="equal" aboveAverage="0" equalAverage="0" bottom="0" percent="0" rank="0" text="" dxfId="10">
      <formula>"Not Tested"</formula>
    </cfRule>
    <cfRule type="cellIs" priority="30" operator="equal" aboveAverage="0" equalAverage="0" bottom="0" percent="0" rank="0" text="" dxfId="11">
      <formula>"Passed"</formula>
    </cfRule>
    <cfRule type="cellIs" priority="31"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68"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10" activeCellId="0" sqref="G10"/>
    </sheetView>
  </sheetViews>
  <sheetFormatPr defaultColWidth="8.5390625" defaultRowHeight="13.5" customHeight="false" zeroHeight="false" outlineLevelRow="0" outlineLevelCol="0"/>
  <cols>
    <col collapsed="false" customWidth="true" hidden="false" outlineLevel="0" max="1" min="1" style="1" width="27.3"/>
    <col collapsed="false" customWidth="true" hidden="false" outlineLevel="0" max="2" min="2" style="1" width="21.9"/>
    <col collapsed="false" customWidth="true" hidden="false" outlineLevel="0" max="3" min="3" style="1" width="39.1"/>
    <col collapsed="false" customWidth="true" hidden="false" outlineLevel="0" max="4" min="4" style="1" width="44"/>
    <col collapsed="false" customWidth="true" hidden="false" outlineLevel="0" max="5" min="5" style="1" width="25.6"/>
    <col collapsed="false" customWidth="true" hidden="false" outlineLevel="0" max="6" min="6" style="1" width="30.3"/>
    <col collapsed="false" customWidth="true" hidden="false" outlineLevel="0" max="7" min="7" style="1" width="12"/>
  </cols>
  <sheetData>
    <row r="1" customFormat="false" ht="13.5" hidden="false" customHeight="true" outlineLevel="0" collapsed="false">
      <c r="A1" s="15" t="s">
        <v>33</v>
      </c>
      <c r="B1" s="16" t="s">
        <v>65</v>
      </c>
      <c r="C1" s="16" t="s">
        <v>66</v>
      </c>
      <c r="D1" s="16" t="s">
        <v>67</v>
      </c>
      <c r="E1" s="16" t="s">
        <v>68</v>
      </c>
      <c r="F1" s="16" t="s">
        <v>69</v>
      </c>
      <c r="G1" s="17" t="s">
        <v>70</v>
      </c>
    </row>
    <row r="2" customFormat="false" ht="14.25" hidden="false" customHeight="true" outlineLevel="0" collapsed="false">
      <c r="A2" s="18" t="s">
        <v>71</v>
      </c>
      <c r="B2" s="19" t="n">
        <v>1</v>
      </c>
      <c r="C2" s="20" t="s">
        <v>691</v>
      </c>
      <c r="D2" s="23" t="s">
        <v>692</v>
      </c>
      <c r="E2" s="22" t="s">
        <v>38</v>
      </c>
    </row>
    <row r="3" customFormat="false" ht="14.25" hidden="false" customHeight="true" outlineLevel="0" collapsed="false">
      <c r="A3" s="18"/>
      <c r="B3" s="19" t="n">
        <v>2</v>
      </c>
      <c r="C3" s="20" t="s">
        <v>693</v>
      </c>
      <c r="D3" s="20" t="s">
        <v>75</v>
      </c>
      <c r="E3" s="22" t="s">
        <v>38</v>
      </c>
    </row>
    <row r="4" customFormat="false" ht="41.25" hidden="false" customHeight="true" outlineLevel="0" collapsed="false">
      <c r="A4" s="18"/>
      <c r="B4" s="19" t="n">
        <v>3</v>
      </c>
      <c r="C4" s="20" t="s">
        <v>76</v>
      </c>
      <c r="D4" s="23" t="s">
        <v>352</v>
      </c>
      <c r="E4" s="22" t="s">
        <v>38</v>
      </c>
    </row>
    <row r="5" customFormat="false" ht="27" hidden="false" customHeight="true" outlineLevel="0" collapsed="false">
      <c r="A5" s="18"/>
      <c r="B5" s="19" t="n">
        <v>4</v>
      </c>
      <c r="C5" s="20" t="s">
        <v>78</v>
      </c>
      <c r="D5" s="23" t="s">
        <v>79</v>
      </c>
      <c r="E5" s="22" t="s">
        <v>38</v>
      </c>
    </row>
    <row r="6" customFormat="false" ht="41.25" hidden="false" customHeight="true" outlineLevel="0" collapsed="false">
      <c r="A6" s="18"/>
      <c r="B6" s="19" t="n">
        <v>5</v>
      </c>
      <c r="C6" s="20" t="s">
        <v>80</v>
      </c>
      <c r="D6" s="23" t="s">
        <v>81</v>
      </c>
      <c r="E6" s="22" t="s">
        <v>38</v>
      </c>
    </row>
    <row r="7" customFormat="false" ht="41.25" hidden="false" customHeight="true" outlineLevel="0" collapsed="false">
      <c r="A7" s="18"/>
      <c r="B7" s="19" t="n">
        <v>6</v>
      </c>
      <c r="C7" s="20" t="s">
        <v>82</v>
      </c>
      <c r="D7" s="23" t="s">
        <v>83</v>
      </c>
      <c r="E7" s="22" t="s">
        <v>38</v>
      </c>
    </row>
    <row r="8" customFormat="false" ht="27" hidden="false" customHeight="true" outlineLevel="0" collapsed="false">
      <c r="A8" s="18"/>
      <c r="B8" s="19" t="n">
        <v>7</v>
      </c>
      <c r="C8" s="20" t="s">
        <v>84</v>
      </c>
      <c r="D8" s="23" t="s">
        <v>85</v>
      </c>
      <c r="E8" s="22" t="s">
        <v>38</v>
      </c>
    </row>
    <row r="9" customFormat="false" ht="14.25" hidden="false" customHeight="true" outlineLevel="0" collapsed="false">
      <c r="A9" s="18"/>
      <c r="B9" s="19" t="n">
        <v>8</v>
      </c>
      <c r="C9" s="20" t="s">
        <v>86</v>
      </c>
      <c r="D9" s="20" t="s">
        <v>87</v>
      </c>
      <c r="E9" s="22" t="s">
        <v>38</v>
      </c>
    </row>
    <row r="10" customFormat="false" ht="14.25" hidden="false" customHeight="true" outlineLevel="0" collapsed="false">
      <c r="A10" s="18"/>
      <c r="B10" s="19" t="n">
        <v>9</v>
      </c>
      <c r="C10" s="20" t="s">
        <v>236</v>
      </c>
      <c r="D10" s="20" t="s">
        <v>237</v>
      </c>
      <c r="E10" s="22" t="s">
        <v>38</v>
      </c>
    </row>
    <row r="11" customFormat="false" ht="14.25" hidden="false" customHeight="true" outlineLevel="0" collapsed="false">
      <c r="A11" s="18"/>
      <c r="B11" s="19" t="n">
        <v>10</v>
      </c>
      <c r="C11" s="20" t="s">
        <v>694</v>
      </c>
      <c r="D11" s="20" t="s">
        <v>695</v>
      </c>
      <c r="E11" s="22" t="s">
        <v>38</v>
      </c>
    </row>
    <row r="12" customFormat="false" ht="14.25" hidden="false" customHeight="true" outlineLevel="0" collapsed="false">
      <c r="A12" s="18"/>
      <c r="B12" s="19" t="n">
        <v>11</v>
      </c>
      <c r="C12" s="20" t="s">
        <v>696</v>
      </c>
      <c r="D12" s="20" t="s">
        <v>697</v>
      </c>
      <c r="E12" s="22" t="s">
        <v>38</v>
      </c>
    </row>
    <row r="13" customFormat="false" ht="27" hidden="false" customHeight="true" outlineLevel="0" collapsed="false">
      <c r="A13" s="18"/>
      <c r="B13" s="19" t="n">
        <v>12</v>
      </c>
      <c r="C13" s="20" t="s">
        <v>698</v>
      </c>
      <c r="D13" s="23" t="s">
        <v>699</v>
      </c>
      <c r="E13" s="22" t="s">
        <v>38</v>
      </c>
    </row>
    <row r="14" customFormat="false" ht="41.25" hidden="false" customHeight="true" outlineLevel="0" collapsed="false">
      <c r="A14" s="18"/>
      <c r="B14" s="19" t="n">
        <v>13</v>
      </c>
      <c r="C14" s="20" t="s">
        <v>700</v>
      </c>
      <c r="D14" s="23" t="s">
        <v>701</v>
      </c>
      <c r="E14" s="22" t="s">
        <v>38</v>
      </c>
    </row>
    <row r="15" customFormat="false" ht="54.75" hidden="false" customHeight="true" outlineLevel="0" collapsed="false">
      <c r="A15" s="18"/>
      <c r="B15" s="19" t="n">
        <v>14</v>
      </c>
      <c r="C15" s="20" t="s">
        <v>702</v>
      </c>
      <c r="D15" s="23" t="s">
        <v>703</v>
      </c>
      <c r="E15" s="22" t="s">
        <v>38</v>
      </c>
    </row>
    <row r="16" customFormat="false" ht="13.5" hidden="false" customHeight="true" outlineLevel="0" collapsed="false">
      <c r="A16" s="24"/>
      <c r="B16" s="24"/>
      <c r="C16" s="24"/>
      <c r="D16" s="24"/>
      <c r="E16" s="24"/>
      <c r="F16" s="24"/>
    </row>
    <row r="17" customFormat="false" ht="14.25" hidden="false" customHeight="true" outlineLevel="0" collapsed="false">
      <c r="A17" s="36" t="s">
        <v>704</v>
      </c>
      <c r="B17" s="19" t="n">
        <v>1</v>
      </c>
      <c r="C17" s="1" t="s">
        <v>705</v>
      </c>
      <c r="D17" s="1" t="s">
        <v>706</v>
      </c>
      <c r="E17" s="22" t="s">
        <v>38</v>
      </c>
    </row>
    <row r="18" customFormat="false" ht="27" hidden="false" customHeight="true" outlineLevel="0" collapsed="false">
      <c r="A18" s="36"/>
      <c r="B18" s="19" t="n">
        <v>2</v>
      </c>
      <c r="C18" s="1" t="s">
        <v>707</v>
      </c>
      <c r="D18" s="21" t="s">
        <v>411</v>
      </c>
      <c r="E18" s="22" t="s">
        <v>38</v>
      </c>
    </row>
    <row r="19" customFormat="false" ht="27" hidden="false" customHeight="true" outlineLevel="0" collapsed="false">
      <c r="A19" s="36"/>
      <c r="B19" s="19" t="n">
        <v>3</v>
      </c>
      <c r="C19" s="1" t="s">
        <v>412</v>
      </c>
      <c r="D19" s="21" t="s">
        <v>708</v>
      </c>
      <c r="E19" s="22" t="s">
        <v>38</v>
      </c>
    </row>
  </sheetData>
  <autoFilter ref="A1:G19"/>
  <mergeCells count="2">
    <mergeCell ref="A2:A15"/>
    <mergeCell ref="A17:A19"/>
  </mergeCells>
  <conditionalFormatting sqref="E17:E19">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2:E15">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19"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2"/>
  <sheetViews>
    <sheetView showFormulas="false" showGridLines="true" showRowColHeaders="true" showZeros="true" rightToLeft="false" tabSelected="false" showOutlineSymbols="true" defaultGridColor="true" view="normal" topLeftCell="A6" colorId="64" zoomScale="100" zoomScaleNormal="100" zoomScalePageLayoutView="100" workbookViewId="0">
      <pane xSplit="0" ySplit="1" topLeftCell="A2" activePane="bottomLeft" state="frozen"/>
      <selection pane="topLeft" activeCell="A6" activeCellId="0" sqref="A6"/>
      <selection pane="bottomLeft" activeCell="J14" activeCellId="0" sqref="J14"/>
    </sheetView>
  </sheetViews>
  <sheetFormatPr defaultColWidth="8.5390625" defaultRowHeight="13.5" customHeight="false" zeroHeight="false" outlineLevelRow="0" outlineLevelCol="0"/>
  <cols>
    <col collapsed="false" customWidth="true" hidden="false" outlineLevel="0" max="1" min="1" style="1" width="27.1"/>
    <col collapsed="false" customWidth="true" hidden="false" outlineLevel="0" max="2" min="2" style="1" width="19.7"/>
    <col collapsed="false" customWidth="true" hidden="false" outlineLevel="0" max="3" min="3" style="1" width="43.3"/>
    <col collapsed="false" customWidth="true" hidden="false" outlineLevel="0" max="4" min="4" style="1" width="45.7"/>
    <col collapsed="false" customWidth="true" hidden="false" outlineLevel="0" max="5" min="5" style="1" width="27.4"/>
    <col collapsed="false" customWidth="true" hidden="false" outlineLevel="0" max="6" min="6" style="1" width="30.1"/>
    <col collapsed="false" customWidth="true" hidden="false" outlineLevel="0" max="7" min="7" style="1" width="12"/>
  </cols>
  <sheetData>
    <row r="1" customFormat="false" ht="13.5" hidden="false" customHeight="true" outlineLevel="0" collapsed="false">
      <c r="A1" s="15" t="s">
        <v>33</v>
      </c>
      <c r="B1" s="16" t="s">
        <v>65</v>
      </c>
      <c r="C1" s="16" t="s">
        <v>66</v>
      </c>
      <c r="D1" s="16" t="s">
        <v>67</v>
      </c>
      <c r="E1" s="16" t="s">
        <v>68</v>
      </c>
      <c r="F1" s="16" t="s">
        <v>69</v>
      </c>
      <c r="G1" s="17" t="s">
        <v>70</v>
      </c>
    </row>
    <row r="2" customFormat="false" ht="14.25" hidden="false" customHeight="true" outlineLevel="0" collapsed="false">
      <c r="A2" s="18" t="s">
        <v>71</v>
      </c>
      <c r="B2" s="19" t="n">
        <v>1</v>
      </c>
      <c r="C2" s="20" t="s">
        <v>709</v>
      </c>
      <c r="D2" s="23" t="s">
        <v>710</v>
      </c>
      <c r="E2" s="22" t="s">
        <v>38</v>
      </c>
    </row>
    <row r="3" customFormat="false" ht="14.25" hidden="false" customHeight="true" outlineLevel="0" collapsed="false">
      <c r="A3" s="18"/>
      <c r="B3" s="19" t="n">
        <v>2</v>
      </c>
      <c r="C3" s="20" t="s">
        <v>711</v>
      </c>
      <c r="D3" s="20" t="s">
        <v>75</v>
      </c>
      <c r="E3" s="22" t="s">
        <v>38</v>
      </c>
    </row>
    <row r="4" customFormat="false" ht="41.25" hidden="false" customHeight="true" outlineLevel="0" collapsed="false">
      <c r="A4" s="18"/>
      <c r="B4" s="19" t="n">
        <v>3</v>
      </c>
      <c r="C4" s="20" t="s">
        <v>76</v>
      </c>
      <c r="D4" s="23" t="s">
        <v>352</v>
      </c>
      <c r="E4" s="22" t="s">
        <v>38</v>
      </c>
    </row>
    <row r="5" customFormat="false" ht="27" hidden="false" customHeight="true" outlineLevel="0" collapsed="false">
      <c r="A5" s="18"/>
      <c r="B5" s="19" t="n">
        <v>4</v>
      </c>
      <c r="C5" s="20" t="s">
        <v>78</v>
      </c>
      <c r="D5" s="23" t="s">
        <v>79</v>
      </c>
      <c r="E5" s="22" t="s">
        <v>38</v>
      </c>
    </row>
    <row r="6" customFormat="false" ht="41.25" hidden="false" customHeight="true" outlineLevel="0" collapsed="false">
      <c r="A6" s="18"/>
      <c r="B6" s="19" t="n">
        <v>5</v>
      </c>
      <c r="C6" s="20" t="s">
        <v>80</v>
      </c>
      <c r="D6" s="23" t="s">
        <v>81</v>
      </c>
      <c r="E6" s="22" t="s">
        <v>38</v>
      </c>
    </row>
    <row r="7" customFormat="false" ht="41.25" hidden="false" customHeight="true" outlineLevel="0" collapsed="false">
      <c r="A7" s="18"/>
      <c r="B7" s="19" t="n">
        <v>6</v>
      </c>
      <c r="C7" s="20" t="s">
        <v>82</v>
      </c>
      <c r="D7" s="23" t="s">
        <v>83</v>
      </c>
      <c r="E7" s="22" t="s">
        <v>38</v>
      </c>
    </row>
    <row r="8" customFormat="false" ht="27" hidden="false" customHeight="true" outlineLevel="0" collapsed="false">
      <c r="A8" s="18"/>
      <c r="B8" s="19" t="n">
        <v>7</v>
      </c>
      <c r="C8" s="20" t="s">
        <v>84</v>
      </c>
      <c r="D8" s="23" t="s">
        <v>85</v>
      </c>
      <c r="E8" s="22" t="s">
        <v>38</v>
      </c>
    </row>
    <row r="9" customFormat="false" ht="14.25" hidden="false" customHeight="true" outlineLevel="0" collapsed="false">
      <c r="A9" s="18"/>
      <c r="B9" s="19" t="n">
        <v>8</v>
      </c>
      <c r="C9" s="20" t="s">
        <v>86</v>
      </c>
      <c r="D9" s="20" t="s">
        <v>87</v>
      </c>
      <c r="E9" s="22" t="s">
        <v>38</v>
      </c>
    </row>
    <row r="10" customFormat="false" ht="14.25" hidden="false" customHeight="true" outlineLevel="0" collapsed="false">
      <c r="A10" s="18"/>
      <c r="B10" s="19" t="n">
        <v>9</v>
      </c>
      <c r="C10" s="20" t="s">
        <v>236</v>
      </c>
      <c r="D10" s="20" t="s">
        <v>237</v>
      </c>
      <c r="E10" s="22" t="s">
        <v>38</v>
      </c>
    </row>
    <row r="11" customFormat="false" ht="13.5" hidden="false" customHeight="true" outlineLevel="0" collapsed="false">
      <c r="A11" s="24"/>
      <c r="B11" s="24"/>
      <c r="C11" s="24"/>
      <c r="D11" s="24"/>
      <c r="E11" s="24"/>
      <c r="F11" s="24"/>
    </row>
    <row r="12" customFormat="false" ht="14.25" hidden="false" customHeight="true" outlineLevel="0" collapsed="false">
      <c r="A12" s="18" t="s">
        <v>712</v>
      </c>
      <c r="B12" s="19" t="n">
        <v>1</v>
      </c>
      <c r="C12" s="1" t="s">
        <v>354</v>
      </c>
      <c r="D12" s="1" t="s">
        <v>713</v>
      </c>
      <c r="E12" s="22" t="s">
        <v>38</v>
      </c>
    </row>
    <row r="13" customFormat="false" ht="14.25" hidden="false" customHeight="true" outlineLevel="0" collapsed="false">
      <c r="A13" s="18"/>
      <c r="B13" s="19" t="n">
        <v>2</v>
      </c>
      <c r="C13" s="1" t="s">
        <v>356</v>
      </c>
      <c r="D13" s="1" t="s">
        <v>357</v>
      </c>
      <c r="E13" s="22" t="s">
        <v>38</v>
      </c>
    </row>
    <row r="14" customFormat="false" ht="14.25" hidden="false" customHeight="true" outlineLevel="0" collapsed="false">
      <c r="A14" s="18"/>
      <c r="B14" s="19" t="n">
        <v>3</v>
      </c>
      <c r="C14" s="20" t="s">
        <v>95</v>
      </c>
      <c r="D14" s="23" t="s">
        <v>358</v>
      </c>
      <c r="E14" s="22" t="s">
        <v>38</v>
      </c>
    </row>
    <row r="15" customFormat="false" ht="14.25" hidden="false" customHeight="true" outlineLevel="0" collapsed="false">
      <c r="A15" s="18"/>
      <c r="B15" s="19" t="n">
        <v>4</v>
      </c>
      <c r="C15" s="1" t="s">
        <v>714</v>
      </c>
      <c r="D15" s="1" t="s">
        <v>715</v>
      </c>
      <c r="E15" s="22" t="s">
        <v>38</v>
      </c>
    </row>
    <row r="16" customFormat="false" ht="14.25" hidden="false" customHeight="true" outlineLevel="0" collapsed="false">
      <c r="A16" s="18"/>
      <c r="B16" s="19" t="n">
        <v>5</v>
      </c>
      <c r="C16" s="1" t="s">
        <v>716</v>
      </c>
      <c r="D16" s="1" t="s">
        <v>717</v>
      </c>
      <c r="E16" s="22" t="s">
        <v>38</v>
      </c>
    </row>
    <row r="17" customFormat="false" ht="14.25" hidden="false" customHeight="true" outlineLevel="0" collapsed="false">
      <c r="A17" s="18"/>
      <c r="B17" s="19" t="n">
        <v>6</v>
      </c>
      <c r="C17" s="1" t="s">
        <v>718</v>
      </c>
      <c r="D17" s="1" t="s">
        <v>383</v>
      </c>
      <c r="E17" s="22" t="s">
        <v>38</v>
      </c>
    </row>
    <row r="18" customFormat="false" ht="14.25" hidden="false" customHeight="true" outlineLevel="0" collapsed="false">
      <c r="A18" s="18"/>
      <c r="B18" s="19" t="n">
        <v>7</v>
      </c>
      <c r="C18" s="1" t="s">
        <v>719</v>
      </c>
      <c r="D18" s="1" t="s">
        <v>394</v>
      </c>
      <c r="E18" s="22" t="s">
        <v>38</v>
      </c>
    </row>
    <row r="19" customFormat="false" ht="27" hidden="false" customHeight="true" outlineLevel="0" collapsed="false">
      <c r="A19" s="18"/>
      <c r="B19" s="19" t="n">
        <v>8</v>
      </c>
      <c r="C19" s="20" t="s">
        <v>412</v>
      </c>
      <c r="D19" s="21" t="s">
        <v>720</v>
      </c>
      <c r="E19" s="22" t="s">
        <v>38</v>
      </c>
    </row>
    <row r="20" customFormat="false" ht="13.5" hidden="false" customHeight="true" outlineLevel="0" collapsed="false">
      <c r="A20" s="24"/>
      <c r="B20" s="24"/>
      <c r="C20" s="24"/>
      <c r="D20" s="24"/>
      <c r="E20" s="24"/>
      <c r="F20" s="24"/>
    </row>
    <row r="21" customFormat="false" ht="69" hidden="false" customHeight="true" outlineLevel="0" collapsed="false">
      <c r="A21" s="18" t="s">
        <v>129</v>
      </c>
      <c r="B21" s="19" t="n">
        <v>1</v>
      </c>
      <c r="C21" s="20" t="s">
        <v>414</v>
      </c>
      <c r="D21" s="21" t="s">
        <v>721</v>
      </c>
      <c r="E21" s="22" t="s">
        <v>38</v>
      </c>
    </row>
    <row r="22" customFormat="false" ht="14.25" hidden="false" customHeight="true" outlineLevel="0" collapsed="false">
      <c r="A22" s="18"/>
      <c r="B22" s="19" t="n">
        <v>2</v>
      </c>
      <c r="C22" s="1" t="s">
        <v>722</v>
      </c>
      <c r="D22" s="1" t="s">
        <v>526</v>
      </c>
      <c r="E22" s="22" t="s">
        <v>38</v>
      </c>
    </row>
    <row r="23" customFormat="false" ht="14.25" hidden="false" customHeight="true" outlineLevel="0" collapsed="false">
      <c r="A23" s="18"/>
      <c r="B23" s="19" t="n">
        <v>3</v>
      </c>
      <c r="C23" s="1" t="s">
        <v>723</v>
      </c>
      <c r="D23" s="1" t="s">
        <v>724</v>
      </c>
      <c r="E23" s="22" t="s">
        <v>38</v>
      </c>
    </row>
    <row r="24" customFormat="false" ht="14.25" hidden="false" customHeight="true" outlineLevel="0" collapsed="false">
      <c r="A24" s="18"/>
      <c r="B24" s="19" t="n">
        <v>4</v>
      </c>
      <c r="C24" s="1" t="s">
        <v>725</v>
      </c>
      <c r="D24" s="1" t="s">
        <v>726</v>
      </c>
      <c r="E24" s="22" t="s">
        <v>38</v>
      </c>
    </row>
    <row r="25" customFormat="false" ht="14.25" hidden="false" customHeight="true" outlineLevel="0" collapsed="false">
      <c r="A25" s="18"/>
      <c r="B25" s="19" t="n">
        <v>5</v>
      </c>
      <c r="C25" s="1" t="s">
        <v>727</v>
      </c>
      <c r="D25" s="1" t="s">
        <v>728</v>
      </c>
      <c r="E25" s="22" t="s">
        <v>38</v>
      </c>
    </row>
    <row r="26" customFormat="false" ht="14.25" hidden="false" customHeight="true" outlineLevel="0" collapsed="false">
      <c r="A26" s="18"/>
      <c r="B26" s="19" t="n">
        <v>6</v>
      </c>
      <c r="C26" s="1" t="s">
        <v>568</v>
      </c>
      <c r="D26" s="1" t="s">
        <v>729</v>
      </c>
      <c r="E26" s="22" t="s">
        <v>38</v>
      </c>
    </row>
    <row r="27" customFormat="false" ht="14.25" hidden="false" customHeight="true" outlineLevel="0" collapsed="false">
      <c r="A27" s="18"/>
      <c r="B27" s="19" t="n">
        <v>7</v>
      </c>
      <c r="C27" s="1" t="s">
        <v>570</v>
      </c>
      <c r="D27" s="1" t="s">
        <v>730</v>
      </c>
      <c r="E27" s="22" t="s">
        <v>38</v>
      </c>
    </row>
    <row r="28" customFormat="false" ht="13.5" hidden="false" customHeight="true" outlineLevel="0" collapsed="false">
      <c r="A28" s="24"/>
      <c r="B28" s="24"/>
      <c r="C28" s="24"/>
      <c r="D28" s="24"/>
      <c r="E28" s="24"/>
      <c r="F28" s="24"/>
    </row>
    <row r="29" customFormat="false" ht="41.25" hidden="false" customHeight="true" outlineLevel="0" collapsed="false">
      <c r="A29" s="18" t="s">
        <v>168</v>
      </c>
      <c r="B29" s="19" t="n">
        <v>1</v>
      </c>
      <c r="C29" s="20" t="s">
        <v>731</v>
      </c>
      <c r="D29" s="21" t="s">
        <v>732</v>
      </c>
      <c r="E29" s="22" t="s">
        <v>38</v>
      </c>
    </row>
    <row r="30" customFormat="false" ht="69" hidden="false" customHeight="true" outlineLevel="0" collapsed="false">
      <c r="A30" s="18"/>
      <c r="B30" s="19" t="n">
        <v>2</v>
      </c>
      <c r="C30" s="20" t="s">
        <v>733</v>
      </c>
      <c r="D30" s="21" t="s">
        <v>734</v>
      </c>
      <c r="E30" s="22" t="s">
        <v>38</v>
      </c>
    </row>
    <row r="31" customFormat="false" ht="156.75" hidden="false" customHeight="true" outlineLevel="0" collapsed="false">
      <c r="A31" s="18"/>
      <c r="B31" s="19" t="n">
        <v>3</v>
      </c>
      <c r="C31" s="20" t="s">
        <v>735</v>
      </c>
      <c r="D31" s="21" t="s">
        <v>736</v>
      </c>
      <c r="E31" s="22" t="s">
        <v>38</v>
      </c>
    </row>
    <row r="32" customFormat="false" ht="14.25" hidden="false" customHeight="true" outlineLevel="0" collapsed="false">
      <c r="A32" s="18"/>
      <c r="B32" s="19" t="n">
        <v>4</v>
      </c>
      <c r="C32" s="1" t="s">
        <v>737</v>
      </c>
      <c r="D32" s="1" t="s">
        <v>738</v>
      </c>
      <c r="E32" s="22" t="s">
        <v>38</v>
      </c>
    </row>
    <row r="33" customFormat="false" ht="14.25" hidden="false" customHeight="true" outlineLevel="0" collapsed="false">
      <c r="A33" s="18"/>
      <c r="B33" s="19" t="n">
        <v>5</v>
      </c>
      <c r="C33" s="1" t="s">
        <v>739</v>
      </c>
      <c r="D33" s="1" t="s">
        <v>740</v>
      </c>
      <c r="E33" s="22" t="s">
        <v>38</v>
      </c>
    </row>
    <row r="34" customFormat="false" ht="14.25" hidden="false" customHeight="true" outlineLevel="0" collapsed="false">
      <c r="A34" s="18"/>
      <c r="B34" s="19" t="n">
        <v>6</v>
      </c>
      <c r="C34" s="1" t="s">
        <v>741</v>
      </c>
      <c r="D34" s="1" t="s">
        <v>383</v>
      </c>
      <c r="E34" s="22" t="s">
        <v>38</v>
      </c>
    </row>
    <row r="35" customFormat="false" ht="27" hidden="false" customHeight="true" outlineLevel="0" collapsed="false">
      <c r="A35" s="18"/>
      <c r="B35" s="19" t="n">
        <v>7</v>
      </c>
      <c r="C35" s="20" t="s">
        <v>742</v>
      </c>
      <c r="D35" s="21" t="s">
        <v>743</v>
      </c>
      <c r="E35" s="22" t="s">
        <v>38</v>
      </c>
    </row>
    <row r="36" customFormat="false" ht="14.25" hidden="false" customHeight="true" outlineLevel="0" collapsed="false">
      <c r="A36" s="18"/>
      <c r="B36" s="19" t="n">
        <v>8</v>
      </c>
      <c r="C36" s="1" t="s">
        <v>744</v>
      </c>
      <c r="D36" s="1" t="s">
        <v>383</v>
      </c>
      <c r="E36" s="22" t="s">
        <v>38</v>
      </c>
    </row>
    <row r="37" customFormat="false" ht="14.25" hidden="false" customHeight="true" outlineLevel="0" collapsed="false">
      <c r="A37" s="18"/>
      <c r="B37" s="19" t="n">
        <v>9</v>
      </c>
      <c r="C37" s="1" t="s">
        <v>745</v>
      </c>
      <c r="D37" s="1" t="s">
        <v>746</v>
      </c>
      <c r="E37" s="22" t="s">
        <v>38</v>
      </c>
    </row>
    <row r="38" customFormat="false" ht="14.25" hidden="false" customHeight="true" outlineLevel="0" collapsed="false">
      <c r="A38" s="18"/>
      <c r="B38" s="19" t="n">
        <v>10</v>
      </c>
      <c r="C38" s="1" t="s">
        <v>747</v>
      </c>
      <c r="D38" s="1" t="s">
        <v>383</v>
      </c>
      <c r="E38" s="22" t="s">
        <v>38</v>
      </c>
    </row>
    <row r="39" customFormat="false" ht="14.25" hidden="false" customHeight="true" outlineLevel="0" collapsed="false">
      <c r="A39" s="18"/>
      <c r="B39" s="19" t="n">
        <v>11</v>
      </c>
      <c r="C39" s="1" t="s">
        <v>748</v>
      </c>
      <c r="D39" s="1" t="s">
        <v>749</v>
      </c>
      <c r="E39" s="22" t="s">
        <v>38</v>
      </c>
    </row>
    <row r="40" customFormat="false" ht="14.25" hidden="false" customHeight="true" outlineLevel="0" collapsed="false">
      <c r="A40" s="18"/>
      <c r="B40" s="19" t="n">
        <v>12</v>
      </c>
      <c r="C40" s="1" t="s">
        <v>750</v>
      </c>
      <c r="D40" s="1" t="s">
        <v>751</v>
      </c>
      <c r="E40" s="22" t="s">
        <v>38</v>
      </c>
    </row>
    <row r="41" customFormat="false" ht="14.25" hidden="false" customHeight="true" outlineLevel="0" collapsed="false">
      <c r="A41" s="18"/>
      <c r="B41" s="19" t="n">
        <v>13</v>
      </c>
      <c r="C41" s="1" t="s">
        <v>752</v>
      </c>
      <c r="D41" s="1" t="s">
        <v>753</v>
      </c>
      <c r="E41" s="22" t="s">
        <v>38</v>
      </c>
    </row>
    <row r="42" customFormat="false" ht="14.25" hidden="false" customHeight="true" outlineLevel="0" collapsed="false">
      <c r="A42" s="18"/>
      <c r="B42" s="19" t="n">
        <v>14</v>
      </c>
      <c r="C42" s="1" t="s">
        <v>754</v>
      </c>
      <c r="D42" s="1" t="s">
        <v>755</v>
      </c>
      <c r="E42" s="22" t="s">
        <v>38</v>
      </c>
    </row>
    <row r="43" customFormat="false" ht="14.25" hidden="false" customHeight="true" outlineLevel="0" collapsed="false">
      <c r="A43" s="18"/>
      <c r="B43" s="19" t="n">
        <v>15</v>
      </c>
      <c r="C43" s="1" t="s">
        <v>756</v>
      </c>
      <c r="D43" s="1" t="s">
        <v>424</v>
      </c>
      <c r="E43" s="22" t="s">
        <v>38</v>
      </c>
    </row>
    <row r="44" customFormat="false" ht="14.25" hidden="false" customHeight="true" outlineLevel="0" collapsed="false">
      <c r="A44" s="18"/>
      <c r="B44" s="19" t="n">
        <v>16</v>
      </c>
      <c r="C44" s="1" t="s">
        <v>679</v>
      </c>
      <c r="D44" s="1" t="s">
        <v>757</v>
      </c>
      <c r="E44" s="22" t="s">
        <v>38</v>
      </c>
    </row>
    <row r="45" customFormat="false" ht="13.5" hidden="false" customHeight="true" outlineLevel="0" collapsed="false">
      <c r="A45" s="24"/>
      <c r="B45" s="24"/>
      <c r="C45" s="24"/>
      <c r="D45" s="24"/>
      <c r="E45" s="24"/>
      <c r="F45" s="24"/>
    </row>
    <row r="46" customFormat="false" ht="27" hidden="false" customHeight="true" outlineLevel="0" collapsed="false">
      <c r="A46" s="18" t="s">
        <v>758</v>
      </c>
      <c r="B46" s="19" t="n">
        <v>1</v>
      </c>
      <c r="C46" s="20" t="s">
        <v>759</v>
      </c>
      <c r="D46" s="23" t="s">
        <v>760</v>
      </c>
      <c r="E46" s="22" t="s">
        <v>38</v>
      </c>
    </row>
    <row r="47" customFormat="false" ht="14.25" hidden="false" customHeight="true" outlineLevel="0" collapsed="false">
      <c r="A47" s="18"/>
      <c r="B47" s="19" t="n">
        <v>2</v>
      </c>
      <c r="C47" s="20" t="s">
        <v>761</v>
      </c>
      <c r="D47" s="20" t="s">
        <v>75</v>
      </c>
      <c r="E47" s="22" t="s">
        <v>38</v>
      </c>
    </row>
    <row r="48" customFormat="false" ht="48.75" hidden="false" customHeight="true" outlineLevel="0" collapsed="false">
      <c r="A48" s="18"/>
      <c r="B48" s="19" t="n">
        <v>3</v>
      </c>
      <c r="C48" s="20" t="s">
        <v>76</v>
      </c>
      <c r="D48" s="23" t="s">
        <v>352</v>
      </c>
      <c r="E48" s="22" t="s">
        <v>38</v>
      </c>
    </row>
    <row r="49" customFormat="false" ht="37.5" hidden="false" customHeight="true" outlineLevel="0" collapsed="false">
      <c r="A49" s="18"/>
      <c r="B49" s="19" t="n">
        <v>4</v>
      </c>
      <c r="C49" s="20" t="s">
        <v>78</v>
      </c>
      <c r="D49" s="23" t="s">
        <v>79</v>
      </c>
      <c r="E49" s="22" t="s">
        <v>38</v>
      </c>
    </row>
    <row r="50" customFormat="false" ht="41.25" hidden="false" customHeight="true" outlineLevel="0" collapsed="false">
      <c r="A50" s="18"/>
      <c r="B50" s="19" t="n">
        <v>5</v>
      </c>
      <c r="C50" s="20" t="s">
        <v>80</v>
      </c>
      <c r="D50" s="23" t="s">
        <v>81</v>
      </c>
      <c r="E50" s="22" t="s">
        <v>38</v>
      </c>
    </row>
    <row r="51" customFormat="false" ht="41.25" hidden="false" customHeight="true" outlineLevel="0" collapsed="false">
      <c r="A51" s="18"/>
      <c r="B51" s="19" t="n">
        <v>6</v>
      </c>
      <c r="C51" s="20" t="s">
        <v>82</v>
      </c>
      <c r="D51" s="23" t="s">
        <v>83</v>
      </c>
      <c r="E51" s="22" t="s">
        <v>38</v>
      </c>
    </row>
    <row r="52" customFormat="false" ht="27" hidden="false" customHeight="true" outlineLevel="0" collapsed="false">
      <c r="A52" s="18"/>
      <c r="B52" s="19" t="n">
        <v>7</v>
      </c>
      <c r="C52" s="20" t="s">
        <v>84</v>
      </c>
      <c r="D52" s="23" t="s">
        <v>85</v>
      </c>
      <c r="E52" s="22" t="s">
        <v>38</v>
      </c>
    </row>
    <row r="53" customFormat="false" ht="14.25" hidden="false" customHeight="true" outlineLevel="0" collapsed="false">
      <c r="A53" s="18"/>
      <c r="B53" s="19" t="n">
        <v>8</v>
      </c>
      <c r="C53" s="20" t="s">
        <v>86</v>
      </c>
      <c r="D53" s="20" t="s">
        <v>87</v>
      </c>
      <c r="E53" s="22" t="s">
        <v>38</v>
      </c>
    </row>
    <row r="54" customFormat="false" ht="14.25" hidden="false" customHeight="true" outlineLevel="0" collapsed="false">
      <c r="A54" s="18"/>
      <c r="B54" s="19" t="n">
        <v>9</v>
      </c>
      <c r="C54" s="20" t="s">
        <v>236</v>
      </c>
      <c r="D54" s="20" t="s">
        <v>237</v>
      </c>
      <c r="E54" s="22" t="s">
        <v>38</v>
      </c>
    </row>
    <row r="55" customFormat="false" ht="54.75" hidden="false" customHeight="true" outlineLevel="0" collapsed="false">
      <c r="A55" s="18"/>
      <c r="B55" s="19" t="n">
        <v>10</v>
      </c>
      <c r="C55" s="20" t="s">
        <v>762</v>
      </c>
      <c r="D55" s="23" t="s">
        <v>763</v>
      </c>
      <c r="E55" s="22" t="s">
        <v>38</v>
      </c>
    </row>
    <row r="56" customFormat="false" ht="27" hidden="false" customHeight="true" outlineLevel="0" collapsed="false">
      <c r="A56" s="18"/>
      <c r="B56" s="19" t="n">
        <v>11</v>
      </c>
      <c r="C56" s="1" t="s">
        <v>354</v>
      </c>
      <c r="D56" s="21" t="s">
        <v>764</v>
      </c>
      <c r="E56" s="22" t="s">
        <v>38</v>
      </c>
    </row>
    <row r="57" customFormat="false" ht="82.5" hidden="false" customHeight="true" outlineLevel="0" collapsed="false">
      <c r="A57" s="18"/>
      <c r="B57" s="19" t="n">
        <v>12</v>
      </c>
      <c r="C57" s="20" t="s">
        <v>765</v>
      </c>
      <c r="D57" s="21" t="s">
        <v>766</v>
      </c>
      <c r="E57" s="22" t="s">
        <v>38</v>
      </c>
    </row>
    <row r="58" customFormat="false" ht="14.25" hidden="false" customHeight="true" outlineLevel="0" collapsed="false">
      <c r="A58" s="18"/>
      <c r="B58" s="19" t="n">
        <v>13</v>
      </c>
      <c r="C58" s="1" t="s">
        <v>767</v>
      </c>
      <c r="D58" s="1" t="s">
        <v>768</v>
      </c>
      <c r="E58" s="22" t="s">
        <v>38</v>
      </c>
    </row>
    <row r="59" customFormat="false" ht="14.25" hidden="false" customHeight="true" outlineLevel="0" collapsed="false">
      <c r="A59" s="18"/>
      <c r="B59" s="19" t="n">
        <v>14</v>
      </c>
      <c r="C59" s="1" t="s">
        <v>769</v>
      </c>
      <c r="D59" s="1" t="s">
        <v>770</v>
      </c>
      <c r="E59" s="22" t="s">
        <v>38</v>
      </c>
    </row>
    <row r="60" customFormat="false" ht="14.25" hidden="false" customHeight="true" outlineLevel="0" collapsed="false">
      <c r="A60" s="18"/>
      <c r="B60" s="19" t="n">
        <v>15</v>
      </c>
      <c r="C60" s="1" t="s">
        <v>771</v>
      </c>
      <c r="D60" s="1" t="s">
        <v>772</v>
      </c>
      <c r="E60" s="22" t="s">
        <v>38</v>
      </c>
    </row>
    <row r="61" customFormat="false" ht="14.25" hidden="false" customHeight="true" outlineLevel="0" collapsed="false">
      <c r="A61" s="18"/>
      <c r="B61" s="19" t="n">
        <v>16</v>
      </c>
      <c r="C61" s="1" t="s">
        <v>497</v>
      </c>
      <c r="D61" s="1" t="s">
        <v>773</v>
      </c>
      <c r="E61" s="22" t="s">
        <v>38</v>
      </c>
    </row>
    <row r="62" customFormat="false" ht="14.25" hidden="false" customHeight="true" outlineLevel="0" collapsed="false">
      <c r="A62" s="18"/>
      <c r="B62" s="19" t="n">
        <v>17</v>
      </c>
      <c r="C62" s="1" t="s">
        <v>774</v>
      </c>
      <c r="D62" s="1" t="s">
        <v>775</v>
      </c>
      <c r="E62" s="22" t="s">
        <v>38</v>
      </c>
    </row>
    <row r="63" customFormat="false" ht="27" hidden="false" customHeight="true" outlineLevel="0" collapsed="false">
      <c r="A63" s="18"/>
      <c r="B63" s="19" t="n">
        <v>18</v>
      </c>
      <c r="C63" s="1" t="s">
        <v>776</v>
      </c>
      <c r="D63" s="21" t="s">
        <v>777</v>
      </c>
      <c r="E63" s="22" t="s">
        <v>38</v>
      </c>
    </row>
    <row r="64" customFormat="false" ht="41.25" hidden="false" customHeight="true" outlineLevel="0" collapsed="false">
      <c r="A64" s="18"/>
      <c r="B64" s="19" t="n">
        <v>19</v>
      </c>
      <c r="C64" s="21" t="s">
        <v>778</v>
      </c>
      <c r="D64" s="21" t="s">
        <v>779</v>
      </c>
      <c r="E64" s="22" t="s">
        <v>38</v>
      </c>
    </row>
    <row r="65" customFormat="false" ht="13.5" hidden="false" customHeight="true" outlineLevel="0" collapsed="false">
      <c r="A65" s="24"/>
      <c r="B65" s="24"/>
      <c r="C65" s="24"/>
      <c r="D65" s="24"/>
      <c r="E65" s="24"/>
      <c r="F65" s="24"/>
    </row>
    <row r="66" customFormat="false" ht="27" hidden="false" customHeight="true" outlineLevel="0" collapsed="false">
      <c r="A66" s="18" t="s">
        <v>780</v>
      </c>
      <c r="B66" s="19" t="n">
        <v>1</v>
      </c>
      <c r="C66" s="20" t="s">
        <v>781</v>
      </c>
      <c r="D66" s="23" t="s">
        <v>782</v>
      </c>
      <c r="E66" s="22" t="s">
        <v>38</v>
      </c>
    </row>
    <row r="67" customFormat="false" ht="14.25" hidden="false" customHeight="true" outlineLevel="0" collapsed="false">
      <c r="A67" s="18"/>
      <c r="B67" s="19" t="n">
        <v>2</v>
      </c>
      <c r="C67" s="20" t="s">
        <v>629</v>
      </c>
      <c r="D67" s="20" t="s">
        <v>75</v>
      </c>
      <c r="E67" s="22" t="s">
        <v>38</v>
      </c>
    </row>
    <row r="68" customFormat="false" ht="41.25" hidden="false" customHeight="true" outlineLevel="0" collapsed="false">
      <c r="A68" s="18"/>
      <c r="B68" s="19" t="n">
        <v>3</v>
      </c>
      <c r="C68" s="20" t="s">
        <v>76</v>
      </c>
      <c r="D68" s="23" t="s">
        <v>352</v>
      </c>
      <c r="E68" s="22" t="s">
        <v>38</v>
      </c>
    </row>
    <row r="69" customFormat="false" ht="27" hidden="false" customHeight="true" outlineLevel="0" collapsed="false">
      <c r="A69" s="18"/>
      <c r="B69" s="19" t="n">
        <v>4</v>
      </c>
      <c r="C69" s="20" t="s">
        <v>78</v>
      </c>
      <c r="D69" s="23" t="s">
        <v>79</v>
      </c>
      <c r="E69" s="22" t="s">
        <v>38</v>
      </c>
    </row>
    <row r="70" customFormat="false" ht="41.25" hidden="false" customHeight="true" outlineLevel="0" collapsed="false">
      <c r="A70" s="18"/>
      <c r="B70" s="19" t="n">
        <v>5</v>
      </c>
      <c r="C70" s="20" t="s">
        <v>80</v>
      </c>
      <c r="D70" s="23" t="s">
        <v>81</v>
      </c>
      <c r="E70" s="22" t="s">
        <v>38</v>
      </c>
    </row>
    <row r="71" customFormat="false" ht="41.25" hidden="false" customHeight="true" outlineLevel="0" collapsed="false">
      <c r="A71" s="18"/>
      <c r="B71" s="19" t="n">
        <v>6</v>
      </c>
      <c r="C71" s="20" t="s">
        <v>82</v>
      </c>
      <c r="D71" s="23" t="s">
        <v>83</v>
      </c>
      <c r="E71" s="22" t="s">
        <v>38</v>
      </c>
    </row>
    <row r="72" customFormat="false" ht="27" hidden="false" customHeight="true" outlineLevel="0" collapsed="false">
      <c r="A72" s="18"/>
      <c r="B72" s="19" t="n">
        <v>7</v>
      </c>
      <c r="C72" s="20" t="s">
        <v>84</v>
      </c>
      <c r="D72" s="23" t="s">
        <v>85</v>
      </c>
      <c r="E72" s="22" t="s">
        <v>38</v>
      </c>
    </row>
    <row r="73" customFormat="false" ht="14.25" hidden="false" customHeight="true" outlineLevel="0" collapsed="false">
      <c r="A73" s="18"/>
      <c r="B73" s="19" t="n">
        <v>8</v>
      </c>
      <c r="C73" s="20" t="s">
        <v>86</v>
      </c>
      <c r="D73" s="20" t="s">
        <v>87</v>
      </c>
      <c r="E73" s="22" t="s">
        <v>38</v>
      </c>
    </row>
    <row r="74" customFormat="false" ht="14.25" hidden="false" customHeight="true" outlineLevel="0" collapsed="false">
      <c r="A74" s="18"/>
      <c r="B74" s="19" t="n">
        <v>9</v>
      </c>
      <c r="C74" s="20" t="s">
        <v>236</v>
      </c>
      <c r="D74" s="20" t="s">
        <v>237</v>
      </c>
      <c r="E74" s="22" t="s">
        <v>38</v>
      </c>
    </row>
    <row r="75" customFormat="false" ht="14.25" hidden="false" customHeight="true" outlineLevel="0" collapsed="false">
      <c r="A75" s="18"/>
      <c r="B75" s="19" t="n">
        <v>10</v>
      </c>
      <c r="C75" s="1" t="s">
        <v>354</v>
      </c>
      <c r="D75" s="1" t="s">
        <v>783</v>
      </c>
      <c r="E75" s="22" t="s">
        <v>38</v>
      </c>
    </row>
    <row r="76" customFormat="false" ht="14.25" hidden="false" customHeight="true" outlineLevel="0" collapsed="false">
      <c r="A76" s="18"/>
      <c r="B76" s="19" t="n">
        <v>11</v>
      </c>
      <c r="C76" s="1" t="s">
        <v>356</v>
      </c>
      <c r="D76" s="1" t="s">
        <v>357</v>
      </c>
      <c r="E76" s="22" t="s">
        <v>38</v>
      </c>
    </row>
    <row r="77" customFormat="false" ht="14.25" hidden="false" customHeight="true" outlineLevel="0" collapsed="false">
      <c r="A77" s="18"/>
      <c r="B77" s="19" t="n">
        <v>12</v>
      </c>
      <c r="C77" s="20" t="s">
        <v>95</v>
      </c>
      <c r="D77" s="23" t="s">
        <v>358</v>
      </c>
      <c r="E77" s="22" t="s">
        <v>38</v>
      </c>
    </row>
    <row r="78" customFormat="false" ht="14.25" hidden="false" customHeight="true" outlineLevel="0" collapsed="false">
      <c r="A78" s="18"/>
      <c r="B78" s="19" t="n">
        <v>13</v>
      </c>
      <c r="C78" s="1" t="s">
        <v>354</v>
      </c>
      <c r="D78" s="1" t="s">
        <v>784</v>
      </c>
      <c r="E78" s="22" t="s">
        <v>38</v>
      </c>
    </row>
    <row r="79" customFormat="false" ht="27" hidden="false" customHeight="true" outlineLevel="0" collapsed="false">
      <c r="A79" s="18"/>
      <c r="B79" s="19" t="n">
        <v>14</v>
      </c>
      <c r="C79" s="21" t="s">
        <v>785</v>
      </c>
      <c r="D79" s="21" t="s">
        <v>786</v>
      </c>
      <c r="E79" s="22" t="s">
        <v>38</v>
      </c>
    </row>
    <row r="80" customFormat="false" ht="27" hidden="false" customHeight="true" outlineLevel="0" collapsed="false">
      <c r="A80" s="18"/>
      <c r="B80" s="19" t="n">
        <v>15</v>
      </c>
      <c r="C80" s="20" t="s">
        <v>787</v>
      </c>
      <c r="D80" s="21" t="s">
        <v>788</v>
      </c>
      <c r="E80" s="22" t="s">
        <v>38</v>
      </c>
    </row>
    <row r="81" customFormat="false" ht="14.25" hidden="false" customHeight="true" outlineLevel="0" collapsed="false">
      <c r="A81" s="18"/>
      <c r="B81" s="19" t="n">
        <v>16</v>
      </c>
      <c r="C81" s="1" t="s">
        <v>789</v>
      </c>
      <c r="D81" s="1" t="s">
        <v>790</v>
      </c>
      <c r="E81" s="22" t="s">
        <v>38</v>
      </c>
    </row>
    <row r="82" customFormat="false" ht="27" hidden="false" customHeight="true" outlineLevel="0" collapsed="false">
      <c r="A82" s="18"/>
      <c r="B82" s="19" t="n">
        <v>17</v>
      </c>
      <c r="C82" s="1" t="s">
        <v>791</v>
      </c>
      <c r="D82" s="21" t="s">
        <v>792</v>
      </c>
      <c r="E82" s="22" t="s">
        <v>38</v>
      </c>
    </row>
    <row r="83" customFormat="false" ht="41.25" hidden="false" customHeight="true" outlineLevel="0" collapsed="false">
      <c r="A83" s="18"/>
      <c r="B83" s="19" t="n">
        <v>18</v>
      </c>
      <c r="C83" s="20" t="s">
        <v>679</v>
      </c>
      <c r="D83" s="21" t="s">
        <v>793</v>
      </c>
      <c r="E83" s="22" t="s">
        <v>38</v>
      </c>
    </row>
    <row r="84" customFormat="false" ht="27" hidden="false" customHeight="true" outlineLevel="0" collapsed="false">
      <c r="A84" s="18"/>
      <c r="B84" s="19" t="n">
        <v>19</v>
      </c>
      <c r="C84" s="20" t="s">
        <v>794</v>
      </c>
      <c r="D84" s="21" t="s">
        <v>795</v>
      </c>
      <c r="E84" s="22" t="s">
        <v>38</v>
      </c>
    </row>
    <row r="85" customFormat="false" ht="14.25" hidden="false" customHeight="true" outlineLevel="0" collapsed="false">
      <c r="A85" s="18"/>
      <c r="B85" s="19" t="n">
        <v>20</v>
      </c>
      <c r="C85" s="20" t="s">
        <v>796</v>
      </c>
      <c r="D85" s="21" t="s">
        <v>797</v>
      </c>
      <c r="E85" s="22" t="s">
        <v>38</v>
      </c>
    </row>
    <row r="86" customFormat="false" ht="27" hidden="false" customHeight="true" outlineLevel="0" collapsed="false">
      <c r="A86" s="18"/>
      <c r="B86" s="19" t="n">
        <v>21</v>
      </c>
      <c r="C86" s="20" t="s">
        <v>798</v>
      </c>
      <c r="D86" s="23" t="s">
        <v>799</v>
      </c>
      <c r="E86" s="22" t="s">
        <v>38</v>
      </c>
    </row>
    <row r="87" customFormat="false" ht="16.5" hidden="false" customHeight="true" outlineLevel="0" collapsed="false">
      <c r="A87" s="18"/>
      <c r="B87" s="19" t="n">
        <v>22</v>
      </c>
      <c r="C87" s="20" t="s">
        <v>800</v>
      </c>
      <c r="D87" s="20" t="s">
        <v>75</v>
      </c>
      <c r="E87" s="22" t="s">
        <v>38</v>
      </c>
    </row>
    <row r="88" customFormat="false" ht="16.5" hidden="false" customHeight="true" outlineLevel="0" collapsed="false">
      <c r="A88" s="18"/>
      <c r="B88" s="19" t="n">
        <v>23</v>
      </c>
      <c r="C88" s="20" t="s">
        <v>76</v>
      </c>
      <c r="D88" s="23" t="s">
        <v>352</v>
      </c>
      <c r="E88" s="22" t="s">
        <v>38</v>
      </c>
    </row>
    <row r="89" customFormat="false" ht="31.5" hidden="false" customHeight="true" outlineLevel="0" collapsed="false">
      <c r="A89" s="18"/>
      <c r="B89" s="19" t="n">
        <v>24</v>
      </c>
      <c r="C89" s="20" t="s">
        <v>78</v>
      </c>
      <c r="D89" s="23" t="s">
        <v>79</v>
      </c>
      <c r="E89" s="22" t="s">
        <v>38</v>
      </c>
    </row>
    <row r="90" customFormat="false" ht="16.5" hidden="false" customHeight="true" outlineLevel="0" collapsed="false">
      <c r="A90" s="18"/>
      <c r="B90" s="19" t="n">
        <v>25</v>
      </c>
      <c r="C90" s="20" t="s">
        <v>80</v>
      </c>
      <c r="D90" s="23" t="s">
        <v>81</v>
      </c>
      <c r="E90" s="22" t="s">
        <v>38</v>
      </c>
    </row>
    <row r="91" customFormat="false" ht="16.5" hidden="false" customHeight="true" outlineLevel="0" collapsed="false">
      <c r="A91" s="18"/>
      <c r="B91" s="19" t="n">
        <v>26</v>
      </c>
      <c r="C91" s="20" t="s">
        <v>82</v>
      </c>
      <c r="D91" s="23" t="s">
        <v>83</v>
      </c>
      <c r="E91" s="22" t="s">
        <v>38</v>
      </c>
    </row>
    <row r="92" customFormat="false" ht="32.25" hidden="false" customHeight="true" outlineLevel="0" collapsed="false">
      <c r="A92" s="18"/>
      <c r="B92" s="19" t="n">
        <v>27</v>
      </c>
      <c r="C92" s="20" t="s">
        <v>84</v>
      </c>
      <c r="D92" s="23" t="s">
        <v>85</v>
      </c>
      <c r="E92" s="22" t="s">
        <v>38</v>
      </c>
    </row>
    <row r="93" customFormat="false" ht="16.5" hidden="false" customHeight="true" outlineLevel="0" collapsed="false">
      <c r="A93" s="18"/>
      <c r="B93" s="19" t="n">
        <v>28</v>
      </c>
      <c r="C93" s="20" t="s">
        <v>86</v>
      </c>
      <c r="D93" s="20" t="s">
        <v>87</v>
      </c>
      <c r="E93" s="22" t="s">
        <v>38</v>
      </c>
    </row>
    <row r="94" customFormat="false" ht="16.5" hidden="false" customHeight="true" outlineLevel="0" collapsed="false">
      <c r="A94" s="18"/>
      <c r="B94" s="19" t="n">
        <v>29</v>
      </c>
      <c r="C94" s="20" t="s">
        <v>236</v>
      </c>
      <c r="D94" s="20" t="s">
        <v>237</v>
      </c>
      <c r="E94" s="22" t="s">
        <v>38</v>
      </c>
    </row>
    <row r="95" customFormat="false" ht="16.5" hidden="false" customHeight="true" outlineLevel="0" collapsed="false">
      <c r="A95" s="18"/>
      <c r="B95" s="19" t="n">
        <v>30</v>
      </c>
      <c r="C95" s="20" t="s">
        <v>354</v>
      </c>
      <c r="D95" s="21" t="s">
        <v>801</v>
      </c>
      <c r="E95" s="22" t="s">
        <v>38</v>
      </c>
    </row>
    <row r="96" customFormat="false" ht="54.75" hidden="false" customHeight="true" outlineLevel="0" collapsed="false">
      <c r="A96" s="18"/>
      <c r="B96" s="19" t="n">
        <v>31</v>
      </c>
      <c r="C96" s="20" t="s">
        <v>802</v>
      </c>
      <c r="D96" s="21" t="s">
        <v>803</v>
      </c>
      <c r="E96" s="22" t="s">
        <v>38</v>
      </c>
    </row>
    <row r="97" customFormat="false" ht="16.5" hidden="false" customHeight="true" outlineLevel="0" collapsed="false">
      <c r="A97" s="18"/>
      <c r="B97" s="19" t="n">
        <v>32</v>
      </c>
      <c r="C97" s="20" t="s">
        <v>804</v>
      </c>
      <c r="D97" s="21" t="s">
        <v>383</v>
      </c>
      <c r="E97" s="22" t="s">
        <v>38</v>
      </c>
    </row>
    <row r="98" customFormat="false" ht="16.5" hidden="false" customHeight="true" outlineLevel="0" collapsed="false">
      <c r="A98" s="18"/>
      <c r="B98" s="19" t="n">
        <v>33</v>
      </c>
      <c r="C98" s="20" t="s">
        <v>805</v>
      </c>
      <c r="D98" s="21" t="s">
        <v>806</v>
      </c>
      <c r="E98" s="22" t="s">
        <v>38</v>
      </c>
    </row>
    <row r="99" customFormat="false" ht="16.5" hidden="false" customHeight="true" outlineLevel="0" collapsed="false">
      <c r="A99" s="18"/>
      <c r="B99" s="19" t="n">
        <v>34</v>
      </c>
      <c r="C99" s="20" t="s">
        <v>807</v>
      </c>
      <c r="D99" s="21" t="s">
        <v>808</v>
      </c>
      <c r="E99" s="22" t="s">
        <v>38</v>
      </c>
    </row>
    <row r="100" customFormat="false" ht="16.5" hidden="false" customHeight="true" outlineLevel="0" collapsed="false">
      <c r="A100" s="18"/>
      <c r="B100" s="19" t="n">
        <v>35</v>
      </c>
      <c r="C100" s="20" t="s">
        <v>809</v>
      </c>
      <c r="D100" s="21" t="s">
        <v>810</v>
      </c>
      <c r="E100" s="22" t="s">
        <v>38</v>
      </c>
    </row>
    <row r="101" customFormat="false" ht="16.5" hidden="false" customHeight="true" outlineLevel="0" collapsed="false">
      <c r="A101" s="18"/>
      <c r="B101" s="19" t="n">
        <v>36</v>
      </c>
      <c r="C101" s="20" t="s">
        <v>811</v>
      </c>
      <c r="D101" s="21" t="s">
        <v>594</v>
      </c>
      <c r="E101" s="22" t="s">
        <v>38</v>
      </c>
    </row>
    <row r="102" customFormat="false" ht="16.5" hidden="false" customHeight="true" outlineLevel="0" collapsed="false">
      <c r="A102" s="18"/>
      <c r="B102" s="19" t="n">
        <v>37</v>
      </c>
      <c r="C102" s="20" t="s">
        <v>812</v>
      </c>
      <c r="D102" s="21" t="s">
        <v>383</v>
      </c>
      <c r="E102" s="22" t="s">
        <v>38</v>
      </c>
    </row>
    <row r="103" customFormat="false" ht="36.75" hidden="false" customHeight="true" outlineLevel="0" collapsed="false">
      <c r="A103" s="18"/>
      <c r="B103" s="19" t="n">
        <v>38</v>
      </c>
      <c r="C103" s="20" t="s">
        <v>412</v>
      </c>
      <c r="D103" s="21" t="s">
        <v>813</v>
      </c>
      <c r="E103" s="22" t="s">
        <v>38</v>
      </c>
    </row>
    <row r="104" customFormat="false" ht="13.5" hidden="false" customHeight="true" outlineLevel="0" collapsed="false">
      <c r="A104" s="24"/>
      <c r="B104" s="24"/>
      <c r="C104" s="24"/>
      <c r="D104" s="24"/>
      <c r="E104" s="24"/>
      <c r="F104" s="24"/>
    </row>
    <row r="105" customFormat="false" ht="27" hidden="false" customHeight="true" outlineLevel="0" collapsed="false">
      <c r="A105" s="18" t="s">
        <v>814</v>
      </c>
      <c r="B105" s="19" t="n">
        <v>1</v>
      </c>
      <c r="C105" s="20" t="s">
        <v>781</v>
      </c>
      <c r="D105" s="23" t="s">
        <v>782</v>
      </c>
      <c r="E105" s="22" t="s">
        <v>38</v>
      </c>
    </row>
    <row r="106" customFormat="false" ht="14.25" hidden="false" customHeight="true" outlineLevel="0" collapsed="false">
      <c r="A106" s="18"/>
      <c r="B106" s="19" t="n">
        <v>2</v>
      </c>
      <c r="C106" s="20" t="s">
        <v>629</v>
      </c>
      <c r="D106" s="20" t="s">
        <v>75</v>
      </c>
      <c r="E106" s="22" t="s">
        <v>38</v>
      </c>
    </row>
    <row r="107" customFormat="false" ht="41.25" hidden="false" customHeight="true" outlineLevel="0" collapsed="false">
      <c r="A107" s="18"/>
      <c r="B107" s="19" t="n">
        <v>3</v>
      </c>
      <c r="C107" s="20" t="s">
        <v>76</v>
      </c>
      <c r="D107" s="23" t="s">
        <v>352</v>
      </c>
      <c r="E107" s="22" t="s">
        <v>38</v>
      </c>
    </row>
    <row r="108" customFormat="false" ht="27" hidden="false" customHeight="true" outlineLevel="0" collapsed="false">
      <c r="A108" s="18"/>
      <c r="B108" s="19" t="n">
        <v>4</v>
      </c>
      <c r="C108" s="20" t="s">
        <v>78</v>
      </c>
      <c r="D108" s="23" t="s">
        <v>79</v>
      </c>
      <c r="E108" s="22" t="s">
        <v>38</v>
      </c>
    </row>
    <row r="109" customFormat="false" ht="41.25" hidden="false" customHeight="true" outlineLevel="0" collapsed="false">
      <c r="A109" s="18"/>
      <c r="B109" s="19" t="n">
        <v>5</v>
      </c>
      <c r="C109" s="20" t="s">
        <v>80</v>
      </c>
      <c r="D109" s="23" t="s">
        <v>81</v>
      </c>
      <c r="E109" s="22" t="s">
        <v>38</v>
      </c>
    </row>
    <row r="110" customFormat="false" ht="41.25" hidden="false" customHeight="true" outlineLevel="0" collapsed="false">
      <c r="A110" s="18"/>
      <c r="B110" s="19" t="n">
        <v>6</v>
      </c>
      <c r="C110" s="20" t="s">
        <v>82</v>
      </c>
      <c r="D110" s="23" t="s">
        <v>83</v>
      </c>
      <c r="E110" s="22" t="s">
        <v>38</v>
      </c>
    </row>
    <row r="111" customFormat="false" ht="27" hidden="false" customHeight="true" outlineLevel="0" collapsed="false">
      <c r="A111" s="18"/>
      <c r="B111" s="19" t="n">
        <v>7</v>
      </c>
      <c r="C111" s="20" t="s">
        <v>84</v>
      </c>
      <c r="D111" s="23" t="s">
        <v>85</v>
      </c>
      <c r="E111" s="22" t="s">
        <v>38</v>
      </c>
    </row>
    <row r="112" customFormat="false" ht="14.25" hidden="false" customHeight="true" outlineLevel="0" collapsed="false">
      <c r="A112" s="18"/>
      <c r="B112" s="19" t="n">
        <v>8</v>
      </c>
      <c r="C112" s="20" t="s">
        <v>86</v>
      </c>
      <c r="D112" s="20" t="s">
        <v>87</v>
      </c>
      <c r="E112" s="22" t="s">
        <v>38</v>
      </c>
    </row>
    <row r="113" customFormat="false" ht="14.25" hidden="false" customHeight="true" outlineLevel="0" collapsed="false">
      <c r="A113" s="18"/>
      <c r="B113" s="19" t="n">
        <v>9</v>
      </c>
      <c r="C113" s="20" t="s">
        <v>236</v>
      </c>
      <c r="D113" s="20" t="s">
        <v>237</v>
      </c>
      <c r="E113" s="22" t="s">
        <v>38</v>
      </c>
    </row>
    <row r="114" customFormat="false" ht="14.25" hidden="false" customHeight="true" outlineLevel="0" collapsed="false">
      <c r="A114" s="18"/>
      <c r="B114" s="35" t="n">
        <v>10</v>
      </c>
      <c r="C114" s="1" t="s">
        <v>354</v>
      </c>
      <c r="D114" s="1" t="s">
        <v>783</v>
      </c>
      <c r="E114" s="22" t="s">
        <v>38</v>
      </c>
    </row>
    <row r="115" customFormat="false" ht="14.25" hidden="false" customHeight="true" outlineLevel="0" collapsed="false">
      <c r="A115" s="18"/>
      <c r="B115" s="35" t="n">
        <v>11</v>
      </c>
      <c r="C115" s="1" t="s">
        <v>356</v>
      </c>
      <c r="D115" s="1" t="s">
        <v>357</v>
      </c>
      <c r="E115" s="22" t="s">
        <v>38</v>
      </c>
    </row>
    <row r="116" customFormat="false" ht="14.25" hidden="false" customHeight="true" outlineLevel="0" collapsed="false">
      <c r="A116" s="18"/>
      <c r="B116" s="35" t="n">
        <v>12</v>
      </c>
      <c r="C116" s="20" t="s">
        <v>95</v>
      </c>
      <c r="D116" s="23" t="s">
        <v>358</v>
      </c>
      <c r="E116" s="22" t="s">
        <v>38</v>
      </c>
    </row>
    <row r="117" customFormat="false" ht="14.25" hidden="false" customHeight="true" outlineLevel="0" collapsed="false">
      <c r="A117" s="18"/>
      <c r="B117" s="35" t="n">
        <v>13</v>
      </c>
      <c r="C117" s="1" t="s">
        <v>815</v>
      </c>
      <c r="D117" s="1" t="s">
        <v>816</v>
      </c>
      <c r="E117" s="22" t="s">
        <v>38</v>
      </c>
    </row>
    <row r="118" customFormat="false" ht="14.25" hidden="false" customHeight="true" outlineLevel="0" collapsed="false">
      <c r="A118" s="18"/>
      <c r="B118" s="35" t="n">
        <v>14</v>
      </c>
      <c r="C118" s="1" t="s">
        <v>817</v>
      </c>
      <c r="D118" s="1" t="s">
        <v>818</v>
      </c>
      <c r="E118" s="22" t="s">
        <v>38</v>
      </c>
    </row>
    <row r="119" customFormat="false" ht="41.25" hidden="false" customHeight="true" outlineLevel="0" collapsed="false">
      <c r="A119" s="18"/>
      <c r="B119" s="35" t="n">
        <v>15</v>
      </c>
      <c r="C119" s="20" t="s">
        <v>819</v>
      </c>
      <c r="D119" s="21" t="s">
        <v>820</v>
      </c>
      <c r="E119" s="22" t="s">
        <v>38</v>
      </c>
    </row>
    <row r="120" customFormat="false" ht="14.25" hidden="false" customHeight="true" outlineLevel="0" collapsed="false">
      <c r="A120" s="18"/>
      <c r="B120" s="35" t="n">
        <v>16</v>
      </c>
      <c r="C120" s="1" t="s">
        <v>821</v>
      </c>
      <c r="D120" s="1" t="s">
        <v>383</v>
      </c>
      <c r="E120" s="22" t="s">
        <v>38</v>
      </c>
    </row>
    <row r="121" customFormat="false" ht="54.75" hidden="false" customHeight="true" outlineLevel="0" collapsed="false">
      <c r="A121" s="18"/>
      <c r="B121" s="35" t="n">
        <v>17</v>
      </c>
      <c r="C121" s="20" t="s">
        <v>822</v>
      </c>
      <c r="D121" s="21" t="s">
        <v>823</v>
      </c>
      <c r="E121" s="22" t="s">
        <v>38</v>
      </c>
    </row>
    <row r="122" customFormat="false" ht="14.25" hidden="false" customHeight="true" outlineLevel="0" collapsed="false">
      <c r="A122" s="18"/>
      <c r="B122" s="35" t="n">
        <v>18</v>
      </c>
      <c r="C122" s="1" t="s">
        <v>824</v>
      </c>
      <c r="D122" s="1" t="s">
        <v>383</v>
      </c>
      <c r="E122" s="22" t="s">
        <v>38</v>
      </c>
    </row>
    <row r="123" customFormat="false" ht="14.25" hidden="false" customHeight="true" outlineLevel="0" collapsed="false">
      <c r="A123" s="18"/>
      <c r="B123" s="35" t="n">
        <v>19</v>
      </c>
      <c r="C123" s="1" t="s">
        <v>825</v>
      </c>
      <c r="D123" s="1" t="s">
        <v>826</v>
      </c>
      <c r="E123" s="22" t="s">
        <v>38</v>
      </c>
    </row>
    <row r="124" customFormat="false" ht="14.25" hidden="false" customHeight="true" outlineLevel="0" collapsed="false">
      <c r="A124" s="18"/>
      <c r="B124" s="35" t="n">
        <v>20</v>
      </c>
      <c r="C124" s="1" t="s">
        <v>379</v>
      </c>
      <c r="D124" s="1" t="s">
        <v>383</v>
      </c>
      <c r="E124" s="22" t="s">
        <v>38</v>
      </c>
    </row>
    <row r="125" customFormat="false" ht="14.25" hidden="false" customHeight="true" outlineLevel="0" collapsed="false">
      <c r="A125" s="18"/>
      <c r="B125" s="35" t="n">
        <v>21</v>
      </c>
      <c r="C125" s="1" t="s">
        <v>827</v>
      </c>
      <c r="D125" s="1" t="s">
        <v>828</v>
      </c>
      <c r="E125" s="22" t="s">
        <v>38</v>
      </c>
    </row>
    <row r="126" customFormat="false" ht="14.25" hidden="false" customHeight="true" outlineLevel="0" collapsed="false">
      <c r="A126" s="18"/>
      <c r="B126" s="35" t="n">
        <v>22</v>
      </c>
      <c r="C126" s="1" t="s">
        <v>829</v>
      </c>
      <c r="D126" s="1" t="s">
        <v>830</v>
      </c>
      <c r="E126" s="22" t="s">
        <v>38</v>
      </c>
    </row>
    <row r="127" customFormat="false" ht="27" hidden="false" customHeight="true" outlineLevel="0" collapsed="false">
      <c r="A127" s="18"/>
      <c r="B127" s="19" t="n">
        <v>23</v>
      </c>
      <c r="C127" s="20" t="s">
        <v>831</v>
      </c>
      <c r="D127" s="21" t="s">
        <v>832</v>
      </c>
      <c r="E127" s="22" t="s">
        <v>38</v>
      </c>
    </row>
    <row r="128" customFormat="false" ht="14.25" hidden="false" customHeight="true" outlineLevel="0" collapsed="false">
      <c r="A128" s="18"/>
      <c r="B128" s="19" t="n">
        <v>24</v>
      </c>
      <c r="C128" s="1" t="s">
        <v>833</v>
      </c>
      <c r="D128" s="1" t="s">
        <v>834</v>
      </c>
      <c r="E128" s="22" t="s">
        <v>38</v>
      </c>
    </row>
    <row r="129" customFormat="false" ht="14.25" hidden="false" customHeight="true" outlineLevel="0" collapsed="false">
      <c r="A129" s="18"/>
      <c r="B129" s="19" t="n">
        <v>25</v>
      </c>
      <c r="C129" s="1" t="s">
        <v>835</v>
      </c>
      <c r="D129" s="1" t="s">
        <v>836</v>
      </c>
      <c r="E129" s="22" t="s">
        <v>38</v>
      </c>
    </row>
    <row r="130" customFormat="false" ht="14.25" hidden="false" customHeight="true" outlineLevel="0" collapsed="false">
      <c r="A130" s="18"/>
      <c r="B130" s="19" t="n">
        <v>26</v>
      </c>
      <c r="C130" s="1" t="s">
        <v>796</v>
      </c>
      <c r="D130" s="1" t="s">
        <v>837</v>
      </c>
      <c r="E130" s="22" t="s">
        <v>38</v>
      </c>
    </row>
    <row r="131" customFormat="false" ht="27" hidden="false" customHeight="true" outlineLevel="0" collapsed="false">
      <c r="A131" s="18"/>
      <c r="B131" s="19" t="n">
        <v>27</v>
      </c>
      <c r="C131" s="21" t="s">
        <v>838</v>
      </c>
      <c r="D131" s="21" t="s">
        <v>839</v>
      </c>
      <c r="E131" s="22" t="s">
        <v>38</v>
      </c>
    </row>
    <row r="132" customFormat="false" ht="14.25" hidden="false" customHeight="true" outlineLevel="0" collapsed="false">
      <c r="A132" s="18"/>
      <c r="B132" s="19" t="n">
        <v>28</v>
      </c>
      <c r="C132" s="1" t="s">
        <v>840</v>
      </c>
      <c r="D132" s="1" t="s">
        <v>841</v>
      </c>
      <c r="E132" s="22" t="s">
        <v>38</v>
      </c>
    </row>
    <row r="133" customFormat="false" ht="14.25" hidden="false" customHeight="true" outlineLevel="0" collapsed="false">
      <c r="A133" s="18"/>
      <c r="B133" s="19" t="n">
        <v>29</v>
      </c>
      <c r="C133" s="1" t="s">
        <v>842</v>
      </c>
      <c r="D133" s="1" t="s">
        <v>843</v>
      </c>
      <c r="E133" s="22" t="s">
        <v>38</v>
      </c>
    </row>
    <row r="134" customFormat="false" ht="27" hidden="false" customHeight="true" outlineLevel="0" collapsed="false">
      <c r="A134" s="18"/>
      <c r="B134" s="19" t="n">
        <v>30</v>
      </c>
      <c r="C134" s="20" t="s">
        <v>844</v>
      </c>
      <c r="D134" s="21" t="s">
        <v>845</v>
      </c>
      <c r="E134" s="22" t="s">
        <v>38</v>
      </c>
    </row>
    <row r="135" customFormat="false" ht="27" hidden="false" customHeight="true" outlineLevel="0" collapsed="false">
      <c r="A135" s="18"/>
      <c r="B135" s="19" t="n">
        <v>31</v>
      </c>
      <c r="C135" s="1" t="s">
        <v>846</v>
      </c>
      <c r="D135" s="21" t="s">
        <v>847</v>
      </c>
      <c r="E135" s="22" t="s">
        <v>38</v>
      </c>
    </row>
    <row r="136" customFormat="false" ht="27" hidden="false" customHeight="true" outlineLevel="0" collapsed="false">
      <c r="A136" s="18"/>
      <c r="B136" s="19" t="n">
        <v>32</v>
      </c>
      <c r="C136" s="1" t="s">
        <v>848</v>
      </c>
      <c r="D136" s="21" t="s">
        <v>849</v>
      </c>
      <c r="E136" s="22" t="s">
        <v>38</v>
      </c>
    </row>
    <row r="137" customFormat="false" ht="69" hidden="false" customHeight="true" outlineLevel="0" collapsed="false">
      <c r="A137" s="18"/>
      <c r="B137" s="19" t="n">
        <v>33</v>
      </c>
      <c r="C137" s="20" t="s">
        <v>850</v>
      </c>
      <c r="D137" s="21" t="s">
        <v>851</v>
      </c>
      <c r="E137" s="22" t="s">
        <v>38</v>
      </c>
    </row>
    <row r="138" customFormat="false" ht="14.25" hidden="false" customHeight="true" outlineLevel="0" collapsed="false">
      <c r="A138" s="18"/>
      <c r="B138" s="19" t="n">
        <v>34</v>
      </c>
      <c r="C138" s="1" t="s">
        <v>852</v>
      </c>
      <c r="D138" s="1" t="s">
        <v>853</v>
      </c>
      <c r="E138" s="22" t="s">
        <v>38</v>
      </c>
    </row>
    <row r="139" customFormat="false" ht="14.25" hidden="false" customHeight="true" outlineLevel="0" collapsed="false">
      <c r="A139" s="18"/>
      <c r="B139" s="19" t="n">
        <v>35</v>
      </c>
      <c r="C139" s="1" t="s">
        <v>854</v>
      </c>
      <c r="D139" s="1" t="s">
        <v>855</v>
      </c>
      <c r="E139" s="22" t="s">
        <v>38</v>
      </c>
    </row>
    <row r="140" customFormat="false" ht="27" hidden="false" customHeight="true" outlineLevel="0" collapsed="false">
      <c r="A140" s="18"/>
      <c r="B140" s="19" t="n">
        <v>36</v>
      </c>
      <c r="C140" s="21" t="s">
        <v>856</v>
      </c>
      <c r="D140" s="20" t="s">
        <v>857</v>
      </c>
      <c r="E140" s="22" t="s">
        <v>38</v>
      </c>
    </row>
    <row r="141" customFormat="false" ht="41.25" hidden="false" customHeight="true" outlineLevel="0" collapsed="false">
      <c r="A141" s="18"/>
      <c r="B141" s="19" t="n">
        <v>37</v>
      </c>
      <c r="C141" s="20" t="s">
        <v>858</v>
      </c>
      <c r="D141" s="21" t="s">
        <v>859</v>
      </c>
      <c r="E141" s="22" t="s">
        <v>38</v>
      </c>
    </row>
    <row r="142" customFormat="false" ht="14.25" hidden="false" customHeight="true" outlineLevel="0" collapsed="false">
      <c r="A142" s="18"/>
      <c r="B142" s="19" t="n">
        <v>38</v>
      </c>
      <c r="C142" s="1" t="s">
        <v>860</v>
      </c>
      <c r="D142" s="1" t="s">
        <v>826</v>
      </c>
      <c r="E142" s="22" t="s">
        <v>38</v>
      </c>
    </row>
    <row r="143" customFormat="false" ht="14.25" hidden="false" customHeight="true" outlineLevel="0" collapsed="false">
      <c r="A143" s="18"/>
      <c r="B143" s="19" t="n">
        <v>39</v>
      </c>
      <c r="C143" s="1" t="s">
        <v>379</v>
      </c>
      <c r="D143" s="1" t="s">
        <v>383</v>
      </c>
      <c r="E143" s="22" t="s">
        <v>38</v>
      </c>
    </row>
    <row r="144" customFormat="false" ht="69" hidden="false" customHeight="true" outlineLevel="0" collapsed="false">
      <c r="A144" s="18"/>
      <c r="B144" s="19" t="n">
        <v>40</v>
      </c>
      <c r="C144" s="20" t="s">
        <v>861</v>
      </c>
      <c r="D144" s="21" t="s">
        <v>862</v>
      </c>
      <c r="E144" s="22" t="s">
        <v>38</v>
      </c>
    </row>
    <row r="145" customFormat="false" ht="27" hidden="false" customHeight="true" outlineLevel="0" collapsed="false">
      <c r="A145" s="18"/>
      <c r="B145" s="19" t="n">
        <v>41</v>
      </c>
      <c r="C145" s="20" t="s">
        <v>863</v>
      </c>
      <c r="D145" s="21" t="s">
        <v>864</v>
      </c>
      <c r="E145" s="22" t="s">
        <v>38</v>
      </c>
    </row>
    <row r="146" customFormat="false" ht="14.25" hidden="false" customHeight="true" outlineLevel="0" collapsed="false">
      <c r="A146" s="18"/>
      <c r="B146" s="19" t="n">
        <v>42</v>
      </c>
      <c r="C146" s="1" t="s">
        <v>865</v>
      </c>
      <c r="D146" s="1" t="s">
        <v>866</v>
      </c>
      <c r="E146" s="22" t="s">
        <v>38</v>
      </c>
    </row>
    <row r="147" customFormat="false" ht="14.25" hidden="false" customHeight="true" outlineLevel="0" collapsed="false">
      <c r="A147" s="18"/>
      <c r="B147" s="19" t="n">
        <v>43</v>
      </c>
      <c r="C147" s="1" t="s">
        <v>867</v>
      </c>
      <c r="D147" s="1" t="s">
        <v>868</v>
      </c>
      <c r="E147" s="22" t="s">
        <v>38</v>
      </c>
    </row>
    <row r="148" customFormat="false" ht="14.25" hidden="false" customHeight="true" outlineLevel="0" collapsed="false">
      <c r="A148" s="18"/>
      <c r="B148" s="19" t="n">
        <v>44</v>
      </c>
      <c r="C148" s="1" t="s">
        <v>869</v>
      </c>
      <c r="D148" s="1" t="s">
        <v>870</v>
      </c>
      <c r="E148" s="22" t="s">
        <v>38</v>
      </c>
    </row>
    <row r="149" customFormat="false" ht="27" hidden="false" customHeight="true" outlineLevel="0" collapsed="false">
      <c r="A149" s="18"/>
      <c r="B149" s="19" t="n">
        <v>45</v>
      </c>
      <c r="C149" s="20" t="s">
        <v>871</v>
      </c>
      <c r="D149" s="21" t="s">
        <v>872</v>
      </c>
      <c r="E149" s="22" t="s">
        <v>38</v>
      </c>
    </row>
    <row r="150" customFormat="false" ht="14.25" hidden="false" customHeight="true" outlineLevel="0" collapsed="false">
      <c r="A150" s="18"/>
      <c r="B150" s="19" t="n">
        <v>46</v>
      </c>
      <c r="C150" s="1" t="s">
        <v>873</v>
      </c>
      <c r="D150" s="1" t="s">
        <v>383</v>
      </c>
      <c r="E150" s="22" t="s">
        <v>38</v>
      </c>
    </row>
    <row r="151" customFormat="false" ht="14.25" hidden="false" customHeight="true" outlineLevel="0" collapsed="false">
      <c r="A151" s="18"/>
      <c r="B151" s="19" t="n">
        <v>47</v>
      </c>
      <c r="C151" s="1" t="s">
        <v>874</v>
      </c>
      <c r="D151" s="1" t="s">
        <v>875</v>
      </c>
      <c r="E151" s="22" t="s">
        <v>38</v>
      </c>
    </row>
    <row r="152" customFormat="false" ht="14.25" hidden="false" customHeight="true" outlineLevel="0" collapsed="false">
      <c r="A152" s="18"/>
      <c r="B152" s="19" t="n">
        <v>48</v>
      </c>
      <c r="C152" s="1" t="s">
        <v>876</v>
      </c>
      <c r="D152" s="1" t="s">
        <v>877</v>
      </c>
      <c r="E152" s="22" t="s">
        <v>38</v>
      </c>
    </row>
    <row r="153" customFormat="false" ht="14.25" hidden="false" customHeight="true" outlineLevel="0" collapsed="false">
      <c r="A153" s="18"/>
      <c r="B153" s="19" t="n">
        <v>49</v>
      </c>
      <c r="C153" s="1" t="s">
        <v>878</v>
      </c>
      <c r="D153" s="1" t="s">
        <v>877</v>
      </c>
      <c r="E153" s="22" t="s">
        <v>38</v>
      </c>
    </row>
    <row r="154" customFormat="false" ht="14.25" hidden="false" customHeight="true" outlineLevel="0" collapsed="false">
      <c r="A154" s="18"/>
      <c r="B154" s="19" t="n">
        <v>50</v>
      </c>
      <c r="C154" s="1" t="s">
        <v>879</v>
      </c>
      <c r="D154" s="1" t="s">
        <v>880</v>
      </c>
      <c r="E154" s="22" t="s">
        <v>38</v>
      </c>
    </row>
    <row r="155" customFormat="false" ht="13.5" hidden="false" customHeight="true" outlineLevel="0" collapsed="false">
      <c r="A155" s="18"/>
      <c r="B155" s="19" t="n">
        <v>51</v>
      </c>
      <c r="C155" s="1" t="s">
        <v>881</v>
      </c>
      <c r="D155" s="1" t="s">
        <v>882</v>
      </c>
      <c r="E155" s="37" t="s">
        <v>38</v>
      </c>
    </row>
    <row r="156" customFormat="false" ht="13.5" hidden="false" customHeight="true" outlineLevel="0" collapsed="false">
      <c r="A156" s="24"/>
      <c r="B156" s="24"/>
      <c r="C156" s="24"/>
      <c r="D156" s="24"/>
      <c r="E156" s="24"/>
      <c r="F156" s="24"/>
    </row>
    <row r="157" customFormat="false" ht="14.25" hidden="false" customHeight="true" outlineLevel="0" collapsed="false">
      <c r="A157" s="18" t="s">
        <v>401</v>
      </c>
      <c r="B157" s="19" t="n">
        <v>1</v>
      </c>
      <c r="C157" s="1" t="s">
        <v>351</v>
      </c>
      <c r="D157" s="1" t="s">
        <v>75</v>
      </c>
      <c r="E157" s="22" t="s">
        <v>38</v>
      </c>
    </row>
    <row r="158" customFormat="false" ht="165" hidden="false" customHeight="true" outlineLevel="0" collapsed="false">
      <c r="A158" s="18"/>
      <c r="B158" s="19" t="n">
        <v>2</v>
      </c>
      <c r="C158" s="20" t="s">
        <v>76</v>
      </c>
      <c r="D158" s="21" t="s">
        <v>402</v>
      </c>
      <c r="E158" s="22" t="s">
        <v>38</v>
      </c>
    </row>
    <row r="159" customFormat="false" ht="27" hidden="false" customHeight="true" outlineLevel="0" collapsed="false">
      <c r="A159" s="18"/>
      <c r="B159" s="19" t="n">
        <v>3</v>
      </c>
      <c r="C159" s="20" t="s">
        <v>78</v>
      </c>
      <c r="D159" s="21" t="s">
        <v>79</v>
      </c>
      <c r="E159" s="22" t="s">
        <v>38</v>
      </c>
    </row>
    <row r="160" customFormat="false" ht="41.25" hidden="false" customHeight="true" outlineLevel="0" collapsed="false">
      <c r="A160" s="18"/>
      <c r="B160" s="19" t="n">
        <v>4</v>
      </c>
      <c r="C160" s="20" t="s">
        <v>80</v>
      </c>
      <c r="D160" s="21" t="s">
        <v>81</v>
      </c>
      <c r="E160" s="22" t="s">
        <v>38</v>
      </c>
    </row>
    <row r="161" customFormat="false" ht="41.25" hidden="false" customHeight="true" outlineLevel="0" collapsed="false">
      <c r="A161" s="18"/>
      <c r="B161" s="19" t="n">
        <v>5</v>
      </c>
      <c r="C161" s="20" t="s">
        <v>82</v>
      </c>
      <c r="D161" s="21" t="s">
        <v>83</v>
      </c>
      <c r="E161" s="22" t="s">
        <v>38</v>
      </c>
    </row>
    <row r="162" customFormat="false" ht="27" hidden="false" customHeight="true" outlineLevel="0" collapsed="false">
      <c r="A162" s="18"/>
      <c r="B162" s="19" t="n">
        <v>6</v>
      </c>
      <c r="C162" s="20" t="s">
        <v>84</v>
      </c>
      <c r="D162" s="21" t="s">
        <v>85</v>
      </c>
      <c r="E162" s="22" t="s">
        <v>38</v>
      </c>
    </row>
    <row r="163" customFormat="false" ht="14.25" hidden="false" customHeight="true" outlineLevel="0" collapsed="false">
      <c r="A163" s="18"/>
      <c r="B163" s="19" t="n">
        <v>7</v>
      </c>
      <c r="C163" s="1" t="s">
        <v>86</v>
      </c>
      <c r="D163" s="1" t="s">
        <v>87</v>
      </c>
      <c r="E163" s="22" t="s">
        <v>38</v>
      </c>
    </row>
    <row r="164" customFormat="false" ht="27" hidden="false" customHeight="true" outlineLevel="0" collapsed="false">
      <c r="A164" s="18"/>
      <c r="B164" s="19" t="n">
        <v>8</v>
      </c>
      <c r="C164" s="21" t="s">
        <v>403</v>
      </c>
      <c r="D164" s="23" t="s">
        <v>404</v>
      </c>
      <c r="E164" s="22" t="s">
        <v>38</v>
      </c>
    </row>
    <row r="165" customFormat="false" ht="13.5" hidden="false" customHeight="true" outlineLevel="0" collapsed="false">
      <c r="A165" s="24"/>
      <c r="B165" s="24"/>
      <c r="C165" s="24"/>
      <c r="D165" s="24"/>
      <c r="E165" s="24"/>
      <c r="F165" s="24"/>
    </row>
    <row r="166" customFormat="false" ht="14.25" hidden="false" customHeight="true" outlineLevel="0" collapsed="false">
      <c r="A166" s="18" t="s">
        <v>216</v>
      </c>
      <c r="B166" s="19" t="n">
        <v>1</v>
      </c>
      <c r="C166" s="1" t="s">
        <v>217</v>
      </c>
      <c r="D166" s="1" t="s">
        <v>218</v>
      </c>
      <c r="E166" s="22" t="s">
        <v>38</v>
      </c>
    </row>
    <row r="167" customFormat="false" ht="14.25" hidden="false" customHeight="true" outlineLevel="0" collapsed="false">
      <c r="A167" s="18"/>
      <c r="B167" s="19" t="n">
        <v>2</v>
      </c>
      <c r="C167" s="1" t="s">
        <v>219</v>
      </c>
      <c r="D167" s="1" t="s">
        <v>220</v>
      </c>
      <c r="E167" s="22" t="s">
        <v>38</v>
      </c>
    </row>
    <row r="168" customFormat="false" ht="27" hidden="false" customHeight="true" outlineLevel="0" collapsed="false">
      <c r="A168" s="18"/>
      <c r="B168" s="19" t="n">
        <v>3</v>
      </c>
      <c r="C168" s="21" t="s">
        <v>221</v>
      </c>
      <c r="D168" s="21" t="s">
        <v>222</v>
      </c>
      <c r="E168" s="22" t="s">
        <v>38</v>
      </c>
    </row>
    <row r="169" customFormat="false" ht="27" hidden="false" customHeight="true" outlineLevel="0" collapsed="false">
      <c r="A169" s="18"/>
      <c r="B169" s="19" t="n">
        <v>4</v>
      </c>
      <c r="C169" s="20" t="s">
        <v>223</v>
      </c>
      <c r="D169" s="21" t="s">
        <v>224</v>
      </c>
      <c r="E169" s="22" t="s">
        <v>38</v>
      </c>
    </row>
    <row r="170" customFormat="false" ht="41.25" hidden="false" customHeight="true" outlineLevel="0" collapsed="false">
      <c r="A170" s="18"/>
      <c r="B170" s="19" t="n">
        <v>5</v>
      </c>
      <c r="C170" s="20" t="s">
        <v>225</v>
      </c>
      <c r="D170" s="21" t="s">
        <v>226</v>
      </c>
      <c r="E170" s="22" t="s">
        <v>38</v>
      </c>
    </row>
    <row r="171" customFormat="false" ht="27" hidden="false" customHeight="true" outlineLevel="0" collapsed="false">
      <c r="A171" s="18"/>
      <c r="B171" s="19" t="n">
        <v>6</v>
      </c>
      <c r="C171" s="20" t="s">
        <v>227</v>
      </c>
      <c r="D171" s="21" t="s">
        <v>228</v>
      </c>
      <c r="E171" s="22" t="s">
        <v>38</v>
      </c>
    </row>
    <row r="172" customFormat="false" ht="27" hidden="false" customHeight="true" outlineLevel="0" collapsed="false">
      <c r="A172" s="18"/>
      <c r="B172" s="19" t="n">
        <v>7</v>
      </c>
      <c r="C172" s="1" t="s">
        <v>229</v>
      </c>
      <c r="D172" s="21" t="s">
        <v>230</v>
      </c>
      <c r="E172" s="22" t="s">
        <v>38</v>
      </c>
    </row>
  </sheetData>
  <autoFilter ref="A1:G172"/>
  <mergeCells count="9">
    <mergeCell ref="A2:A10"/>
    <mergeCell ref="A12:A19"/>
    <mergeCell ref="A21:A27"/>
    <mergeCell ref="A29:A44"/>
    <mergeCell ref="A46:A64"/>
    <mergeCell ref="A66:A103"/>
    <mergeCell ref="A105:A155"/>
    <mergeCell ref="A157:A164"/>
    <mergeCell ref="A166:A172"/>
  </mergeCells>
  <conditionalFormatting sqref="E166:E172">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157:E164">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conditionalFormatting sqref="E105:E154">
    <cfRule type="cellIs" priority="12" operator="equal" aboveAverage="0" equalAverage="0" bottom="0" percent="0" rank="0" text="" dxfId="8">
      <formula>"Blocked"</formula>
    </cfRule>
    <cfRule type="cellIs" priority="13" operator="equal" aboveAverage="0" equalAverage="0" bottom="0" percent="0" rank="0" text="" dxfId="9">
      <formula>"Skipped"</formula>
    </cfRule>
    <cfRule type="cellIs" priority="14" operator="equal" aboveAverage="0" equalAverage="0" bottom="0" percent="0" rank="0" text="" dxfId="10">
      <formula>"Not Tested"</formula>
    </cfRule>
    <cfRule type="cellIs" priority="15" operator="equal" aboveAverage="0" equalAverage="0" bottom="0" percent="0" rank="0" text="" dxfId="11">
      <formula>"Passed"</formula>
    </cfRule>
    <cfRule type="cellIs" priority="16" operator="equal" aboveAverage="0" equalAverage="0" bottom="0" percent="0" rank="0" text="" dxfId="12">
      <formula>"Failed"</formula>
    </cfRule>
  </conditionalFormatting>
  <conditionalFormatting sqref="E46:E64">
    <cfRule type="cellIs" priority="17" operator="equal" aboveAverage="0" equalAverage="0" bottom="0" percent="0" rank="0" text="" dxfId="8">
      <formula>"Blocked"</formula>
    </cfRule>
    <cfRule type="cellIs" priority="18" operator="equal" aboveAverage="0" equalAverage="0" bottom="0" percent="0" rank="0" text="" dxfId="9">
      <formula>"Skipped"</formula>
    </cfRule>
    <cfRule type="cellIs" priority="19" operator="equal" aboveAverage="0" equalAverage="0" bottom="0" percent="0" rank="0" text="" dxfId="10">
      <formula>"Not Tested"</formula>
    </cfRule>
    <cfRule type="cellIs" priority="20" operator="equal" aboveAverage="0" equalAverage="0" bottom="0" percent="0" rank="0" text="" dxfId="11">
      <formula>"Passed"</formula>
    </cfRule>
    <cfRule type="cellIs" priority="21" operator="equal" aboveAverage="0" equalAverage="0" bottom="0" percent="0" rank="0" text="" dxfId="12">
      <formula>"Failed"</formula>
    </cfRule>
  </conditionalFormatting>
  <conditionalFormatting sqref="E29:E44">
    <cfRule type="cellIs" priority="22" operator="equal" aboveAverage="0" equalAverage="0" bottom="0" percent="0" rank="0" text="" dxfId="8">
      <formula>"Blocked"</formula>
    </cfRule>
    <cfRule type="cellIs" priority="23" operator="equal" aboveAverage="0" equalAverage="0" bottom="0" percent="0" rank="0" text="" dxfId="9">
      <formula>"Skipped"</formula>
    </cfRule>
    <cfRule type="cellIs" priority="24" operator="equal" aboveAverage="0" equalAverage="0" bottom="0" percent="0" rank="0" text="" dxfId="10">
      <formula>"Not Tested"</formula>
    </cfRule>
    <cfRule type="cellIs" priority="25" operator="equal" aboveAverage="0" equalAverage="0" bottom="0" percent="0" rank="0" text="" dxfId="11">
      <formula>"Passed"</formula>
    </cfRule>
    <cfRule type="cellIs" priority="26" operator="equal" aboveAverage="0" equalAverage="0" bottom="0" percent="0" rank="0" text="" dxfId="12">
      <formula>"Failed"</formula>
    </cfRule>
  </conditionalFormatting>
  <conditionalFormatting sqref="E21:E27">
    <cfRule type="cellIs" priority="27" operator="equal" aboveAverage="0" equalAverage="0" bottom="0" percent="0" rank="0" text="" dxfId="8">
      <formula>"Blocked"</formula>
    </cfRule>
    <cfRule type="cellIs" priority="28" operator="equal" aboveAverage="0" equalAverage="0" bottom="0" percent="0" rank="0" text="" dxfId="9">
      <formula>"Skipped"</formula>
    </cfRule>
    <cfRule type="cellIs" priority="29" operator="equal" aboveAverage="0" equalAverage="0" bottom="0" percent="0" rank="0" text="" dxfId="10">
      <formula>"Not Tested"</formula>
    </cfRule>
    <cfRule type="cellIs" priority="30" operator="equal" aboveAverage="0" equalAverage="0" bottom="0" percent="0" rank="0" text="" dxfId="11">
      <formula>"Passed"</formula>
    </cfRule>
    <cfRule type="cellIs" priority="31" operator="equal" aboveAverage="0" equalAverage="0" bottom="0" percent="0" rank="0" text="" dxfId="12">
      <formula>"Failed"</formula>
    </cfRule>
  </conditionalFormatting>
  <conditionalFormatting sqref="E12:E19">
    <cfRule type="cellIs" priority="32" operator="equal" aboveAverage="0" equalAverage="0" bottom="0" percent="0" rank="0" text="" dxfId="8">
      <formula>"Blocked"</formula>
    </cfRule>
    <cfRule type="cellIs" priority="33" operator="equal" aboveAverage="0" equalAverage="0" bottom="0" percent="0" rank="0" text="" dxfId="9">
      <formula>"Skipped"</formula>
    </cfRule>
    <cfRule type="cellIs" priority="34" operator="equal" aboveAverage="0" equalAverage="0" bottom="0" percent="0" rank="0" text="" dxfId="10">
      <formula>"Not Tested"</formula>
    </cfRule>
    <cfRule type="cellIs" priority="35" operator="equal" aboveAverage="0" equalAverage="0" bottom="0" percent="0" rank="0" text="" dxfId="11">
      <formula>"Passed"</formula>
    </cfRule>
    <cfRule type="cellIs" priority="36" operator="equal" aboveAverage="0" equalAverage="0" bottom="0" percent="0" rank="0" text="" dxfId="12">
      <formula>"Failed"</formula>
    </cfRule>
  </conditionalFormatting>
  <conditionalFormatting sqref="E2:E10 E66:E103">
    <cfRule type="cellIs" priority="37" operator="equal" aboveAverage="0" equalAverage="0" bottom="0" percent="0" rank="0" text="" dxfId="8">
      <formula>"Blocked"</formula>
    </cfRule>
    <cfRule type="cellIs" priority="38" operator="equal" aboveAverage="0" equalAverage="0" bottom="0" percent="0" rank="0" text="" dxfId="9">
      <formula>"Skipped"</formula>
    </cfRule>
    <cfRule type="cellIs" priority="39" operator="equal" aboveAverage="0" equalAverage="0" bottom="0" percent="0" rank="0" text="" dxfId="10">
      <formula>"Not Tested"</formula>
    </cfRule>
    <cfRule type="cellIs" priority="40" operator="equal" aboveAverage="0" equalAverage="0" bottom="0" percent="0" rank="0" text="" dxfId="11">
      <formula>"Passed"</formula>
    </cfRule>
    <cfRule type="cellIs" priority="41"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172"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14" activeCellId="0" sqref="D14"/>
    </sheetView>
  </sheetViews>
  <sheetFormatPr defaultColWidth="8.5390625" defaultRowHeight="13.5" customHeight="false" zeroHeight="false" outlineLevelRow="0" outlineLevelCol="0"/>
  <cols>
    <col collapsed="false" customWidth="true" hidden="false" outlineLevel="0" max="1" min="1" style="1" width="26.9"/>
    <col collapsed="false" customWidth="true" hidden="false" outlineLevel="0" max="2" min="2" style="1" width="18.7"/>
    <col collapsed="false" customWidth="true" hidden="false" outlineLevel="0" max="3" min="3" style="1" width="42.1"/>
    <col collapsed="false" customWidth="true" hidden="false" outlineLevel="0" max="4" min="4" style="1" width="47"/>
    <col collapsed="false" customWidth="true" hidden="false" outlineLevel="0" max="5" min="5" style="1" width="22"/>
    <col collapsed="false" customWidth="true" hidden="false" outlineLevel="0" max="6" min="6" style="1" width="21.9"/>
    <col collapsed="false" customWidth="true" hidden="false" outlineLevel="0" max="7" min="7" style="1" width="12"/>
  </cols>
  <sheetData>
    <row r="1" customFormat="false" ht="13.5" hidden="false" customHeight="true" outlineLevel="0" collapsed="false">
      <c r="A1" s="15" t="s">
        <v>33</v>
      </c>
      <c r="B1" s="16" t="s">
        <v>65</v>
      </c>
      <c r="C1" s="16" t="s">
        <v>66</v>
      </c>
      <c r="D1" s="16" t="s">
        <v>67</v>
      </c>
      <c r="E1" s="16" t="s">
        <v>68</v>
      </c>
      <c r="F1" s="16" t="s">
        <v>69</v>
      </c>
      <c r="G1" s="17" t="s">
        <v>70</v>
      </c>
    </row>
    <row r="2" customFormat="false" ht="14.25" hidden="false" customHeight="true" outlineLevel="0" collapsed="false">
      <c r="A2" s="18" t="s">
        <v>71</v>
      </c>
      <c r="B2" s="19" t="n">
        <v>1</v>
      </c>
      <c r="C2" s="20" t="s">
        <v>883</v>
      </c>
      <c r="D2" s="23" t="s">
        <v>884</v>
      </c>
      <c r="E2" s="22" t="s">
        <v>38</v>
      </c>
    </row>
    <row r="3" customFormat="false" ht="14.25" hidden="false" customHeight="true" outlineLevel="0" collapsed="false">
      <c r="A3" s="18"/>
      <c r="B3" s="19" t="n">
        <v>2</v>
      </c>
      <c r="C3" s="20" t="s">
        <v>885</v>
      </c>
      <c r="D3" s="20" t="s">
        <v>75</v>
      </c>
      <c r="E3" s="22" t="s">
        <v>38</v>
      </c>
    </row>
    <row r="4" customFormat="false" ht="27" hidden="false" customHeight="true" outlineLevel="0" collapsed="false">
      <c r="A4" s="18"/>
      <c r="B4" s="19" t="n">
        <v>3</v>
      </c>
      <c r="C4" s="20" t="s">
        <v>76</v>
      </c>
      <c r="D4" s="23" t="s">
        <v>352</v>
      </c>
      <c r="E4" s="22" t="s">
        <v>38</v>
      </c>
    </row>
    <row r="5" customFormat="false" ht="27" hidden="false" customHeight="true" outlineLevel="0" collapsed="false">
      <c r="A5" s="18"/>
      <c r="B5" s="19" t="n">
        <v>4</v>
      </c>
      <c r="C5" s="20" t="s">
        <v>78</v>
      </c>
      <c r="D5" s="23" t="s">
        <v>79</v>
      </c>
      <c r="E5" s="22" t="s">
        <v>38</v>
      </c>
    </row>
    <row r="6" customFormat="false" ht="41.25" hidden="false" customHeight="true" outlineLevel="0" collapsed="false">
      <c r="A6" s="18"/>
      <c r="B6" s="19" t="n">
        <v>5</v>
      </c>
      <c r="C6" s="20" t="s">
        <v>80</v>
      </c>
      <c r="D6" s="23" t="s">
        <v>81</v>
      </c>
      <c r="E6" s="22" t="s">
        <v>38</v>
      </c>
    </row>
    <row r="7" customFormat="false" ht="41.25" hidden="false" customHeight="true" outlineLevel="0" collapsed="false">
      <c r="A7" s="18"/>
      <c r="B7" s="19" t="n">
        <v>6</v>
      </c>
      <c r="C7" s="20" t="s">
        <v>82</v>
      </c>
      <c r="D7" s="23" t="s">
        <v>83</v>
      </c>
      <c r="E7" s="22" t="s">
        <v>38</v>
      </c>
    </row>
    <row r="8" customFormat="false" ht="27" hidden="false" customHeight="true" outlineLevel="0" collapsed="false">
      <c r="A8" s="18"/>
      <c r="B8" s="19" t="n">
        <v>7</v>
      </c>
      <c r="C8" s="20" t="s">
        <v>84</v>
      </c>
      <c r="D8" s="23" t="s">
        <v>85</v>
      </c>
      <c r="E8" s="22" t="s">
        <v>38</v>
      </c>
    </row>
    <row r="9" customFormat="false" ht="14.25" hidden="false" customHeight="true" outlineLevel="0" collapsed="false">
      <c r="A9" s="18"/>
      <c r="B9" s="19" t="n">
        <v>8</v>
      </c>
      <c r="C9" s="20" t="s">
        <v>86</v>
      </c>
      <c r="D9" s="20" t="s">
        <v>87</v>
      </c>
      <c r="E9" s="22" t="s">
        <v>38</v>
      </c>
    </row>
    <row r="10" customFormat="false" ht="14.25" hidden="false" customHeight="true" outlineLevel="0" collapsed="false">
      <c r="A10" s="18"/>
      <c r="B10" s="19" t="n">
        <v>9</v>
      </c>
      <c r="C10" s="20" t="s">
        <v>236</v>
      </c>
      <c r="D10" s="20" t="s">
        <v>237</v>
      </c>
      <c r="E10" s="22" t="s">
        <v>38</v>
      </c>
    </row>
    <row r="11" customFormat="false" ht="14.25" hidden="false" customHeight="true" outlineLevel="0" collapsed="false">
      <c r="A11" s="18"/>
      <c r="B11" s="19" t="n">
        <v>10</v>
      </c>
      <c r="C11" s="20" t="s">
        <v>694</v>
      </c>
      <c r="D11" s="20" t="s">
        <v>695</v>
      </c>
      <c r="E11" s="22" t="s">
        <v>38</v>
      </c>
    </row>
    <row r="12" customFormat="false" ht="14.25" hidden="false" customHeight="true" outlineLevel="0" collapsed="false">
      <c r="A12" s="18"/>
      <c r="B12" s="19" t="n">
        <v>11</v>
      </c>
      <c r="C12" s="20" t="s">
        <v>886</v>
      </c>
      <c r="D12" s="20" t="s">
        <v>697</v>
      </c>
      <c r="E12" s="22" t="s">
        <v>38</v>
      </c>
    </row>
    <row r="13" customFormat="false" ht="27" hidden="false" customHeight="true" outlineLevel="0" collapsed="false">
      <c r="A13" s="18"/>
      <c r="B13" s="19" t="n">
        <v>12</v>
      </c>
      <c r="C13" s="20" t="s">
        <v>698</v>
      </c>
      <c r="D13" s="23" t="s">
        <v>699</v>
      </c>
      <c r="E13" s="22" t="s">
        <v>38</v>
      </c>
    </row>
    <row r="14" customFormat="false" ht="41.25" hidden="false" customHeight="true" outlineLevel="0" collapsed="false">
      <c r="A14" s="18"/>
      <c r="B14" s="19" t="n">
        <v>13</v>
      </c>
      <c r="C14" s="20" t="s">
        <v>700</v>
      </c>
      <c r="D14" s="23" t="s">
        <v>887</v>
      </c>
      <c r="E14" s="22" t="s">
        <v>38</v>
      </c>
    </row>
    <row r="15" customFormat="false" ht="54.75" hidden="false" customHeight="true" outlineLevel="0" collapsed="false">
      <c r="A15" s="18"/>
      <c r="B15" s="19" t="n">
        <v>14</v>
      </c>
      <c r="C15" s="20" t="s">
        <v>702</v>
      </c>
      <c r="D15" s="23" t="s">
        <v>703</v>
      </c>
      <c r="E15" s="22" t="s">
        <v>38</v>
      </c>
    </row>
    <row r="16" customFormat="false" ht="13.5" hidden="false" customHeight="true" outlineLevel="0" collapsed="false">
      <c r="A16" s="24"/>
      <c r="B16" s="24"/>
      <c r="C16" s="24"/>
      <c r="D16" s="24"/>
      <c r="E16" s="24"/>
      <c r="F16" s="24"/>
    </row>
    <row r="17" customFormat="false" ht="14.25" hidden="false" customHeight="true" outlineLevel="0" collapsed="false">
      <c r="A17" s="36" t="s">
        <v>888</v>
      </c>
      <c r="B17" s="19" t="n">
        <v>1</v>
      </c>
      <c r="C17" s="1" t="s">
        <v>354</v>
      </c>
      <c r="D17" s="1" t="s">
        <v>889</v>
      </c>
      <c r="E17" s="22" t="s">
        <v>38</v>
      </c>
    </row>
    <row r="18" customFormat="false" ht="14.25" hidden="false" customHeight="true" outlineLevel="0" collapsed="false">
      <c r="A18" s="36"/>
      <c r="B18" s="19" t="n">
        <v>2</v>
      </c>
      <c r="C18" s="1" t="s">
        <v>356</v>
      </c>
      <c r="D18" s="1" t="s">
        <v>357</v>
      </c>
      <c r="E18" s="22" t="s">
        <v>38</v>
      </c>
    </row>
    <row r="19" customFormat="false" ht="29.25" hidden="false" customHeight="true" outlineLevel="0" collapsed="false">
      <c r="A19" s="36"/>
      <c r="B19" s="19" t="n">
        <v>3</v>
      </c>
      <c r="C19" s="20" t="s">
        <v>95</v>
      </c>
      <c r="D19" s="23" t="s">
        <v>358</v>
      </c>
      <c r="E19" s="22" t="s">
        <v>38</v>
      </c>
    </row>
    <row r="20" customFormat="false" ht="14.25" hidden="false" customHeight="true" outlineLevel="0" collapsed="false">
      <c r="A20" s="36"/>
      <c r="B20" s="19" t="n">
        <v>4</v>
      </c>
      <c r="C20" s="1" t="s">
        <v>890</v>
      </c>
      <c r="D20" s="1" t="s">
        <v>891</v>
      </c>
      <c r="E20" s="22" t="s">
        <v>38</v>
      </c>
    </row>
    <row r="21" customFormat="false" ht="14.25" hidden="false" customHeight="true" outlineLevel="0" collapsed="false">
      <c r="A21" s="36"/>
      <c r="B21" s="19" t="n">
        <v>5</v>
      </c>
      <c r="C21" s="1" t="s">
        <v>892</v>
      </c>
      <c r="D21" s="1" t="s">
        <v>893</v>
      </c>
      <c r="E21" s="22" t="s">
        <v>38</v>
      </c>
    </row>
    <row r="22" customFormat="false" ht="14.25" hidden="false" customHeight="true" outlineLevel="0" collapsed="false">
      <c r="A22" s="36"/>
      <c r="B22" s="19" t="n">
        <v>6</v>
      </c>
      <c r="C22" s="1" t="s">
        <v>894</v>
      </c>
      <c r="D22" s="1" t="s">
        <v>895</v>
      </c>
      <c r="E22" s="22" t="s">
        <v>38</v>
      </c>
    </row>
    <row r="23" customFormat="false" ht="14.25" hidden="false" customHeight="true" outlineLevel="0" collapsed="false">
      <c r="A23" s="36"/>
      <c r="B23" s="19" t="n">
        <v>7</v>
      </c>
      <c r="C23" s="1" t="s">
        <v>896</v>
      </c>
      <c r="D23" s="1" t="s">
        <v>897</v>
      </c>
      <c r="E23" s="22" t="s">
        <v>38</v>
      </c>
    </row>
    <row r="24" customFormat="false" ht="27" hidden="false" customHeight="true" outlineLevel="0" collapsed="false">
      <c r="A24" s="36"/>
      <c r="B24" s="19" t="n">
        <v>8</v>
      </c>
      <c r="C24" s="20" t="s">
        <v>898</v>
      </c>
      <c r="D24" s="21" t="s">
        <v>899</v>
      </c>
      <c r="E24" s="22" t="s">
        <v>38</v>
      </c>
    </row>
    <row r="25" customFormat="false" ht="27" hidden="false" customHeight="true" outlineLevel="0" collapsed="false">
      <c r="A25" s="36"/>
      <c r="B25" s="19" t="n">
        <v>9</v>
      </c>
      <c r="C25" s="1" t="s">
        <v>136</v>
      </c>
      <c r="D25" s="21" t="s">
        <v>900</v>
      </c>
      <c r="E25" s="22" t="s">
        <v>38</v>
      </c>
    </row>
  </sheetData>
  <autoFilter ref="A1:G25"/>
  <mergeCells count="2">
    <mergeCell ref="A2:A15"/>
    <mergeCell ref="A17:A25"/>
  </mergeCells>
  <conditionalFormatting sqref="E17:E25">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2:E15">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25"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12" activeCellId="0" sqref="C12"/>
    </sheetView>
  </sheetViews>
  <sheetFormatPr defaultColWidth="8.5390625" defaultRowHeight="13.5" customHeight="false" zeroHeight="false" outlineLevelRow="0" outlineLevelCol="0"/>
  <cols>
    <col collapsed="false" customWidth="true" hidden="false" outlineLevel="0" max="1" min="1" style="1" width="23.3"/>
    <col collapsed="false" customWidth="true" hidden="false" outlineLevel="0" max="2" min="2" style="1" width="22.1"/>
    <col collapsed="false" customWidth="true" hidden="false" outlineLevel="0" max="3" min="3" style="1" width="35.3"/>
    <col collapsed="false" customWidth="true" hidden="false" outlineLevel="0" max="4" min="4" style="1" width="41.1"/>
    <col collapsed="false" customWidth="true" hidden="false" outlineLevel="0" max="5" min="5" style="1" width="22"/>
    <col collapsed="false" customWidth="true" hidden="false" outlineLevel="0" max="6" min="6" style="1" width="28.7"/>
    <col collapsed="false" customWidth="true" hidden="false" outlineLevel="0" max="7" min="7" style="1" width="12"/>
  </cols>
  <sheetData>
    <row r="1" customFormat="false" ht="13.5" hidden="false" customHeight="true" outlineLevel="0" collapsed="false">
      <c r="A1" s="15" t="s">
        <v>33</v>
      </c>
      <c r="B1" s="16" t="s">
        <v>65</v>
      </c>
      <c r="C1" s="16" t="s">
        <v>66</v>
      </c>
      <c r="D1" s="16" t="s">
        <v>67</v>
      </c>
      <c r="E1" s="16" t="s">
        <v>68</v>
      </c>
      <c r="F1" s="16" t="s">
        <v>69</v>
      </c>
      <c r="G1" s="17" t="s">
        <v>70</v>
      </c>
    </row>
    <row r="2" customFormat="false" ht="14.25" hidden="false" customHeight="true" outlineLevel="0" collapsed="false">
      <c r="A2" s="18" t="s">
        <v>71</v>
      </c>
      <c r="B2" s="19" t="n">
        <v>1</v>
      </c>
      <c r="C2" s="20" t="s">
        <v>901</v>
      </c>
      <c r="D2" s="23" t="s">
        <v>902</v>
      </c>
      <c r="E2" s="22" t="s">
        <v>38</v>
      </c>
    </row>
    <row r="3" customFormat="false" ht="14.25" hidden="false" customHeight="true" outlineLevel="0" collapsed="false">
      <c r="A3" s="18"/>
      <c r="B3" s="19" t="n">
        <v>2</v>
      </c>
      <c r="C3" s="20" t="s">
        <v>903</v>
      </c>
      <c r="D3" s="20" t="s">
        <v>75</v>
      </c>
      <c r="E3" s="22" t="s">
        <v>38</v>
      </c>
    </row>
    <row r="4" customFormat="false" ht="41.25" hidden="false" customHeight="true" outlineLevel="0" collapsed="false">
      <c r="A4" s="18"/>
      <c r="B4" s="19" t="n">
        <v>3</v>
      </c>
      <c r="C4" s="20" t="s">
        <v>76</v>
      </c>
      <c r="D4" s="23" t="s">
        <v>352</v>
      </c>
      <c r="E4" s="22" t="s">
        <v>38</v>
      </c>
    </row>
    <row r="5" customFormat="false" ht="27" hidden="false" customHeight="true" outlineLevel="0" collapsed="false">
      <c r="A5" s="18"/>
      <c r="B5" s="19" t="n">
        <v>4</v>
      </c>
      <c r="C5" s="20" t="s">
        <v>78</v>
      </c>
      <c r="D5" s="23" t="s">
        <v>79</v>
      </c>
      <c r="E5" s="22" t="s">
        <v>38</v>
      </c>
    </row>
    <row r="6" customFormat="false" ht="41.25" hidden="false" customHeight="true" outlineLevel="0" collapsed="false">
      <c r="A6" s="18"/>
      <c r="B6" s="19" t="n">
        <v>5</v>
      </c>
      <c r="C6" s="20" t="s">
        <v>80</v>
      </c>
      <c r="D6" s="23" t="s">
        <v>81</v>
      </c>
      <c r="E6" s="22" t="s">
        <v>38</v>
      </c>
    </row>
    <row r="7" customFormat="false" ht="41.25" hidden="false" customHeight="true" outlineLevel="0" collapsed="false">
      <c r="A7" s="18"/>
      <c r="B7" s="19" t="n">
        <v>6</v>
      </c>
      <c r="C7" s="20" t="s">
        <v>82</v>
      </c>
      <c r="D7" s="23" t="s">
        <v>83</v>
      </c>
      <c r="E7" s="22" t="s">
        <v>38</v>
      </c>
    </row>
    <row r="8" customFormat="false" ht="27" hidden="false" customHeight="true" outlineLevel="0" collapsed="false">
      <c r="A8" s="18"/>
      <c r="B8" s="19" t="n">
        <v>7</v>
      </c>
      <c r="C8" s="20" t="s">
        <v>84</v>
      </c>
      <c r="D8" s="23" t="s">
        <v>85</v>
      </c>
      <c r="E8" s="22" t="s">
        <v>38</v>
      </c>
    </row>
    <row r="9" customFormat="false" ht="14.25" hidden="false" customHeight="true" outlineLevel="0" collapsed="false">
      <c r="A9" s="18"/>
      <c r="B9" s="19" t="n">
        <v>8</v>
      </c>
      <c r="C9" s="20" t="s">
        <v>86</v>
      </c>
      <c r="D9" s="20" t="s">
        <v>87</v>
      </c>
      <c r="E9" s="22" t="s">
        <v>38</v>
      </c>
    </row>
    <row r="10" customFormat="false" ht="14.25" hidden="false" customHeight="true" outlineLevel="0" collapsed="false">
      <c r="A10" s="18"/>
      <c r="B10" s="19" t="n">
        <v>9</v>
      </c>
      <c r="C10" s="20" t="s">
        <v>236</v>
      </c>
      <c r="D10" s="20" t="s">
        <v>237</v>
      </c>
      <c r="E10" s="22" t="s">
        <v>38</v>
      </c>
    </row>
    <row r="11" customFormat="false" ht="14.25" hidden="false" customHeight="true" outlineLevel="0" collapsed="false">
      <c r="A11" s="18"/>
      <c r="B11" s="19" t="n">
        <v>10</v>
      </c>
      <c r="C11" s="20" t="s">
        <v>694</v>
      </c>
      <c r="D11" s="20" t="s">
        <v>695</v>
      </c>
      <c r="E11" s="22" t="s">
        <v>38</v>
      </c>
    </row>
    <row r="12" customFormat="false" ht="14.25" hidden="false" customHeight="true" outlineLevel="0" collapsed="false">
      <c r="A12" s="18"/>
      <c r="B12" s="19" t="n">
        <v>11</v>
      </c>
      <c r="C12" s="20" t="s">
        <v>904</v>
      </c>
      <c r="D12" s="20" t="s">
        <v>697</v>
      </c>
      <c r="E12" s="22" t="s">
        <v>38</v>
      </c>
    </row>
    <row r="13" customFormat="false" ht="27" hidden="false" customHeight="true" outlineLevel="0" collapsed="false">
      <c r="A13" s="18"/>
      <c r="B13" s="19" t="n">
        <v>12</v>
      </c>
      <c r="C13" s="20" t="s">
        <v>698</v>
      </c>
      <c r="D13" s="23" t="s">
        <v>699</v>
      </c>
      <c r="E13" s="22" t="s">
        <v>38</v>
      </c>
    </row>
    <row r="14" customFormat="false" ht="41.25" hidden="false" customHeight="true" outlineLevel="0" collapsed="false">
      <c r="A14" s="18"/>
      <c r="B14" s="19" t="n">
        <v>13</v>
      </c>
      <c r="C14" s="20" t="s">
        <v>700</v>
      </c>
      <c r="D14" s="23" t="s">
        <v>905</v>
      </c>
      <c r="E14" s="22" t="s">
        <v>38</v>
      </c>
    </row>
    <row r="15" customFormat="false" ht="54.75" hidden="false" customHeight="true" outlineLevel="0" collapsed="false">
      <c r="A15" s="18"/>
      <c r="B15" s="19" t="n">
        <v>14</v>
      </c>
      <c r="C15" s="20" t="s">
        <v>702</v>
      </c>
      <c r="D15" s="23" t="s">
        <v>703</v>
      </c>
      <c r="E15" s="22" t="s">
        <v>38</v>
      </c>
    </row>
    <row r="16" customFormat="false" ht="13.5" hidden="false" customHeight="true" outlineLevel="0" collapsed="false">
      <c r="A16" s="24"/>
      <c r="B16" s="24"/>
      <c r="C16" s="24"/>
      <c r="D16" s="24"/>
      <c r="E16" s="24"/>
      <c r="F16" s="24"/>
    </row>
    <row r="17" customFormat="false" ht="14.25" hidden="false" customHeight="true" outlineLevel="0" collapsed="false">
      <c r="A17" s="36" t="s">
        <v>906</v>
      </c>
      <c r="B17" s="19" t="n">
        <v>1</v>
      </c>
      <c r="C17" s="1" t="s">
        <v>705</v>
      </c>
      <c r="D17" s="1" t="s">
        <v>907</v>
      </c>
      <c r="E17" s="22" t="s">
        <v>38</v>
      </c>
    </row>
    <row r="18" customFormat="false" ht="14.25" hidden="false" customHeight="true" outlineLevel="0" collapsed="false">
      <c r="A18" s="36"/>
      <c r="B18" s="19" t="n">
        <v>2</v>
      </c>
      <c r="C18" s="1" t="s">
        <v>356</v>
      </c>
      <c r="D18" s="1" t="s">
        <v>357</v>
      </c>
      <c r="E18" s="22" t="s">
        <v>38</v>
      </c>
    </row>
    <row r="19" customFormat="false" ht="27" hidden="false" customHeight="true" outlineLevel="0" collapsed="false">
      <c r="A19" s="36"/>
      <c r="B19" s="19" t="n">
        <v>3</v>
      </c>
      <c r="C19" s="20" t="s">
        <v>95</v>
      </c>
      <c r="D19" s="23" t="s">
        <v>358</v>
      </c>
      <c r="E19" s="22" t="s">
        <v>38</v>
      </c>
    </row>
    <row r="20" customFormat="false" ht="41.25" hidden="false" customHeight="true" outlineLevel="0" collapsed="false">
      <c r="A20" s="36"/>
      <c r="B20" s="19" t="n">
        <v>4</v>
      </c>
      <c r="C20" s="20" t="s">
        <v>908</v>
      </c>
      <c r="D20" s="21" t="s">
        <v>909</v>
      </c>
      <c r="E20" s="22" t="s">
        <v>38</v>
      </c>
    </row>
    <row r="21" customFormat="false" ht="27" hidden="false" customHeight="true" outlineLevel="0" collapsed="false">
      <c r="A21" s="36"/>
      <c r="B21" s="19" t="n">
        <v>5</v>
      </c>
      <c r="C21" s="1" t="s">
        <v>412</v>
      </c>
      <c r="D21" s="21" t="s">
        <v>910</v>
      </c>
      <c r="E21" s="22" t="s">
        <v>38</v>
      </c>
    </row>
  </sheetData>
  <autoFilter ref="A1:G21"/>
  <mergeCells count="2">
    <mergeCell ref="A2:A15"/>
    <mergeCell ref="A17:A21"/>
  </mergeCells>
  <conditionalFormatting sqref="E17:E21">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2:E15">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21"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pane xSplit="0" ySplit="1" topLeftCell="A2" activePane="bottomLeft" state="frozen"/>
      <selection pane="topLeft" activeCell="A4" activeCellId="0" sqref="A4"/>
      <selection pane="bottomLeft" activeCell="C12" activeCellId="0" sqref="C12"/>
    </sheetView>
  </sheetViews>
  <sheetFormatPr defaultColWidth="8.5390625" defaultRowHeight="13.5" customHeight="false" zeroHeight="false" outlineLevelRow="0" outlineLevelCol="0"/>
  <cols>
    <col collapsed="false" customWidth="true" hidden="false" outlineLevel="0" max="1" min="1" style="1" width="26.9"/>
    <col collapsed="false" customWidth="true" hidden="false" outlineLevel="0" max="2" min="2" style="1" width="25.6"/>
    <col collapsed="false" customWidth="true" hidden="false" outlineLevel="0" max="3" min="3" style="1" width="38.3"/>
    <col collapsed="false" customWidth="true" hidden="false" outlineLevel="0" max="4" min="4" style="1" width="35.4"/>
    <col collapsed="false" customWidth="true" hidden="false" outlineLevel="0" max="5" min="5" style="1" width="24.1"/>
    <col collapsed="false" customWidth="true" hidden="false" outlineLevel="0" max="6" min="6" style="1" width="28.9"/>
    <col collapsed="false" customWidth="true" hidden="false" outlineLevel="0" max="7" min="7" style="1" width="12"/>
  </cols>
  <sheetData>
    <row r="1" customFormat="false" ht="13.5" hidden="false" customHeight="true" outlineLevel="0" collapsed="false">
      <c r="A1" s="15" t="s">
        <v>33</v>
      </c>
      <c r="B1" s="16" t="s">
        <v>65</v>
      </c>
      <c r="C1" s="16" t="s">
        <v>66</v>
      </c>
      <c r="D1" s="16" t="s">
        <v>67</v>
      </c>
      <c r="E1" s="16" t="s">
        <v>68</v>
      </c>
      <c r="F1" s="16" t="s">
        <v>69</v>
      </c>
      <c r="G1" s="17" t="s">
        <v>70</v>
      </c>
    </row>
    <row r="2" customFormat="false" ht="14.25" hidden="false" customHeight="true" outlineLevel="0" collapsed="false">
      <c r="A2" s="18" t="s">
        <v>71</v>
      </c>
      <c r="B2" s="19" t="n">
        <v>1</v>
      </c>
      <c r="C2" s="20" t="s">
        <v>911</v>
      </c>
      <c r="D2" s="23" t="s">
        <v>912</v>
      </c>
      <c r="E2" s="22" t="s">
        <v>38</v>
      </c>
    </row>
    <row r="3" customFormat="false" ht="14.25" hidden="false" customHeight="true" outlineLevel="0" collapsed="false">
      <c r="A3" s="18"/>
      <c r="B3" s="19" t="n">
        <v>2</v>
      </c>
      <c r="C3" s="20" t="s">
        <v>913</v>
      </c>
      <c r="D3" s="20" t="s">
        <v>75</v>
      </c>
      <c r="E3" s="22" t="s">
        <v>38</v>
      </c>
    </row>
    <row r="4" customFormat="false" ht="41.25" hidden="false" customHeight="true" outlineLevel="0" collapsed="false">
      <c r="A4" s="18"/>
      <c r="B4" s="19" t="n">
        <v>3</v>
      </c>
      <c r="C4" s="20" t="s">
        <v>76</v>
      </c>
      <c r="D4" s="23" t="s">
        <v>352</v>
      </c>
      <c r="E4" s="22" t="s">
        <v>38</v>
      </c>
    </row>
    <row r="5" customFormat="false" ht="41.25" hidden="false" customHeight="true" outlineLevel="0" collapsed="false">
      <c r="A5" s="18"/>
      <c r="B5" s="19" t="n">
        <v>4</v>
      </c>
      <c r="C5" s="20" t="s">
        <v>78</v>
      </c>
      <c r="D5" s="23" t="s">
        <v>79</v>
      </c>
      <c r="E5" s="22" t="s">
        <v>38</v>
      </c>
    </row>
    <row r="6" customFormat="false" ht="41.25" hidden="false" customHeight="true" outlineLevel="0" collapsed="false">
      <c r="A6" s="18"/>
      <c r="B6" s="19" t="n">
        <v>5</v>
      </c>
      <c r="C6" s="20" t="s">
        <v>80</v>
      </c>
      <c r="D6" s="23" t="s">
        <v>81</v>
      </c>
      <c r="E6" s="22" t="s">
        <v>38</v>
      </c>
    </row>
    <row r="7" customFormat="false" ht="54.75" hidden="false" customHeight="true" outlineLevel="0" collapsed="false">
      <c r="A7" s="18"/>
      <c r="B7" s="19" t="n">
        <v>6</v>
      </c>
      <c r="C7" s="20" t="s">
        <v>82</v>
      </c>
      <c r="D7" s="23" t="s">
        <v>83</v>
      </c>
      <c r="E7" s="22" t="s">
        <v>38</v>
      </c>
    </row>
    <row r="8" customFormat="false" ht="41.25" hidden="false" customHeight="true" outlineLevel="0" collapsed="false">
      <c r="A8" s="18"/>
      <c r="B8" s="19" t="n">
        <v>7</v>
      </c>
      <c r="C8" s="20" t="s">
        <v>84</v>
      </c>
      <c r="D8" s="23" t="s">
        <v>85</v>
      </c>
      <c r="E8" s="22" t="s">
        <v>38</v>
      </c>
    </row>
    <row r="9" customFormat="false" ht="14.25" hidden="false" customHeight="true" outlineLevel="0" collapsed="false">
      <c r="A9" s="18"/>
      <c r="B9" s="19" t="n">
        <v>8</v>
      </c>
      <c r="C9" s="20" t="s">
        <v>86</v>
      </c>
      <c r="D9" s="20" t="s">
        <v>87</v>
      </c>
      <c r="E9" s="22" t="s">
        <v>38</v>
      </c>
    </row>
    <row r="10" customFormat="false" ht="14.25" hidden="false" customHeight="true" outlineLevel="0" collapsed="false">
      <c r="A10" s="18"/>
      <c r="B10" s="19" t="n">
        <v>9</v>
      </c>
      <c r="C10" s="20" t="s">
        <v>236</v>
      </c>
      <c r="D10" s="20" t="s">
        <v>237</v>
      </c>
      <c r="E10" s="22" t="s">
        <v>38</v>
      </c>
    </row>
    <row r="11" customFormat="false" ht="14.25" hidden="false" customHeight="true" outlineLevel="0" collapsed="false">
      <c r="A11" s="18"/>
      <c r="B11" s="19" t="n">
        <v>10</v>
      </c>
      <c r="C11" s="20" t="s">
        <v>694</v>
      </c>
      <c r="D11" s="20" t="s">
        <v>695</v>
      </c>
      <c r="E11" s="22" t="s">
        <v>38</v>
      </c>
    </row>
    <row r="12" customFormat="false" ht="14.25" hidden="false" customHeight="true" outlineLevel="0" collapsed="false">
      <c r="A12" s="18"/>
      <c r="B12" s="19" t="n">
        <v>11</v>
      </c>
      <c r="C12" s="20" t="s">
        <v>914</v>
      </c>
      <c r="D12" s="20" t="s">
        <v>697</v>
      </c>
      <c r="E12" s="22" t="s">
        <v>38</v>
      </c>
    </row>
    <row r="13" customFormat="false" ht="27" hidden="false" customHeight="true" outlineLevel="0" collapsed="false">
      <c r="A13" s="18"/>
      <c r="B13" s="19" t="n">
        <v>12</v>
      </c>
      <c r="C13" s="20" t="s">
        <v>698</v>
      </c>
      <c r="D13" s="23" t="s">
        <v>699</v>
      </c>
      <c r="E13" s="22" t="s">
        <v>38</v>
      </c>
    </row>
    <row r="14" customFormat="false" ht="41.25" hidden="false" customHeight="true" outlineLevel="0" collapsed="false">
      <c r="A14" s="18"/>
      <c r="B14" s="19" t="n">
        <v>13</v>
      </c>
      <c r="C14" s="20" t="s">
        <v>700</v>
      </c>
      <c r="D14" s="23" t="s">
        <v>915</v>
      </c>
      <c r="E14" s="22" t="s">
        <v>38</v>
      </c>
    </row>
    <row r="15" customFormat="false" ht="54.75" hidden="false" customHeight="true" outlineLevel="0" collapsed="false">
      <c r="A15" s="18"/>
      <c r="B15" s="19" t="n">
        <v>14</v>
      </c>
      <c r="C15" s="20" t="s">
        <v>702</v>
      </c>
      <c r="D15" s="23" t="s">
        <v>703</v>
      </c>
      <c r="E15" s="22" t="s">
        <v>38</v>
      </c>
    </row>
    <row r="16" customFormat="false" ht="13.5" hidden="false" customHeight="true" outlineLevel="0" collapsed="false">
      <c r="A16" s="24"/>
      <c r="B16" s="24"/>
      <c r="C16" s="24"/>
      <c r="D16" s="24"/>
      <c r="E16" s="24"/>
      <c r="F16" s="24"/>
    </row>
    <row r="17" customFormat="false" ht="14.25" hidden="false" customHeight="true" outlineLevel="0" collapsed="false">
      <c r="A17" s="36" t="s">
        <v>916</v>
      </c>
      <c r="B17" s="19" t="n">
        <v>1</v>
      </c>
      <c r="C17" s="1" t="s">
        <v>354</v>
      </c>
      <c r="D17" s="1" t="s">
        <v>917</v>
      </c>
      <c r="E17" s="22" t="s">
        <v>38</v>
      </c>
    </row>
    <row r="18" customFormat="false" ht="14.25" hidden="false" customHeight="true" outlineLevel="0" collapsed="false">
      <c r="A18" s="36"/>
      <c r="B18" s="19" t="n">
        <v>2</v>
      </c>
      <c r="C18" s="1" t="s">
        <v>356</v>
      </c>
      <c r="D18" s="1" t="s">
        <v>357</v>
      </c>
      <c r="E18" s="22" t="s">
        <v>38</v>
      </c>
    </row>
    <row r="19" customFormat="false" ht="27" hidden="false" customHeight="true" outlineLevel="0" collapsed="false">
      <c r="A19" s="36"/>
      <c r="B19" s="19" t="n">
        <v>3</v>
      </c>
      <c r="C19" s="20" t="s">
        <v>95</v>
      </c>
      <c r="D19" s="23" t="s">
        <v>358</v>
      </c>
      <c r="E19" s="22" t="s">
        <v>38</v>
      </c>
    </row>
    <row r="20" customFormat="false" ht="41.25" hidden="false" customHeight="true" outlineLevel="0" collapsed="false">
      <c r="A20" s="36"/>
      <c r="B20" s="19" t="n">
        <v>4</v>
      </c>
      <c r="C20" s="20" t="s">
        <v>918</v>
      </c>
      <c r="D20" s="21" t="s">
        <v>919</v>
      </c>
      <c r="E20" s="22" t="s">
        <v>38</v>
      </c>
    </row>
    <row r="21" customFormat="false" ht="27" hidden="false" customHeight="true" outlineLevel="0" collapsed="false">
      <c r="A21" s="36"/>
      <c r="B21" s="19" t="n">
        <v>5</v>
      </c>
      <c r="C21" s="1" t="s">
        <v>136</v>
      </c>
      <c r="D21" s="21" t="s">
        <v>920</v>
      </c>
      <c r="E21" s="22" t="s">
        <v>38</v>
      </c>
    </row>
  </sheetData>
  <autoFilter ref="A1:G21"/>
  <mergeCells count="2">
    <mergeCell ref="A2:A15"/>
    <mergeCell ref="A17:A21"/>
  </mergeCells>
  <conditionalFormatting sqref="E17:E21">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2:E15">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21"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pane xSplit="0" ySplit="1" topLeftCell="A2" activePane="bottomLeft" state="frozen"/>
      <selection pane="topLeft" activeCell="A4" activeCellId="0" sqref="A4"/>
      <selection pane="bottomLeft" activeCell="C12" activeCellId="0" sqref="C12"/>
    </sheetView>
  </sheetViews>
  <sheetFormatPr defaultColWidth="8.5390625" defaultRowHeight="13.5" customHeight="false" zeroHeight="false" outlineLevelRow="0" outlineLevelCol="0"/>
  <cols>
    <col collapsed="false" customWidth="true" hidden="false" outlineLevel="0" max="1" min="1" style="1" width="21.1"/>
    <col collapsed="false" customWidth="true" hidden="false" outlineLevel="0" max="2" min="2" style="1" width="26.4"/>
    <col collapsed="false" customWidth="true" hidden="false" outlineLevel="0" max="3" min="3" style="1" width="39.4"/>
    <col collapsed="false" customWidth="true" hidden="false" outlineLevel="0" max="4" min="4" style="1" width="42.4"/>
    <col collapsed="false" customWidth="true" hidden="false" outlineLevel="0" max="5" min="5" style="1" width="32.3"/>
    <col collapsed="false" customWidth="true" hidden="false" outlineLevel="0" max="6" min="6" style="1" width="33.7"/>
    <col collapsed="false" customWidth="true" hidden="false" outlineLevel="0" max="7" min="7" style="1" width="12"/>
  </cols>
  <sheetData>
    <row r="1" customFormat="false" ht="13.5" hidden="false" customHeight="true" outlineLevel="0" collapsed="false">
      <c r="A1" s="15" t="s">
        <v>33</v>
      </c>
      <c r="B1" s="16" t="s">
        <v>65</v>
      </c>
      <c r="C1" s="16" t="s">
        <v>66</v>
      </c>
      <c r="D1" s="16" t="s">
        <v>67</v>
      </c>
      <c r="E1" s="16" t="s">
        <v>68</v>
      </c>
      <c r="F1" s="16" t="s">
        <v>69</v>
      </c>
      <c r="G1" s="17" t="s">
        <v>70</v>
      </c>
    </row>
    <row r="2" customFormat="false" ht="14.25" hidden="false" customHeight="true" outlineLevel="0" collapsed="false">
      <c r="A2" s="18" t="s">
        <v>71</v>
      </c>
      <c r="B2" s="19" t="n">
        <v>1</v>
      </c>
      <c r="C2" s="20" t="s">
        <v>921</v>
      </c>
      <c r="D2" s="23" t="s">
        <v>922</v>
      </c>
      <c r="E2" s="22" t="s">
        <v>38</v>
      </c>
    </row>
    <row r="3" customFormat="false" ht="14.25" hidden="false" customHeight="true" outlineLevel="0" collapsed="false">
      <c r="A3" s="18"/>
      <c r="B3" s="19" t="n">
        <v>2</v>
      </c>
      <c r="C3" s="20" t="s">
        <v>923</v>
      </c>
      <c r="D3" s="20" t="s">
        <v>75</v>
      </c>
      <c r="E3" s="22" t="s">
        <v>38</v>
      </c>
    </row>
    <row r="4" customFormat="false" ht="41.25" hidden="false" customHeight="true" outlineLevel="0" collapsed="false">
      <c r="A4" s="18"/>
      <c r="B4" s="19" t="n">
        <v>3</v>
      </c>
      <c r="C4" s="20" t="s">
        <v>76</v>
      </c>
      <c r="D4" s="23" t="s">
        <v>352</v>
      </c>
      <c r="E4" s="22" t="s">
        <v>38</v>
      </c>
    </row>
    <row r="5" customFormat="false" ht="27" hidden="false" customHeight="true" outlineLevel="0" collapsed="false">
      <c r="A5" s="18"/>
      <c r="B5" s="19" t="n">
        <v>4</v>
      </c>
      <c r="C5" s="20" t="s">
        <v>78</v>
      </c>
      <c r="D5" s="23" t="s">
        <v>79</v>
      </c>
      <c r="E5" s="22" t="s">
        <v>38</v>
      </c>
    </row>
    <row r="6" customFormat="false" ht="41.25" hidden="false" customHeight="true" outlineLevel="0" collapsed="false">
      <c r="A6" s="18"/>
      <c r="B6" s="19" t="n">
        <v>5</v>
      </c>
      <c r="C6" s="20" t="s">
        <v>80</v>
      </c>
      <c r="D6" s="23" t="s">
        <v>81</v>
      </c>
      <c r="E6" s="22" t="s">
        <v>38</v>
      </c>
    </row>
    <row r="7" customFormat="false" ht="41.25" hidden="false" customHeight="true" outlineLevel="0" collapsed="false">
      <c r="A7" s="18"/>
      <c r="B7" s="19" t="n">
        <v>6</v>
      </c>
      <c r="C7" s="20" t="s">
        <v>82</v>
      </c>
      <c r="D7" s="23" t="s">
        <v>83</v>
      </c>
      <c r="E7" s="22" t="s">
        <v>38</v>
      </c>
    </row>
    <row r="8" customFormat="false" ht="27" hidden="false" customHeight="true" outlineLevel="0" collapsed="false">
      <c r="A8" s="18"/>
      <c r="B8" s="19" t="n">
        <v>7</v>
      </c>
      <c r="C8" s="20" t="s">
        <v>84</v>
      </c>
      <c r="D8" s="23" t="s">
        <v>85</v>
      </c>
      <c r="E8" s="22" t="s">
        <v>38</v>
      </c>
    </row>
    <row r="9" customFormat="false" ht="14.25" hidden="false" customHeight="true" outlineLevel="0" collapsed="false">
      <c r="A9" s="18"/>
      <c r="B9" s="19" t="n">
        <v>8</v>
      </c>
      <c r="C9" s="20" t="s">
        <v>86</v>
      </c>
      <c r="D9" s="20" t="s">
        <v>87</v>
      </c>
      <c r="E9" s="22" t="s">
        <v>38</v>
      </c>
    </row>
    <row r="10" customFormat="false" ht="14.25" hidden="false" customHeight="true" outlineLevel="0" collapsed="false">
      <c r="A10" s="18"/>
      <c r="B10" s="19" t="n">
        <v>9</v>
      </c>
      <c r="C10" s="20" t="s">
        <v>236</v>
      </c>
      <c r="D10" s="20" t="s">
        <v>237</v>
      </c>
      <c r="E10" s="22" t="s">
        <v>38</v>
      </c>
    </row>
    <row r="11" customFormat="false" ht="14.25" hidden="false" customHeight="true" outlineLevel="0" collapsed="false">
      <c r="A11" s="18"/>
      <c r="B11" s="19" t="n">
        <v>10</v>
      </c>
      <c r="C11" s="20" t="s">
        <v>694</v>
      </c>
      <c r="D11" s="20" t="s">
        <v>695</v>
      </c>
      <c r="E11" s="22" t="s">
        <v>38</v>
      </c>
    </row>
    <row r="12" customFormat="false" ht="14.25" hidden="false" customHeight="true" outlineLevel="0" collapsed="false">
      <c r="A12" s="18"/>
      <c r="B12" s="19" t="n">
        <v>11</v>
      </c>
      <c r="C12" s="20" t="s">
        <v>924</v>
      </c>
      <c r="D12" s="20" t="s">
        <v>697</v>
      </c>
      <c r="E12" s="22" t="s">
        <v>38</v>
      </c>
    </row>
    <row r="13" customFormat="false" ht="27" hidden="false" customHeight="true" outlineLevel="0" collapsed="false">
      <c r="A13" s="18"/>
      <c r="B13" s="19" t="n">
        <v>12</v>
      </c>
      <c r="C13" s="20" t="s">
        <v>698</v>
      </c>
      <c r="D13" s="23" t="s">
        <v>699</v>
      </c>
      <c r="E13" s="22" t="s">
        <v>38</v>
      </c>
    </row>
    <row r="14" customFormat="false" ht="41.25" hidden="false" customHeight="true" outlineLevel="0" collapsed="false">
      <c r="A14" s="18"/>
      <c r="B14" s="19" t="n">
        <v>13</v>
      </c>
      <c r="C14" s="20" t="s">
        <v>700</v>
      </c>
      <c r="D14" s="23" t="s">
        <v>915</v>
      </c>
      <c r="E14" s="22" t="s">
        <v>38</v>
      </c>
    </row>
    <row r="15" customFormat="false" ht="54.75" hidden="false" customHeight="true" outlineLevel="0" collapsed="false">
      <c r="A15" s="18"/>
      <c r="B15" s="19" t="n">
        <v>14</v>
      </c>
      <c r="C15" s="20" t="s">
        <v>702</v>
      </c>
      <c r="D15" s="23" t="s">
        <v>703</v>
      </c>
      <c r="E15" s="22" t="s">
        <v>38</v>
      </c>
    </row>
    <row r="16" customFormat="false" ht="13.5" hidden="false" customHeight="true" outlineLevel="0" collapsed="false">
      <c r="A16" s="24"/>
      <c r="B16" s="24"/>
      <c r="C16" s="24"/>
      <c r="D16" s="24"/>
      <c r="E16" s="24"/>
      <c r="F16" s="24"/>
    </row>
    <row r="17" customFormat="false" ht="14.25" hidden="false" customHeight="true" outlineLevel="0" collapsed="false">
      <c r="A17" s="36" t="s">
        <v>925</v>
      </c>
      <c r="B17" s="19" t="n">
        <v>1</v>
      </c>
      <c r="C17" s="1" t="s">
        <v>705</v>
      </c>
      <c r="D17" s="1" t="s">
        <v>926</v>
      </c>
      <c r="E17" s="22" t="s">
        <v>38</v>
      </c>
    </row>
    <row r="18" customFormat="false" ht="14.25" hidden="false" customHeight="true" outlineLevel="0" collapsed="false">
      <c r="A18" s="36"/>
      <c r="B18" s="19" t="n">
        <v>2</v>
      </c>
      <c r="C18" s="1" t="s">
        <v>356</v>
      </c>
      <c r="D18" s="1" t="s">
        <v>357</v>
      </c>
      <c r="E18" s="22" t="s">
        <v>38</v>
      </c>
    </row>
    <row r="19" customFormat="false" ht="27" hidden="false" customHeight="true" outlineLevel="0" collapsed="false">
      <c r="A19" s="36"/>
      <c r="B19" s="19" t="n">
        <v>3</v>
      </c>
      <c r="C19" s="20" t="s">
        <v>95</v>
      </c>
      <c r="D19" s="23" t="s">
        <v>358</v>
      </c>
      <c r="E19" s="22" t="s">
        <v>38</v>
      </c>
    </row>
    <row r="20" customFormat="false" ht="27" hidden="false" customHeight="true" outlineLevel="0" collapsed="false">
      <c r="A20" s="36"/>
      <c r="B20" s="19" t="n">
        <v>4</v>
      </c>
      <c r="C20" s="33" t="s">
        <v>918</v>
      </c>
      <c r="D20" s="21" t="s">
        <v>927</v>
      </c>
      <c r="E20" s="22" t="s">
        <v>38</v>
      </c>
    </row>
    <row r="21" customFormat="false" ht="27" hidden="false" customHeight="true" outlineLevel="0" collapsed="false">
      <c r="A21" s="36"/>
      <c r="B21" s="19" t="n">
        <v>5</v>
      </c>
      <c r="C21" s="33" t="s">
        <v>928</v>
      </c>
      <c r="D21" s="21" t="s">
        <v>929</v>
      </c>
      <c r="E21" s="22" t="s">
        <v>38</v>
      </c>
    </row>
  </sheetData>
  <autoFilter ref="A1:G21"/>
  <mergeCells count="2">
    <mergeCell ref="A2:A15"/>
    <mergeCell ref="A17:A21"/>
  </mergeCells>
  <conditionalFormatting sqref="E17:E21">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2:E15">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21"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5" colorId="64" zoomScale="100" zoomScaleNormal="100" zoomScalePageLayoutView="100" workbookViewId="0">
      <pane xSplit="0" ySplit="1" topLeftCell="A2" activePane="bottomLeft" state="frozen"/>
      <selection pane="topLeft" activeCell="A5" activeCellId="0" sqref="A5"/>
      <selection pane="bottomLeft" activeCell="C12" activeCellId="0" sqref="C12"/>
    </sheetView>
  </sheetViews>
  <sheetFormatPr defaultColWidth="8.5390625" defaultRowHeight="13.5" customHeight="false" zeroHeight="false" outlineLevelRow="0" outlineLevelCol="0"/>
  <cols>
    <col collapsed="false" customWidth="true" hidden="false" outlineLevel="0" max="1" min="1" style="1" width="23.1"/>
    <col collapsed="false" customWidth="true" hidden="false" outlineLevel="0" max="2" min="2" style="1" width="27.7"/>
    <col collapsed="false" customWidth="true" hidden="false" outlineLevel="0" max="3" min="3" style="1" width="34.7"/>
    <col collapsed="false" customWidth="true" hidden="false" outlineLevel="0" max="4" min="4" style="1" width="42.4"/>
    <col collapsed="false" customWidth="true" hidden="false" outlineLevel="0" max="5" min="5" style="1" width="34.4"/>
    <col collapsed="false" customWidth="true" hidden="false" outlineLevel="0" max="6" min="6" style="1" width="35"/>
    <col collapsed="false" customWidth="true" hidden="false" outlineLevel="0" max="7" min="7" style="1" width="12"/>
  </cols>
  <sheetData>
    <row r="1" customFormat="false" ht="13.5" hidden="false" customHeight="true" outlineLevel="0" collapsed="false">
      <c r="A1" s="15" t="s">
        <v>33</v>
      </c>
      <c r="B1" s="16" t="s">
        <v>65</v>
      </c>
      <c r="C1" s="16" t="s">
        <v>66</v>
      </c>
      <c r="D1" s="16" t="s">
        <v>67</v>
      </c>
      <c r="E1" s="16" t="s">
        <v>68</v>
      </c>
      <c r="F1" s="16" t="s">
        <v>69</v>
      </c>
      <c r="G1" s="17" t="s">
        <v>70</v>
      </c>
    </row>
    <row r="2" customFormat="false" ht="14.25" hidden="false" customHeight="true" outlineLevel="0" collapsed="false">
      <c r="A2" s="18" t="s">
        <v>71</v>
      </c>
      <c r="B2" s="19" t="n">
        <v>1</v>
      </c>
      <c r="C2" s="20" t="s">
        <v>930</v>
      </c>
      <c r="D2" s="23" t="s">
        <v>931</v>
      </c>
      <c r="E2" s="22" t="s">
        <v>38</v>
      </c>
    </row>
    <row r="3" customFormat="false" ht="14.25" hidden="false" customHeight="true" outlineLevel="0" collapsed="false">
      <c r="A3" s="18"/>
      <c r="B3" s="19" t="n">
        <v>2</v>
      </c>
      <c r="C3" s="20" t="s">
        <v>932</v>
      </c>
      <c r="D3" s="20" t="s">
        <v>75</v>
      </c>
      <c r="E3" s="22" t="s">
        <v>38</v>
      </c>
    </row>
    <row r="4" customFormat="false" ht="41.25" hidden="false" customHeight="true" outlineLevel="0" collapsed="false">
      <c r="A4" s="18"/>
      <c r="B4" s="19" t="n">
        <v>3</v>
      </c>
      <c r="C4" s="20" t="s">
        <v>76</v>
      </c>
      <c r="D4" s="23" t="s">
        <v>352</v>
      </c>
      <c r="E4" s="22" t="s">
        <v>38</v>
      </c>
    </row>
    <row r="5" customFormat="false" ht="27" hidden="false" customHeight="true" outlineLevel="0" collapsed="false">
      <c r="A5" s="18"/>
      <c r="B5" s="19" t="n">
        <v>4</v>
      </c>
      <c r="C5" s="20" t="s">
        <v>78</v>
      </c>
      <c r="D5" s="23" t="s">
        <v>79</v>
      </c>
      <c r="E5" s="22" t="s">
        <v>38</v>
      </c>
    </row>
    <row r="6" customFormat="false" ht="41.25" hidden="false" customHeight="true" outlineLevel="0" collapsed="false">
      <c r="A6" s="18"/>
      <c r="B6" s="19" t="n">
        <v>5</v>
      </c>
      <c r="C6" s="20" t="s">
        <v>80</v>
      </c>
      <c r="D6" s="23" t="s">
        <v>81</v>
      </c>
      <c r="E6" s="22" t="s">
        <v>38</v>
      </c>
    </row>
    <row r="7" customFormat="false" ht="41.25" hidden="false" customHeight="true" outlineLevel="0" collapsed="false">
      <c r="A7" s="18"/>
      <c r="B7" s="19" t="n">
        <v>6</v>
      </c>
      <c r="C7" s="20" t="s">
        <v>82</v>
      </c>
      <c r="D7" s="23" t="s">
        <v>83</v>
      </c>
      <c r="E7" s="22" t="s">
        <v>38</v>
      </c>
    </row>
    <row r="8" customFormat="false" ht="27" hidden="false" customHeight="true" outlineLevel="0" collapsed="false">
      <c r="A8" s="18"/>
      <c r="B8" s="19" t="n">
        <v>7</v>
      </c>
      <c r="C8" s="20" t="s">
        <v>84</v>
      </c>
      <c r="D8" s="23" t="s">
        <v>85</v>
      </c>
      <c r="E8" s="22" t="s">
        <v>38</v>
      </c>
    </row>
    <row r="9" customFormat="false" ht="14.25" hidden="false" customHeight="true" outlineLevel="0" collapsed="false">
      <c r="A9" s="18"/>
      <c r="B9" s="19" t="n">
        <v>8</v>
      </c>
      <c r="C9" s="20" t="s">
        <v>86</v>
      </c>
      <c r="D9" s="20" t="s">
        <v>87</v>
      </c>
      <c r="E9" s="22" t="s">
        <v>38</v>
      </c>
    </row>
    <row r="10" customFormat="false" ht="14.25" hidden="false" customHeight="true" outlineLevel="0" collapsed="false">
      <c r="A10" s="18"/>
      <c r="B10" s="19" t="n">
        <v>9</v>
      </c>
      <c r="C10" s="20" t="s">
        <v>236</v>
      </c>
      <c r="D10" s="20" t="s">
        <v>237</v>
      </c>
      <c r="E10" s="22" t="s">
        <v>38</v>
      </c>
    </row>
    <row r="11" customFormat="false" ht="14.25" hidden="false" customHeight="true" outlineLevel="0" collapsed="false">
      <c r="A11" s="18"/>
      <c r="B11" s="19" t="n">
        <v>10</v>
      </c>
      <c r="C11" s="20" t="s">
        <v>694</v>
      </c>
      <c r="D11" s="20" t="s">
        <v>695</v>
      </c>
      <c r="E11" s="22" t="s">
        <v>38</v>
      </c>
    </row>
    <row r="12" customFormat="false" ht="14.25" hidden="false" customHeight="true" outlineLevel="0" collapsed="false">
      <c r="A12" s="18"/>
      <c r="B12" s="19" t="n">
        <v>11</v>
      </c>
      <c r="C12" s="20" t="s">
        <v>933</v>
      </c>
      <c r="D12" s="20" t="s">
        <v>697</v>
      </c>
      <c r="E12" s="22" t="s">
        <v>38</v>
      </c>
    </row>
    <row r="13" customFormat="false" ht="27" hidden="false" customHeight="true" outlineLevel="0" collapsed="false">
      <c r="A13" s="18"/>
      <c r="B13" s="19" t="n">
        <v>12</v>
      </c>
      <c r="C13" s="20" t="s">
        <v>698</v>
      </c>
      <c r="D13" s="23" t="s">
        <v>699</v>
      </c>
      <c r="E13" s="22" t="s">
        <v>38</v>
      </c>
    </row>
    <row r="14" customFormat="false" ht="41.25" hidden="false" customHeight="true" outlineLevel="0" collapsed="false">
      <c r="A14" s="18"/>
      <c r="B14" s="19" t="n">
        <v>13</v>
      </c>
      <c r="C14" s="20" t="s">
        <v>700</v>
      </c>
      <c r="D14" s="23" t="s">
        <v>915</v>
      </c>
      <c r="E14" s="22" t="s">
        <v>38</v>
      </c>
    </row>
    <row r="15" customFormat="false" ht="54.75" hidden="false" customHeight="true" outlineLevel="0" collapsed="false">
      <c r="A15" s="18"/>
      <c r="B15" s="19" t="n">
        <v>14</v>
      </c>
      <c r="C15" s="20" t="s">
        <v>702</v>
      </c>
      <c r="D15" s="23" t="s">
        <v>703</v>
      </c>
      <c r="E15" s="22" t="s">
        <v>38</v>
      </c>
    </row>
    <row r="16" customFormat="false" ht="13.5" hidden="false" customHeight="true" outlineLevel="0" collapsed="false">
      <c r="A16" s="24"/>
      <c r="B16" s="24"/>
      <c r="C16" s="24"/>
      <c r="D16" s="24"/>
      <c r="E16" s="24"/>
      <c r="F16" s="24"/>
    </row>
    <row r="17" customFormat="false" ht="14.25" hidden="false" customHeight="true" outlineLevel="0" collapsed="false">
      <c r="A17" s="18" t="s">
        <v>934</v>
      </c>
      <c r="B17" s="19" t="n">
        <v>1</v>
      </c>
      <c r="C17" s="1" t="s">
        <v>705</v>
      </c>
      <c r="D17" s="1" t="s">
        <v>935</v>
      </c>
      <c r="E17" s="22" t="s">
        <v>38</v>
      </c>
    </row>
    <row r="18" customFormat="false" ht="14.25" hidden="false" customHeight="true" outlineLevel="0" collapsed="false">
      <c r="A18" s="18"/>
      <c r="B18" s="19" t="n">
        <v>2</v>
      </c>
      <c r="C18" s="1" t="s">
        <v>714</v>
      </c>
      <c r="D18" s="1" t="s">
        <v>936</v>
      </c>
      <c r="E18" s="22" t="s">
        <v>38</v>
      </c>
    </row>
    <row r="19" customFormat="false" ht="14.25" hidden="false" customHeight="true" outlineLevel="0" collapsed="false">
      <c r="A19" s="18"/>
      <c r="B19" s="19" t="n">
        <v>3</v>
      </c>
      <c r="C19" s="1" t="s">
        <v>752</v>
      </c>
      <c r="D19" s="1" t="s">
        <v>753</v>
      </c>
      <c r="E19" s="22" t="s">
        <v>38</v>
      </c>
    </row>
    <row r="20" customFormat="false" ht="14.25" hidden="false" customHeight="true" outlineLevel="0" collapsed="false">
      <c r="A20" s="18"/>
      <c r="B20" s="19" t="n">
        <v>4</v>
      </c>
      <c r="C20" s="1" t="s">
        <v>937</v>
      </c>
      <c r="D20" s="1" t="s">
        <v>594</v>
      </c>
      <c r="E20" s="22" t="s">
        <v>38</v>
      </c>
    </row>
    <row r="21" customFormat="false" ht="14.25" hidden="false" customHeight="true" outlineLevel="0" collapsed="false">
      <c r="A21" s="18"/>
      <c r="B21" s="19" t="n">
        <v>5</v>
      </c>
      <c r="C21" s="1" t="s">
        <v>718</v>
      </c>
      <c r="D21" s="1" t="s">
        <v>938</v>
      </c>
      <c r="E21" s="22" t="s">
        <v>38</v>
      </c>
    </row>
    <row r="22" customFormat="false" ht="14.25" hidden="false" customHeight="true" outlineLevel="0" collapsed="false">
      <c r="A22" s="18"/>
      <c r="B22" s="19" t="n">
        <v>6</v>
      </c>
      <c r="C22" s="1" t="s">
        <v>421</v>
      </c>
      <c r="D22" s="1" t="s">
        <v>939</v>
      </c>
      <c r="E22" s="22" t="s">
        <v>38</v>
      </c>
    </row>
    <row r="23" customFormat="false" ht="14.25" hidden="false" customHeight="true" outlineLevel="0" collapsed="false">
      <c r="A23" s="18"/>
      <c r="B23" s="19" t="n">
        <v>7</v>
      </c>
      <c r="C23" s="1" t="s">
        <v>940</v>
      </c>
      <c r="D23" s="1" t="s">
        <v>941</v>
      </c>
      <c r="E23" s="22" t="s">
        <v>38</v>
      </c>
    </row>
    <row r="24" customFormat="false" ht="14.25" hidden="false" customHeight="true" outlineLevel="0" collapsed="false">
      <c r="A24" s="18"/>
      <c r="B24" s="19" t="n">
        <v>8</v>
      </c>
      <c r="C24" s="1" t="s">
        <v>942</v>
      </c>
      <c r="D24" s="1" t="s">
        <v>943</v>
      </c>
      <c r="E24" s="22" t="s">
        <v>38</v>
      </c>
    </row>
    <row r="25" customFormat="false" ht="14.25" hidden="false" customHeight="true" outlineLevel="0" collapsed="false">
      <c r="A25" s="18"/>
      <c r="B25" s="19" t="n">
        <v>9</v>
      </c>
      <c r="C25" s="1" t="s">
        <v>944</v>
      </c>
      <c r="D25" s="1" t="s">
        <v>594</v>
      </c>
      <c r="E25" s="22" t="s">
        <v>38</v>
      </c>
    </row>
    <row r="26" customFormat="false" ht="14.25" hidden="false" customHeight="true" outlineLevel="0" collapsed="false">
      <c r="A26" s="18"/>
      <c r="B26" s="19" t="n">
        <v>10</v>
      </c>
      <c r="C26" s="1" t="s">
        <v>945</v>
      </c>
      <c r="D26" s="1" t="s">
        <v>383</v>
      </c>
      <c r="E26" s="22" t="s">
        <v>38</v>
      </c>
    </row>
    <row r="27" customFormat="false" ht="14.25" hidden="false" customHeight="true" outlineLevel="0" collapsed="false">
      <c r="A27" s="18"/>
      <c r="B27" s="19" t="n">
        <v>11</v>
      </c>
      <c r="C27" s="1" t="s">
        <v>946</v>
      </c>
      <c r="D27" s="1" t="s">
        <v>422</v>
      </c>
      <c r="E27" s="22" t="s">
        <v>38</v>
      </c>
    </row>
    <row r="28" customFormat="false" ht="14.25" hidden="false" customHeight="true" outlineLevel="0" collapsed="false">
      <c r="A28" s="18"/>
      <c r="B28" s="19" t="n">
        <v>12</v>
      </c>
      <c r="C28" s="1" t="s">
        <v>947</v>
      </c>
      <c r="D28" s="1" t="s">
        <v>424</v>
      </c>
      <c r="E28" s="22" t="s">
        <v>38</v>
      </c>
    </row>
    <row r="29" customFormat="false" ht="14.25" hidden="false" customHeight="true" outlineLevel="0" collapsed="false">
      <c r="A29" s="18"/>
      <c r="B29" s="19" t="n">
        <v>13</v>
      </c>
      <c r="C29" s="1" t="s">
        <v>948</v>
      </c>
      <c r="D29" s="1" t="s">
        <v>949</v>
      </c>
      <c r="E29" s="22" t="s">
        <v>38</v>
      </c>
    </row>
    <row r="30" customFormat="false" ht="27" hidden="false" customHeight="true" outlineLevel="0" collapsed="false">
      <c r="A30" s="18"/>
      <c r="B30" s="19" t="n">
        <v>14</v>
      </c>
      <c r="C30" s="1" t="s">
        <v>614</v>
      </c>
      <c r="D30" s="21" t="s">
        <v>950</v>
      </c>
      <c r="E30" s="22" t="s">
        <v>38</v>
      </c>
    </row>
  </sheetData>
  <autoFilter ref="A1:G30"/>
  <mergeCells count="2">
    <mergeCell ref="A2:A15"/>
    <mergeCell ref="A17:A30"/>
  </mergeCells>
  <conditionalFormatting sqref="E17:E30">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2:E15">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30"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6" colorId="64" zoomScale="100" zoomScaleNormal="100" zoomScalePageLayoutView="100" workbookViewId="0">
      <pane xSplit="0" ySplit="1" topLeftCell="A2" activePane="bottomLeft" state="frozen"/>
      <selection pane="topLeft" activeCell="A6" activeCellId="0" sqref="A6"/>
      <selection pane="bottomLeft" activeCell="A1" activeCellId="0" sqref="A1"/>
    </sheetView>
  </sheetViews>
  <sheetFormatPr defaultColWidth="8.5390625" defaultRowHeight="13.5" customHeight="false" zeroHeight="false" outlineLevelRow="0" outlineLevelCol="0"/>
  <cols>
    <col collapsed="false" customWidth="true" hidden="false" outlineLevel="0" max="1" min="1" style="1" width="22.7"/>
    <col collapsed="false" customWidth="true" hidden="false" outlineLevel="0" max="2" min="2" style="1" width="23.1"/>
    <col collapsed="false" customWidth="true" hidden="false" outlineLevel="0" max="3" min="3" style="1" width="36.9"/>
    <col collapsed="false" customWidth="true" hidden="false" outlineLevel="0" max="4" min="4" style="1" width="38.4"/>
    <col collapsed="false" customWidth="true" hidden="false" outlineLevel="0" max="5" min="5" style="1" width="31"/>
    <col collapsed="false" customWidth="true" hidden="false" outlineLevel="0" max="6" min="6" style="1" width="36.3"/>
    <col collapsed="false" customWidth="true" hidden="false" outlineLevel="0" max="7" min="7" style="1" width="12"/>
  </cols>
  <sheetData>
    <row r="1" customFormat="false" ht="13.5" hidden="false" customHeight="true" outlineLevel="0" collapsed="false">
      <c r="A1" s="15" t="s">
        <v>33</v>
      </c>
      <c r="B1" s="16" t="s">
        <v>65</v>
      </c>
      <c r="C1" s="16" t="s">
        <v>66</v>
      </c>
      <c r="D1" s="16" t="s">
        <v>67</v>
      </c>
      <c r="E1" s="16" t="s">
        <v>68</v>
      </c>
      <c r="F1" s="16" t="s">
        <v>69</v>
      </c>
      <c r="G1" s="17" t="s">
        <v>70</v>
      </c>
    </row>
    <row r="2" customFormat="false" ht="14.25" hidden="false" customHeight="true" outlineLevel="0" collapsed="false">
      <c r="A2" s="18" t="s">
        <v>71</v>
      </c>
      <c r="B2" s="19" t="n">
        <v>1</v>
      </c>
      <c r="C2" s="20" t="s">
        <v>951</v>
      </c>
      <c r="D2" s="23" t="s">
        <v>952</v>
      </c>
      <c r="E2" s="22" t="s">
        <v>38</v>
      </c>
    </row>
    <row r="3" customFormat="false" ht="14.25" hidden="false" customHeight="true" outlineLevel="0" collapsed="false">
      <c r="A3" s="18"/>
      <c r="B3" s="19" t="n">
        <v>2</v>
      </c>
      <c r="C3" s="20" t="s">
        <v>953</v>
      </c>
      <c r="D3" s="20" t="s">
        <v>75</v>
      </c>
      <c r="E3" s="22" t="s">
        <v>38</v>
      </c>
    </row>
    <row r="4" customFormat="false" ht="41.25" hidden="false" customHeight="true" outlineLevel="0" collapsed="false">
      <c r="A4" s="18"/>
      <c r="B4" s="19" t="n">
        <v>3</v>
      </c>
      <c r="C4" s="20" t="s">
        <v>76</v>
      </c>
      <c r="D4" s="23" t="s">
        <v>352</v>
      </c>
      <c r="E4" s="22" t="s">
        <v>38</v>
      </c>
    </row>
    <row r="5" customFormat="false" ht="27" hidden="false" customHeight="true" outlineLevel="0" collapsed="false">
      <c r="A5" s="18"/>
      <c r="B5" s="19" t="n">
        <v>4</v>
      </c>
      <c r="C5" s="20" t="s">
        <v>78</v>
      </c>
      <c r="D5" s="23" t="s">
        <v>79</v>
      </c>
      <c r="E5" s="22" t="s">
        <v>38</v>
      </c>
    </row>
    <row r="6" customFormat="false" ht="41.25" hidden="false" customHeight="true" outlineLevel="0" collapsed="false">
      <c r="A6" s="18"/>
      <c r="B6" s="19" t="n">
        <v>5</v>
      </c>
      <c r="C6" s="20" t="s">
        <v>80</v>
      </c>
      <c r="D6" s="23" t="s">
        <v>81</v>
      </c>
      <c r="E6" s="22" t="s">
        <v>38</v>
      </c>
    </row>
    <row r="7" customFormat="false" ht="41.25" hidden="false" customHeight="true" outlineLevel="0" collapsed="false">
      <c r="A7" s="18"/>
      <c r="B7" s="19" t="n">
        <v>6</v>
      </c>
      <c r="C7" s="20" t="s">
        <v>82</v>
      </c>
      <c r="D7" s="23" t="s">
        <v>83</v>
      </c>
      <c r="E7" s="22" t="s">
        <v>38</v>
      </c>
    </row>
    <row r="8" customFormat="false" ht="27" hidden="false" customHeight="true" outlineLevel="0" collapsed="false">
      <c r="A8" s="18"/>
      <c r="B8" s="19" t="n">
        <v>7</v>
      </c>
      <c r="C8" s="20" t="s">
        <v>84</v>
      </c>
      <c r="D8" s="23" t="s">
        <v>85</v>
      </c>
      <c r="E8" s="22" t="s">
        <v>38</v>
      </c>
    </row>
    <row r="9" customFormat="false" ht="14.25" hidden="false" customHeight="true" outlineLevel="0" collapsed="false">
      <c r="A9" s="18"/>
      <c r="B9" s="19" t="n">
        <v>8</v>
      </c>
      <c r="C9" s="20" t="s">
        <v>86</v>
      </c>
      <c r="D9" s="20" t="s">
        <v>87</v>
      </c>
      <c r="E9" s="22" t="s">
        <v>38</v>
      </c>
    </row>
    <row r="10" customFormat="false" ht="14.25" hidden="false" customHeight="true" outlineLevel="0" collapsed="false">
      <c r="A10" s="18"/>
      <c r="B10" s="19" t="n">
        <v>9</v>
      </c>
      <c r="C10" s="20" t="s">
        <v>236</v>
      </c>
      <c r="D10" s="20" t="s">
        <v>237</v>
      </c>
      <c r="E10" s="22" t="s">
        <v>38</v>
      </c>
    </row>
    <row r="11" customFormat="false" ht="14.25" hidden="false" customHeight="true" outlineLevel="0" collapsed="false">
      <c r="A11" s="18"/>
      <c r="B11" s="19" t="n">
        <v>10</v>
      </c>
      <c r="C11" s="20" t="s">
        <v>694</v>
      </c>
      <c r="D11" s="20" t="s">
        <v>695</v>
      </c>
      <c r="E11" s="22" t="s">
        <v>38</v>
      </c>
    </row>
    <row r="12" customFormat="false" ht="14.25" hidden="false" customHeight="true" outlineLevel="0" collapsed="false">
      <c r="A12" s="18"/>
      <c r="B12" s="19" t="n">
        <v>11</v>
      </c>
      <c r="C12" s="20" t="s">
        <v>696</v>
      </c>
      <c r="D12" s="20" t="s">
        <v>697</v>
      </c>
      <c r="E12" s="22" t="s">
        <v>38</v>
      </c>
    </row>
    <row r="13" customFormat="false" ht="27" hidden="false" customHeight="true" outlineLevel="0" collapsed="false">
      <c r="A13" s="18"/>
      <c r="B13" s="19" t="n">
        <v>12</v>
      </c>
      <c r="C13" s="20" t="s">
        <v>698</v>
      </c>
      <c r="D13" s="23" t="s">
        <v>699</v>
      </c>
      <c r="E13" s="22" t="s">
        <v>38</v>
      </c>
    </row>
    <row r="14" customFormat="false" ht="41.25" hidden="false" customHeight="true" outlineLevel="0" collapsed="false">
      <c r="A14" s="18"/>
      <c r="B14" s="19" t="n">
        <v>13</v>
      </c>
      <c r="C14" s="20" t="s">
        <v>700</v>
      </c>
      <c r="D14" s="23" t="s">
        <v>954</v>
      </c>
      <c r="E14" s="22" t="s">
        <v>38</v>
      </c>
    </row>
    <row r="15" customFormat="false" ht="54.75" hidden="false" customHeight="true" outlineLevel="0" collapsed="false">
      <c r="A15" s="18"/>
      <c r="B15" s="19" t="n">
        <v>14</v>
      </c>
      <c r="C15" s="20" t="s">
        <v>702</v>
      </c>
      <c r="D15" s="23" t="s">
        <v>703</v>
      </c>
      <c r="E15" s="22" t="s">
        <v>38</v>
      </c>
    </row>
    <row r="16" customFormat="false" ht="13.5" hidden="false" customHeight="true" outlineLevel="0" collapsed="false">
      <c r="A16" s="24"/>
      <c r="B16" s="24"/>
      <c r="C16" s="24"/>
      <c r="D16" s="24"/>
      <c r="E16" s="24"/>
      <c r="F16" s="24"/>
    </row>
    <row r="17" customFormat="false" ht="14.25" hidden="false" customHeight="true" outlineLevel="0" collapsed="false">
      <c r="A17" s="36" t="s">
        <v>955</v>
      </c>
      <c r="B17" s="19" t="n">
        <v>1</v>
      </c>
      <c r="C17" s="1" t="s">
        <v>705</v>
      </c>
      <c r="D17" s="1" t="s">
        <v>956</v>
      </c>
      <c r="E17" s="22" t="s">
        <v>38</v>
      </c>
    </row>
    <row r="18" customFormat="false" ht="27" hidden="false" customHeight="true" outlineLevel="0" collapsed="false">
      <c r="A18" s="36"/>
      <c r="B18" s="19" t="n">
        <v>2</v>
      </c>
      <c r="C18" s="38" t="s">
        <v>957</v>
      </c>
      <c r="D18" s="21" t="s">
        <v>958</v>
      </c>
      <c r="E18" s="22" t="s">
        <v>38</v>
      </c>
    </row>
    <row r="19" customFormat="false" ht="27" hidden="false" customHeight="true" outlineLevel="0" collapsed="false">
      <c r="A19" s="36"/>
      <c r="B19" s="19" t="n">
        <v>3</v>
      </c>
      <c r="C19" s="1" t="s">
        <v>928</v>
      </c>
      <c r="D19" s="21" t="s">
        <v>920</v>
      </c>
      <c r="E19" s="22" t="s">
        <v>38</v>
      </c>
    </row>
  </sheetData>
  <autoFilter ref="A1:G19"/>
  <mergeCells count="2">
    <mergeCell ref="A2:A15"/>
    <mergeCell ref="A17:A19"/>
  </mergeCells>
  <conditionalFormatting sqref="E17:E19">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2:E15">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19"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5" colorId="64" zoomScale="100" zoomScaleNormal="100" zoomScalePageLayoutView="100" workbookViewId="0">
      <pane xSplit="0" ySplit="1" topLeftCell="A2" activePane="bottomLeft" state="frozen"/>
      <selection pane="topLeft" activeCell="A15" activeCellId="0" sqref="A15"/>
      <selection pane="bottomLeft" activeCell="C42" activeCellId="0" sqref="C42"/>
    </sheetView>
  </sheetViews>
  <sheetFormatPr defaultColWidth="8.5390625" defaultRowHeight="13.5" customHeight="false" zeroHeight="false" outlineLevelRow="0" outlineLevelCol="0"/>
  <cols>
    <col collapsed="false" customWidth="true" hidden="false" outlineLevel="0" max="1" min="1" style="1" width="24.1"/>
    <col collapsed="false" customWidth="true" hidden="false" outlineLevel="0" max="2" min="2" style="1" width="27"/>
    <col collapsed="false" customWidth="true" hidden="false" outlineLevel="0" max="3" min="3" style="1" width="41.7"/>
    <col collapsed="false" customWidth="true" hidden="false" outlineLevel="0" max="4" min="4" style="1" width="44.4"/>
    <col collapsed="false" customWidth="true" hidden="false" outlineLevel="0" max="5" min="5" style="1" width="40"/>
    <col collapsed="false" customWidth="true" hidden="false" outlineLevel="0" max="6" min="6" style="1" width="21.1"/>
    <col collapsed="false" customWidth="true" hidden="false" outlineLevel="0" max="7" min="7" style="1" width="12"/>
  </cols>
  <sheetData>
    <row r="1" customFormat="false" ht="13.5" hidden="false" customHeight="true" outlineLevel="0" collapsed="false">
      <c r="A1" s="15" t="s">
        <v>33</v>
      </c>
      <c r="B1" s="16" t="s">
        <v>65</v>
      </c>
      <c r="C1" s="16" t="s">
        <v>66</v>
      </c>
      <c r="D1" s="16" t="s">
        <v>67</v>
      </c>
      <c r="E1" s="16" t="s">
        <v>68</v>
      </c>
      <c r="F1" s="16" t="s">
        <v>69</v>
      </c>
      <c r="G1" s="17" t="s">
        <v>70</v>
      </c>
    </row>
    <row r="2" customFormat="false" ht="14.25" hidden="false" customHeight="true" outlineLevel="0" collapsed="false">
      <c r="A2" s="18" t="s">
        <v>71</v>
      </c>
      <c r="B2" s="19" t="n">
        <v>1</v>
      </c>
      <c r="C2" s="20" t="s">
        <v>959</v>
      </c>
      <c r="D2" s="23" t="s">
        <v>960</v>
      </c>
      <c r="E2" s="22" t="s">
        <v>38</v>
      </c>
    </row>
    <row r="3" customFormat="false" ht="14.25" hidden="false" customHeight="true" outlineLevel="0" collapsed="false">
      <c r="A3" s="18"/>
      <c r="B3" s="19" t="n">
        <v>2</v>
      </c>
      <c r="C3" s="20" t="s">
        <v>961</v>
      </c>
      <c r="D3" s="20" t="s">
        <v>75</v>
      </c>
      <c r="E3" s="22" t="s">
        <v>38</v>
      </c>
    </row>
    <row r="4" customFormat="false" ht="41.25" hidden="false" customHeight="true" outlineLevel="0" collapsed="false">
      <c r="A4" s="18"/>
      <c r="B4" s="19" t="n">
        <v>3</v>
      </c>
      <c r="C4" s="20" t="s">
        <v>76</v>
      </c>
      <c r="D4" s="23" t="s">
        <v>352</v>
      </c>
      <c r="E4" s="22" t="s">
        <v>38</v>
      </c>
    </row>
    <row r="5" customFormat="false" ht="27" hidden="false" customHeight="true" outlineLevel="0" collapsed="false">
      <c r="A5" s="18"/>
      <c r="B5" s="19" t="n">
        <v>4</v>
      </c>
      <c r="C5" s="20" t="s">
        <v>78</v>
      </c>
      <c r="D5" s="23" t="s">
        <v>79</v>
      </c>
      <c r="E5" s="22" t="s">
        <v>38</v>
      </c>
    </row>
    <row r="6" customFormat="false" ht="41.25" hidden="false" customHeight="true" outlineLevel="0" collapsed="false">
      <c r="A6" s="18"/>
      <c r="B6" s="19" t="n">
        <v>5</v>
      </c>
      <c r="C6" s="20" t="s">
        <v>80</v>
      </c>
      <c r="D6" s="23" t="s">
        <v>81</v>
      </c>
      <c r="E6" s="22" t="s">
        <v>38</v>
      </c>
    </row>
    <row r="7" customFormat="false" ht="41.25" hidden="false" customHeight="true" outlineLevel="0" collapsed="false">
      <c r="A7" s="18"/>
      <c r="B7" s="19" t="n">
        <v>6</v>
      </c>
      <c r="C7" s="20" t="s">
        <v>82</v>
      </c>
      <c r="D7" s="23" t="s">
        <v>83</v>
      </c>
      <c r="E7" s="22" t="s">
        <v>38</v>
      </c>
    </row>
    <row r="8" customFormat="false" ht="27" hidden="false" customHeight="true" outlineLevel="0" collapsed="false">
      <c r="A8" s="18"/>
      <c r="B8" s="19" t="n">
        <v>7</v>
      </c>
      <c r="C8" s="20" t="s">
        <v>84</v>
      </c>
      <c r="D8" s="23" t="s">
        <v>85</v>
      </c>
      <c r="E8" s="22" t="s">
        <v>38</v>
      </c>
    </row>
    <row r="9" customFormat="false" ht="14.25" hidden="false" customHeight="true" outlineLevel="0" collapsed="false">
      <c r="A9" s="18"/>
      <c r="B9" s="19" t="n">
        <v>8</v>
      </c>
      <c r="C9" s="20" t="s">
        <v>86</v>
      </c>
      <c r="D9" s="20" t="s">
        <v>87</v>
      </c>
      <c r="E9" s="22" t="s">
        <v>38</v>
      </c>
    </row>
    <row r="10" customFormat="false" ht="14.25" hidden="false" customHeight="true" outlineLevel="0" collapsed="false">
      <c r="A10" s="18"/>
      <c r="B10" s="19" t="n">
        <v>9</v>
      </c>
      <c r="C10" s="20" t="s">
        <v>236</v>
      </c>
      <c r="D10" s="20" t="s">
        <v>237</v>
      </c>
      <c r="E10" s="22" t="s">
        <v>38</v>
      </c>
    </row>
    <row r="11" customFormat="false" ht="14.25" hidden="false" customHeight="true" outlineLevel="0" collapsed="false">
      <c r="A11" s="18"/>
      <c r="B11" s="19" t="n">
        <v>10</v>
      </c>
      <c r="C11" s="20" t="s">
        <v>694</v>
      </c>
      <c r="D11" s="20" t="s">
        <v>695</v>
      </c>
      <c r="E11" s="22" t="s">
        <v>38</v>
      </c>
    </row>
    <row r="12" customFormat="false" ht="14.25" hidden="false" customHeight="true" outlineLevel="0" collapsed="false">
      <c r="A12" s="18"/>
      <c r="B12" s="19" t="n">
        <v>11</v>
      </c>
      <c r="C12" s="20" t="s">
        <v>962</v>
      </c>
      <c r="D12" s="20" t="s">
        <v>697</v>
      </c>
      <c r="E12" s="22" t="s">
        <v>38</v>
      </c>
    </row>
    <row r="13" customFormat="false" ht="27" hidden="false" customHeight="true" outlineLevel="0" collapsed="false">
      <c r="A13" s="18"/>
      <c r="B13" s="19" t="n">
        <v>12</v>
      </c>
      <c r="C13" s="20" t="s">
        <v>698</v>
      </c>
      <c r="D13" s="23" t="s">
        <v>699</v>
      </c>
      <c r="E13" s="22" t="s">
        <v>38</v>
      </c>
    </row>
    <row r="14" customFormat="false" ht="41.25" hidden="false" customHeight="true" outlineLevel="0" collapsed="false">
      <c r="A14" s="18"/>
      <c r="B14" s="19" t="n">
        <v>13</v>
      </c>
      <c r="C14" s="20" t="s">
        <v>700</v>
      </c>
      <c r="D14" s="23" t="s">
        <v>963</v>
      </c>
      <c r="E14" s="22" t="s">
        <v>38</v>
      </c>
    </row>
    <row r="15" customFormat="false" ht="54.75" hidden="false" customHeight="true" outlineLevel="0" collapsed="false">
      <c r="A15" s="18"/>
      <c r="B15" s="19" t="n">
        <v>14</v>
      </c>
      <c r="C15" s="20" t="s">
        <v>702</v>
      </c>
      <c r="D15" s="23" t="s">
        <v>703</v>
      </c>
      <c r="E15" s="22" t="s">
        <v>38</v>
      </c>
    </row>
    <row r="16" customFormat="false" ht="13.5" hidden="false" customHeight="true" outlineLevel="0" collapsed="false">
      <c r="A16" s="24"/>
      <c r="B16" s="24"/>
      <c r="C16" s="24"/>
      <c r="D16" s="24"/>
      <c r="E16" s="24"/>
      <c r="F16" s="24"/>
    </row>
    <row r="17" customFormat="false" ht="14.25" hidden="false" customHeight="true" outlineLevel="0" collapsed="false">
      <c r="A17" s="36" t="s">
        <v>964</v>
      </c>
      <c r="B17" s="19" t="n">
        <v>1</v>
      </c>
      <c r="C17" s="1" t="s">
        <v>705</v>
      </c>
      <c r="D17" s="1" t="s">
        <v>965</v>
      </c>
      <c r="E17" s="22" t="s">
        <v>38</v>
      </c>
    </row>
    <row r="18" customFormat="false" ht="27" hidden="false" customHeight="true" outlineLevel="0" collapsed="false">
      <c r="A18" s="36"/>
      <c r="B18" s="19" t="n">
        <v>2</v>
      </c>
      <c r="C18" s="38" t="s">
        <v>966</v>
      </c>
      <c r="D18" s="23" t="s">
        <v>958</v>
      </c>
      <c r="E18" s="22" t="s">
        <v>38</v>
      </c>
    </row>
    <row r="19" customFormat="false" ht="27" hidden="false" customHeight="true" outlineLevel="0" collapsed="false">
      <c r="A19" s="36"/>
      <c r="B19" s="19" t="n">
        <v>3</v>
      </c>
      <c r="C19" s="20" t="s">
        <v>928</v>
      </c>
      <c r="D19" s="21" t="s">
        <v>920</v>
      </c>
      <c r="E19" s="22" t="s">
        <v>38</v>
      </c>
    </row>
  </sheetData>
  <autoFilter ref="A1:G19"/>
  <mergeCells count="2">
    <mergeCell ref="A2:A15"/>
    <mergeCell ref="A17:A19"/>
  </mergeCells>
  <conditionalFormatting sqref="E17:E19">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2:E15">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19"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3.5" customHeight="false" zeroHeight="false" outlineLevelRow="0" outlineLevelCol="0"/>
  <cols>
    <col collapsed="false" customWidth="true" hidden="false" outlineLevel="0" max="1" min="1" style="1" width="25.7"/>
    <col collapsed="false" customWidth="true" hidden="false" outlineLevel="0" max="2" min="2" style="1" width="19.4"/>
    <col collapsed="false" customWidth="true" hidden="false" outlineLevel="0" max="4" min="3" style="1" width="45"/>
    <col collapsed="false" customWidth="true" hidden="false" outlineLevel="0" max="5" min="5" style="1" width="31.4"/>
    <col collapsed="false" customWidth="true" hidden="false" outlineLevel="0" max="6" min="6" style="1" width="23.3"/>
    <col collapsed="false" customWidth="true" hidden="false" outlineLevel="0" max="7" min="7" style="1" width="12"/>
  </cols>
  <sheetData>
    <row r="1" customFormat="false" ht="13.5" hidden="false" customHeight="true" outlineLevel="0" collapsed="false">
      <c r="A1" s="15" t="s">
        <v>33</v>
      </c>
      <c r="B1" s="16" t="s">
        <v>65</v>
      </c>
      <c r="C1" s="16" t="s">
        <v>66</v>
      </c>
      <c r="D1" s="16" t="s">
        <v>67</v>
      </c>
      <c r="E1" s="16" t="s">
        <v>68</v>
      </c>
      <c r="F1" s="16" t="s">
        <v>69</v>
      </c>
      <c r="G1" s="17" t="s">
        <v>70</v>
      </c>
    </row>
    <row r="2" customFormat="false" ht="14.25" hidden="false" customHeight="true" outlineLevel="0" collapsed="false">
      <c r="A2" s="18" t="s">
        <v>71</v>
      </c>
      <c r="B2" s="19" t="n">
        <v>1</v>
      </c>
      <c r="C2" s="20" t="s">
        <v>967</v>
      </c>
      <c r="D2" s="23" t="s">
        <v>968</v>
      </c>
      <c r="E2" s="22" t="s">
        <v>38</v>
      </c>
    </row>
    <row r="3" customFormat="false" ht="14.25" hidden="false" customHeight="true" outlineLevel="0" collapsed="false">
      <c r="A3" s="18"/>
      <c r="B3" s="19" t="n">
        <v>2</v>
      </c>
      <c r="C3" s="20" t="s">
        <v>969</v>
      </c>
      <c r="D3" s="20" t="s">
        <v>75</v>
      </c>
      <c r="E3" s="22" t="s">
        <v>38</v>
      </c>
    </row>
    <row r="4" customFormat="false" ht="41.25" hidden="false" customHeight="true" outlineLevel="0" collapsed="false">
      <c r="A4" s="18"/>
      <c r="B4" s="19" t="n">
        <v>3</v>
      </c>
      <c r="C4" s="20" t="s">
        <v>76</v>
      </c>
      <c r="D4" s="23" t="s">
        <v>352</v>
      </c>
      <c r="E4" s="22" t="s">
        <v>38</v>
      </c>
    </row>
    <row r="5" customFormat="false" ht="27" hidden="false" customHeight="true" outlineLevel="0" collapsed="false">
      <c r="A5" s="18"/>
      <c r="B5" s="19" t="n">
        <v>4</v>
      </c>
      <c r="C5" s="20" t="s">
        <v>78</v>
      </c>
      <c r="D5" s="23" t="s">
        <v>79</v>
      </c>
      <c r="E5" s="22" t="s">
        <v>38</v>
      </c>
    </row>
    <row r="6" customFormat="false" ht="41.25" hidden="false" customHeight="true" outlineLevel="0" collapsed="false">
      <c r="A6" s="18"/>
      <c r="B6" s="19" t="n">
        <v>5</v>
      </c>
      <c r="C6" s="20" t="s">
        <v>80</v>
      </c>
      <c r="D6" s="23" t="s">
        <v>81</v>
      </c>
      <c r="E6" s="22" t="s">
        <v>38</v>
      </c>
    </row>
    <row r="7" customFormat="false" ht="41.25" hidden="false" customHeight="true" outlineLevel="0" collapsed="false">
      <c r="A7" s="18"/>
      <c r="B7" s="19" t="n">
        <v>6</v>
      </c>
      <c r="C7" s="20" t="s">
        <v>82</v>
      </c>
      <c r="D7" s="23" t="s">
        <v>83</v>
      </c>
      <c r="E7" s="22" t="s">
        <v>38</v>
      </c>
    </row>
    <row r="8" customFormat="false" ht="27" hidden="false" customHeight="true" outlineLevel="0" collapsed="false">
      <c r="A8" s="18"/>
      <c r="B8" s="19" t="n">
        <v>7</v>
      </c>
      <c r="C8" s="20" t="s">
        <v>84</v>
      </c>
      <c r="D8" s="23" t="s">
        <v>85</v>
      </c>
      <c r="E8" s="22" t="s">
        <v>38</v>
      </c>
    </row>
    <row r="9" customFormat="false" ht="14.25" hidden="false" customHeight="true" outlineLevel="0" collapsed="false">
      <c r="A9" s="18"/>
      <c r="B9" s="19" t="n">
        <v>8</v>
      </c>
      <c r="C9" s="20" t="s">
        <v>86</v>
      </c>
      <c r="D9" s="20" t="s">
        <v>87</v>
      </c>
      <c r="E9" s="22" t="s">
        <v>38</v>
      </c>
    </row>
    <row r="10" customFormat="false" ht="14.25" hidden="false" customHeight="true" outlineLevel="0" collapsed="false">
      <c r="A10" s="18"/>
      <c r="B10" s="19" t="n">
        <v>9</v>
      </c>
      <c r="C10" s="20" t="s">
        <v>236</v>
      </c>
      <c r="D10" s="20" t="s">
        <v>237</v>
      </c>
      <c r="E10" s="22" t="s">
        <v>38</v>
      </c>
    </row>
    <row r="11" customFormat="false" ht="14.25" hidden="false" customHeight="true" outlineLevel="0" collapsed="false">
      <c r="A11" s="18"/>
      <c r="B11" s="19" t="n">
        <v>10</v>
      </c>
      <c r="C11" s="20" t="s">
        <v>694</v>
      </c>
      <c r="D11" s="20" t="s">
        <v>695</v>
      </c>
      <c r="E11" s="22" t="s">
        <v>38</v>
      </c>
    </row>
    <row r="12" customFormat="false" ht="14.25" hidden="false" customHeight="true" outlineLevel="0" collapsed="false">
      <c r="A12" s="18"/>
      <c r="B12" s="19" t="n">
        <v>11</v>
      </c>
      <c r="C12" s="20" t="s">
        <v>970</v>
      </c>
      <c r="D12" s="20" t="s">
        <v>971</v>
      </c>
      <c r="E12" s="22" t="s">
        <v>38</v>
      </c>
    </row>
    <row r="13" customFormat="false" ht="27" hidden="false" customHeight="true" outlineLevel="0" collapsed="false">
      <c r="A13" s="18"/>
      <c r="B13" s="19" t="n">
        <v>12</v>
      </c>
      <c r="C13" s="20" t="s">
        <v>698</v>
      </c>
      <c r="D13" s="23" t="s">
        <v>699</v>
      </c>
      <c r="E13" s="22" t="s">
        <v>38</v>
      </c>
    </row>
    <row r="14" customFormat="false" ht="41.25" hidden="false" customHeight="true" outlineLevel="0" collapsed="false">
      <c r="A14" s="18"/>
      <c r="B14" s="19" t="n">
        <v>13</v>
      </c>
      <c r="C14" s="20" t="s">
        <v>700</v>
      </c>
      <c r="D14" s="23" t="s">
        <v>972</v>
      </c>
      <c r="E14" s="22" t="s">
        <v>38</v>
      </c>
    </row>
    <row r="15" customFormat="false" ht="54.75" hidden="false" customHeight="true" outlineLevel="0" collapsed="false">
      <c r="A15" s="18"/>
      <c r="B15" s="19" t="n">
        <v>14</v>
      </c>
      <c r="C15" s="20" t="s">
        <v>702</v>
      </c>
      <c r="D15" s="23" t="s">
        <v>703</v>
      </c>
      <c r="E15" s="22" t="s">
        <v>38</v>
      </c>
    </row>
    <row r="16" customFormat="false" ht="13.5" hidden="false" customHeight="true" outlineLevel="0" collapsed="false">
      <c r="A16" s="24"/>
      <c r="B16" s="24"/>
      <c r="C16" s="24"/>
      <c r="D16" s="24"/>
      <c r="E16" s="24"/>
      <c r="F16" s="24"/>
    </row>
    <row r="17" customFormat="false" ht="14.25" hidden="false" customHeight="true" outlineLevel="0" collapsed="false">
      <c r="A17" s="36" t="s">
        <v>973</v>
      </c>
      <c r="B17" s="19" t="n">
        <v>1</v>
      </c>
      <c r="C17" s="1" t="s">
        <v>705</v>
      </c>
      <c r="D17" s="1" t="s">
        <v>974</v>
      </c>
      <c r="E17" s="22" t="s">
        <v>38</v>
      </c>
    </row>
    <row r="18" customFormat="false" ht="14.25" hidden="false" customHeight="true" outlineLevel="0" collapsed="false">
      <c r="A18" s="36"/>
      <c r="B18" s="19" t="n">
        <v>2</v>
      </c>
      <c r="C18" s="1" t="s">
        <v>975</v>
      </c>
      <c r="D18" s="1" t="s">
        <v>357</v>
      </c>
      <c r="E18" s="22" t="s">
        <v>38</v>
      </c>
    </row>
    <row r="19" customFormat="false" ht="14.25" hidden="false" customHeight="true" outlineLevel="0" collapsed="false">
      <c r="A19" s="36"/>
      <c r="B19" s="19" t="n">
        <v>3</v>
      </c>
      <c r="C19" s="1" t="s">
        <v>976</v>
      </c>
      <c r="D19" s="1" t="s">
        <v>977</v>
      </c>
      <c r="E19" s="22" t="s">
        <v>38</v>
      </c>
    </row>
    <row r="20" customFormat="false" ht="14.25" hidden="false" customHeight="true" outlineLevel="0" collapsed="false">
      <c r="A20" s="36"/>
      <c r="B20" s="19" t="n">
        <v>4</v>
      </c>
      <c r="C20" s="1" t="s">
        <v>978</v>
      </c>
      <c r="D20" s="1" t="s">
        <v>357</v>
      </c>
      <c r="E20" s="22" t="s">
        <v>38</v>
      </c>
    </row>
    <row r="21" customFormat="false" ht="14.25" hidden="false" customHeight="true" outlineLevel="0" collapsed="false">
      <c r="A21" s="36"/>
      <c r="B21" s="19" t="n">
        <v>5</v>
      </c>
      <c r="C21" s="1" t="s">
        <v>976</v>
      </c>
      <c r="D21" s="1" t="s">
        <v>979</v>
      </c>
      <c r="E21" s="22" t="s">
        <v>38</v>
      </c>
    </row>
    <row r="22" customFormat="false" ht="14.25" hidden="false" customHeight="true" outlineLevel="0" collapsed="false">
      <c r="A22" s="36"/>
      <c r="B22" s="19" t="n">
        <v>6</v>
      </c>
      <c r="C22" s="1" t="s">
        <v>980</v>
      </c>
      <c r="D22" s="1" t="s">
        <v>818</v>
      </c>
      <c r="E22" s="22" t="s">
        <v>38</v>
      </c>
    </row>
    <row r="23" customFormat="false" ht="14.25" hidden="false" customHeight="true" outlineLevel="0" collapsed="false">
      <c r="A23" s="36"/>
      <c r="B23" s="19" t="n">
        <v>7</v>
      </c>
      <c r="C23" s="1" t="s">
        <v>981</v>
      </c>
      <c r="D23" s="1" t="s">
        <v>982</v>
      </c>
      <c r="E23" s="22" t="s">
        <v>38</v>
      </c>
    </row>
    <row r="24" customFormat="false" ht="14.25" hidden="false" customHeight="true" outlineLevel="0" collapsed="false">
      <c r="A24" s="36"/>
      <c r="B24" s="19" t="n">
        <v>8</v>
      </c>
      <c r="C24" s="1" t="s">
        <v>983</v>
      </c>
      <c r="D24" s="1" t="s">
        <v>984</v>
      </c>
      <c r="E24" s="22" t="s">
        <v>38</v>
      </c>
    </row>
    <row r="25" customFormat="false" ht="14.25" hidden="false" customHeight="true" outlineLevel="0" collapsed="false">
      <c r="A25" s="36"/>
      <c r="B25" s="19" t="n">
        <v>9</v>
      </c>
      <c r="C25" s="1" t="s">
        <v>985</v>
      </c>
      <c r="D25" s="1" t="s">
        <v>986</v>
      </c>
      <c r="E25" s="22" t="s">
        <v>38</v>
      </c>
    </row>
    <row r="26" customFormat="false" ht="14.25" hidden="false" customHeight="true" outlineLevel="0" collapsed="false">
      <c r="A26" s="36"/>
      <c r="B26" s="19" t="n">
        <v>10</v>
      </c>
      <c r="C26" s="1" t="s">
        <v>987</v>
      </c>
      <c r="D26" s="1" t="s">
        <v>988</v>
      </c>
      <c r="E26" s="22" t="s">
        <v>38</v>
      </c>
    </row>
    <row r="27" customFormat="false" ht="14.25" hidden="false" customHeight="true" outlineLevel="0" collapsed="false">
      <c r="A27" s="36"/>
      <c r="B27" s="19" t="n">
        <v>11</v>
      </c>
      <c r="C27" s="1" t="s">
        <v>989</v>
      </c>
      <c r="D27" s="1" t="s">
        <v>943</v>
      </c>
      <c r="E27" s="22" t="s">
        <v>38</v>
      </c>
    </row>
    <row r="28" customFormat="false" ht="27" hidden="false" customHeight="true" outlineLevel="0" collapsed="false">
      <c r="A28" s="36"/>
      <c r="B28" s="19" t="n">
        <v>12</v>
      </c>
      <c r="C28" s="20" t="s">
        <v>136</v>
      </c>
      <c r="D28" s="21" t="s">
        <v>920</v>
      </c>
      <c r="E28" s="22" t="s">
        <v>38</v>
      </c>
    </row>
  </sheetData>
  <autoFilter ref="A1:G28"/>
  <mergeCells count="2">
    <mergeCell ref="A2:A15"/>
    <mergeCell ref="A17:A28"/>
  </mergeCells>
  <conditionalFormatting sqref="E17:E28">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2:E15">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28"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21" activeCellId="0" sqref="C21"/>
    </sheetView>
  </sheetViews>
  <sheetFormatPr defaultColWidth="8.5390625" defaultRowHeight="13.5" customHeight="false" zeroHeight="false" outlineLevelRow="0" outlineLevelCol="0"/>
  <cols>
    <col collapsed="false" customWidth="true" hidden="false" outlineLevel="0" max="1" min="1" style="1" width="24"/>
    <col collapsed="false" customWidth="true" hidden="false" outlineLevel="0" max="2" min="2" style="1" width="22.7"/>
    <col collapsed="false" customWidth="true" hidden="false" outlineLevel="0" max="3" min="3" style="1" width="41"/>
    <col collapsed="false" customWidth="true" hidden="false" outlineLevel="0" max="4" min="4" style="1" width="41.4"/>
    <col collapsed="false" customWidth="true" hidden="false" outlineLevel="0" max="5" min="5" style="1" width="24.1"/>
    <col collapsed="false" customWidth="true" hidden="false" outlineLevel="0" max="6" min="6" style="1" width="28.1"/>
    <col collapsed="false" customWidth="true" hidden="false" outlineLevel="0" max="7" min="7" style="1" width="12"/>
  </cols>
  <sheetData>
    <row r="1" customFormat="false" ht="13.5" hidden="false" customHeight="true" outlineLevel="0" collapsed="false">
      <c r="A1" s="15" t="s">
        <v>33</v>
      </c>
      <c r="B1" s="16" t="s">
        <v>65</v>
      </c>
      <c r="C1" s="16" t="s">
        <v>66</v>
      </c>
      <c r="D1" s="16" t="s">
        <v>67</v>
      </c>
      <c r="E1" s="16" t="s">
        <v>68</v>
      </c>
      <c r="F1" s="16" t="s">
        <v>69</v>
      </c>
      <c r="G1" s="17" t="s">
        <v>70</v>
      </c>
    </row>
    <row r="2" customFormat="false" ht="14.25" hidden="false" customHeight="true" outlineLevel="0" collapsed="false">
      <c r="A2" s="18" t="s">
        <v>71</v>
      </c>
      <c r="B2" s="19" t="n">
        <v>1</v>
      </c>
      <c r="C2" s="20" t="s">
        <v>990</v>
      </c>
      <c r="D2" s="23" t="s">
        <v>991</v>
      </c>
      <c r="E2" s="22" t="s">
        <v>38</v>
      </c>
    </row>
    <row r="3" customFormat="false" ht="14.25" hidden="false" customHeight="true" outlineLevel="0" collapsed="false">
      <c r="A3" s="18"/>
      <c r="B3" s="19" t="n">
        <v>2</v>
      </c>
      <c r="C3" s="20" t="s">
        <v>992</v>
      </c>
      <c r="D3" s="20" t="s">
        <v>75</v>
      </c>
      <c r="E3" s="22" t="s">
        <v>38</v>
      </c>
    </row>
    <row r="4" customFormat="false" ht="41.25" hidden="false" customHeight="true" outlineLevel="0" collapsed="false">
      <c r="A4" s="18"/>
      <c r="B4" s="19" t="n">
        <v>3</v>
      </c>
      <c r="C4" s="20" t="s">
        <v>76</v>
      </c>
      <c r="D4" s="23" t="s">
        <v>352</v>
      </c>
      <c r="E4" s="22" t="s">
        <v>38</v>
      </c>
    </row>
    <row r="5" customFormat="false" ht="27" hidden="false" customHeight="true" outlineLevel="0" collapsed="false">
      <c r="A5" s="18"/>
      <c r="B5" s="19" t="n">
        <v>4</v>
      </c>
      <c r="C5" s="20" t="s">
        <v>78</v>
      </c>
      <c r="D5" s="23" t="s">
        <v>79</v>
      </c>
      <c r="E5" s="22" t="s">
        <v>38</v>
      </c>
    </row>
    <row r="6" customFormat="false" ht="41.25" hidden="false" customHeight="true" outlineLevel="0" collapsed="false">
      <c r="A6" s="18"/>
      <c r="B6" s="19" t="n">
        <v>5</v>
      </c>
      <c r="C6" s="20" t="s">
        <v>80</v>
      </c>
      <c r="D6" s="23" t="s">
        <v>81</v>
      </c>
      <c r="E6" s="22" t="s">
        <v>38</v>
      </c>
    </row>
    <row r="7" customFormat="false" ht="41.25" hidden="false" customHeight="true" outlineLevel="0" collapsed="false">
      <c r="A7" s="18"/>
      <c r="B7" s="19" t="n">
        <v>6</v>
      </c>
      <c r="C7" s="20" t="s">
        <v>82</v>
      </c>
      <c r="D7" s="23" t="s">
        <v>83</v>
      </c>
      <c r="E7" s="22" t="s">
        <v>38</v>
      </c>
    </row>
    <row r="8" customFormat="false" ht="27" hidden="false" customHeight="true" outlineLevel="0" collapsed="false">
      <c r="A8" s="18"/>
      <c r="B8" s="19" t="n">
        <v>7</v>
      </c>
      <c r="C8" s="20" t="s">
        <v>84</v>
      </c>
      <c r="D8" s="23" t="s">
        <v>85</v>
      </c>
      <c r="E8" s="22" t="s">
        <v>38</v>
      </c>
    </row>
    <row r="9" customFormat="false" ht="14.25" hidden="false" customHeight="true" outlineLevel="0" collapsed="false">
      <c r="A9" s="18"/>
      <c r="B9" s="19" t="n">
        <v>8</v>
      </c>
      <c r="C9" s="20" t="s">
        <v>86</v>
      </c>
      <c r="D9" s="20" t="s">
        <v>87</v>
      </c>
      <c r="E9" s="22" t="s">
        <v>38</v>
      </c>
    </row>
    <row r="10" customFormat="false" ht="14.25" hidden="false" customHeight="true" outlineLevel="0" collapsed="false">
      <c r="A10" s="18"/>
      <c r="B10" s="19" t="n">
        <v>9</v>
      </c>
      <c r="C10" s="20" t="s">
        <v>236</v>
      </c>
      <c r="D10" s="20" t="s">
        <v>237</v>
      </c>
      <c r="E10" s="22" t="s">
        <v>38</v>
      </c>
    </row>
    <row r="11" customFormat="false" ht="14.25" hidden="false" customHeight="true" outlineLevel="0" collapsed="false">
      <c r="A11" s="18"/>
      <c r="B11" s="19" t="n">
        <v>10</v>
      </c>
      <c r="C11" s="20" t="s">
        <v>694</v>
      </c>
      <c r="D11" s="20" t="s">
        <v>695</v>
      </c>
      <c r="E11" s="22" t="s">
        <v>38</v>
      </c>
    </row>
    <row r="12" customFormat="false" ht="14.25" hidden="false" customHeight="true" outlineLevel="0" collapsed="false">
      <c r="A12" s="18"/>
      <c r="B12" s="19" t="n">
        <v>11</v>
      </c>
      <c r="C12" s="20" t="s">
        <v>970</v>
      </c>
      <c r="D12" s="20" t="s">
        <v>971</v>
      </c>
      <c r="E12" s="22" t="s">
        <v>38</v>
      </c>
    </row>
    <row r="13" customFormat="false" ht="27" hidden="false" customHeight="true" outlineLevel="0" collapsed="false">
      <c r="A13" s="18"/>
      <c r="B13" s="19" t="n">
        <v>12</v>
      </c>
      <c r="C13" s="20" t="s">
        <v>698</v>
      </c>
      <c r="D13" s="23" t="s">
        <v>699</v>
      </c>
      <c r="E13" s="22" t="s">
        <v>38</v>
      </c>
    </row>
    <row r="14" customFormat="false" ht="41.25" hidden="false" customHeight="true" outlineLevel="0" collapsed="false">
      <c r="A14" s="18"/>
      <c r="B14" s="19" t="n">
        <v>13</v>
      </c>
      <c r="C14" s="20" t="s">
        <v>700</v>
      </c>
      <c r="D14" s="23" t="s">
        <v>972</v>
      </c>
      <c r="E14" s="22" t="s">
        <v>38</v>
      </c>
    </row>
    <row r="15" customFormat="false" ht="54.75" hidden="false" customHeight="true" outlineLevel="0" collapsed="false">
      <c r="A15" s="18"/>
      <c r="B15" s="19" t="n">
        <v>14</v>
      </c>
      <c r="C15" s="20" t="s">
        <v>702</v>
      </c>
      <c r="D15" s="23" t="s">
        <v>703</v>
      </c>
      <c r="E15" s="22" t="s">
        <v>38</v>
      </c>
    </row>
    <row r="16" customFormat="false" ht="13.5" hidden="false" customHeight="true" outlineLevel="0" collapsed="false">
      <c r="A16" s="24"/>
      <c r="B16" s="24"/>
      <c r="C16" s="24"/>
      <c r="D16" s="24"/>
      <c r="E16" s="24"/>
      <c r="F16" s="24"/>
    </row>
    <row r="17" customFormat="false" ht="14.25" hidden="false" customHeight="true" outlineLevel="0" collapsed="false">
      <c r="A17" s="18" t="s">
        <v>993</v>
      </c>
      <c r="B17" s="19" t="n">
        <v>1</v>
      </c>
      <c r="C17" s="1" t="s">
        <v>705</v>
      </c>
      <c r="D17" s="1" t="s">
        <v>994</v>
      </c>
      <c r="E17" s="22" t="s">
        <v>38</v>
      </c>
    </row>
    <row r="18" customFormat="false" ht="14.25" hidden="false" customHeight="true" outlineLevel="0" collapsed="false">
      <c r="A18" s="18"/>
      <c r="B18" s="19" t="n">
        <v>2</v>
      </c>
      <c r="C18" s="1" t="s">
        <v>995</v>
      </c>
      <c r="D18" s="1" t="s">
        <v>988</v>
      </c>
      <c r="E18" s="22" t="s">
        <v>38</v>
      </c>
    </row>
    <row r="19" customFormat="false" ht="14.25" hidden="false" customHeight="true" outlineLevel="0" collapsed="false">
      <c r="A19" s="18"/>
      <c r="B19" s="19" t="n">
        <v>3</v>
      </c>
      <c r="C19" s="1" t="s">
        <v>624</v>
      </c>
      <c r="D19" s="1" t="s">
        <v>996</v>
      </c>
      <c r="E19" s="22" t="s">
        <v>38</v>
      </c>
    </row>
    <row r="20" customFormat="false" ht="14.25" hidden="false" customHeight="true" outlineLevel="0" collapsed="false">
      <c r="A20" s="18"/>
      <c r="B20" s="19" t="n">
        <v>4</v>
      </c>
      <c r="C20" s="1" t="s">
        <v>997</v>
      </c>
      <c r="D20" s="1" t="s">
        <v>998</v>
      </c>
      <c r="E20" s="22" t="s">
        <v>38</v>
      </c>
    </row>
    <row r="21" customFormat="false" ht="27" hidden="false" customHeight="true" outlineLevel="0" collapsed="false">
      <c r="A21" s="18"/>
      <c r="B21" s="19" t="n">
        <v>5</v>
      </c>
      <c r="C21" s="1" t="s">
        <v>928</v>
      </c>
      <c r="D21" s="21" t="s">
        <v>708</v>
      </c>
      <c r="E21" s="22" t="s">
        <v>38</v>
      </c>
    </row>
  </sheetData>
  <autoFilter ref="A1:G21"/>
  <mergeCells count="2">
    <mergeCell ref="A2:A15"/>
    <mergeCell ref="A17:A21"/>
  </mergeCells>
  <conditionalFormatting sqref="E17:E21">
    <cfRule type="cellIs" priority="2" operator="equal" aboveAverage="0" equalAverage="0" bottom="0" percent="0" rank="0" text="" dxfId="8">
      <formula>"Blocked"</formula>
    </cfRule>
    <cfRule type="cellIs" priority="3" operator="equal" aboveAverage="0" equalAverage="0" bottom="0" percent="0" rank="0" text="" dxfId="9">
      <formula>"Skipped"</formula>
    </cfRule>
    <cfRule type="cellIs" priority="4" operator="equal" aboveAverage="0" equalAverage="0" bottom="0" percent="0" rank="0" text="" dxfId="10">
      <formula>"Not Tested"</formula>
    </cfRule>
    <cfRule type="cellIs" priority="5" operator="equal" aboveAverage="0" equalAverage="0" bottom="0" percent="0" rank="0" text="" dxfId="11">
      <formula>"Passed"</formula>
    </cfRule>
    <cfRule type="cellIs" priority="6" operator="equal" aboveAverage="0" equalAverage="0" bottom="0" percent="0" rank="0" text="" dxfId="12">
      <formula>"Failed"</formula>
    </cfRule>
  </conditionalFormatting>
  <conditionalFormatting sqref="E2:E15">
    <cfRule type="cellIs" priority="7" operator="equal" aboveAverage="0" equalAverage="0" bottom="0" percent="0" rank="0" text="" dxfId="8">
      <formula>"Blocked"</formula>
    </cfRule>
    <cfRule type="cellIs" priority="8" operator="equal" aboveAverage="0" equalAverage="0" bottom="0" percent="0" rank="0" text="" dxfId="9">
      <formula>"Skipped"</formula>
    </cfRule>
    <cfRule type="cellIs" priority="9" operator="equal" aboveAverage="0" equalAverage="0" bottom="0" percent="0" rank="0" text="" dxfId="10">
      <formula>"Not Tested"</formula>
    </cfRule>
    <cfRule type="cellIs" priority="10" operator="equal" aboveAverage="0" equalAverage="0" bottom="0" percent="0" rank="0" text="" dxfId="11">
      <formula>"Passed"</formula>
    </cfRule>
    <cfRule type="cellIs" priority="11" operator="equal" aboveAverage="0" equalAverage="0" bottom="0" percent="0" rank="0" text="" dxfId="12">
      <formula>"Failed"</formula>
    </cfRule>
  </conditionalFormatting>
  <dataValidations count="1">
    <dataValidation allowBlank="true" errorStyle="stop" operator="between" showDropDown="false" showErrorMessage="false" showInputMessage="false" sqref="E2:E21" type="list">
      <formula1>"Pass,Fail,Blocked,Not Tested,N/A"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customHeight="false" zeroHeight="false" outlineLevelRow="0" outlineLevelCol="0"/>
  <cols>
    <col collapsed="false" customWidth="true" hidden="false" outlineLevel="0" max="1" min="1" style="1" width="12"/>
    <col collapsed="false" customWidth="true" hidden="false" outlineLevel="0" max="2" min="2" style="1" width="24"/>
    <col collapsed="false" customWidth="true" hidden="false" outlineLevel="0" max="3" min="3" style="1" width="32"/>
    <col collapsed="false" customWidth="true" hidden="false" outlineLevel="0" max="4" min="4" style="1" width="11"/>
    <col collapsed="false" customWidth="true" hidden="false" outlineLevel="0" max="5" min="5" style="1" width="9"/>
    <col collapsed="false" customWidth="true" hidden="false" outlineLevel="0" max="6" min="6" style="1" width="15"/>
    <col collapsed="false" customWidth="true" hidden="false" outlineLevel="0" max="7" min="7" style="1" width="38"/>
    <col collapsed="false" customWidth="true" hidden="false" outlineLevel="0" max="8" min="8" style="1" width="14"/>
    <col collapsed="false" customWidth="true" hidden="false" outlineLevel="0" max="11" min="9" style="1" width="13"/>
    <col collapsed="false" customWidth="true" hidden="false" outlineLevel="0" max="12" min="12" style="1" width="30"/>
    <col collapsed="false" customWidth="true" hidden="false" outlineLevel="0" max="13" min="13" style="1" width="13"/>
  </cols>
  <sheetData>
    <row r="1" customFormat="false" ht="15" hidden="false" customHeight="true" outlineLevel="0" collapsed="false">
      <c r="A1" s="10" t="s">
        <v>70</v>
      </c>
      <c r="B1" s="10" t="s">
        <v>999</v>
      </c>
      <c r="C1" s="10" t="s">
        <v>1000</v>
      </c>
      <c r="D1" s="10" t="s">
        <v>1001</v>
      </c>
      <c r="E1" s="10" t="s">
        <v>1002</v>
      </c>
      <c r="F1" s="10" t="s">
        <v>1003</v>
      </c>
      <c r="G1" s="10" t="s">
        <v>1004</v>
      </c>
      <c r="H1" s="10" t="s">
        <v>1005</v>
      </c>
      <c r="I1" s="10" t="s">
        <v>1006</v>
      </c>
      <c r="J1" s="10" t="s">
        <v>1007</v>
      </c>
      <c r="K1" s="10" t="s">
        <v>1008</v>
      </c>
      <c r="L1" s="10" t="s">
        <v>1009</v>
      </c>
      <c r="M1" s="10" t="s">
        <v>1010</v>
      </c>
    </row>
    <row r="2" customFormat="false" ht="23.25" hidden="false" customHeight="true" outlineLevel="0" collapsed="false">
      <c r="A2" s="39" t="s">
        <v>1011</v>
      </c>
      <c r="B2" s="39" t="s">
        <v>1012</v>
      </c>
      <c r="C2" s="39" t="s">
        <v>1013</v>
      </c>
      <c r="D2" s="39" t="s">
        <v>1014</v>
      </c>
      <c r="E2" s="39" t="s">
        <v>1015</v>
      </c>
      <c r="F2" s="39" t="s">
        <v>1016</v>
      </c>
      <c r="G2" s="39" t="s">
        <v>1017</v>
      </c>
      <c r="H2" s="39" t="s">
        <v>1018</v>
      </c>
      <c r="I2" s="39" t="s">
        <v>1019</v>
      </c>
      <c r="J2" s="39" t="s">
        <v>1020</v>
      </c>
      <c r="K2" s="39"/>
      <c r="L2" s="39" t="s">
        <v>1021</v>
      </c>
      <c r="M2" s="39"/>
    </row>
    <row r="3" customFormat="false" ht="15" hidden="false" customHeight="true" outlineLevel="0" collapsed="false">
      <c r="A3" s="11"/>
      <c r="B3" s="11"/>
      <c r="C3" s="11"/>
      <c r="D3" s="11"/>
      <c r="E3" s="11"/>
      <c r="F3" s="11"/>
      <c r="G3" s="11"/>
      <c r="H3" s="11"/>
      <c r="I3" s="11"/>
      <c r="J3" s="11"/>
      <c r="K3" s="11"/>
      <c r="L3" s="11"/>
      <c r="M3" s="11"/>
    </row>
    <row r="4" customFormat="false" ht="15" hidden="false" customHeight="true" outlineLevel="0" collapsed="false">
      <c r="A4" s="11"/>
      <c r="B4" s="11"/>
      <c r="C4" s="11"/>
      <c r="D4" s="11"/>
      <c r="E4" s="11"/>
      <c r="F4" s="11"/>
      <c r="G4" s="11"/>
      <c r="H4" s="11"/>
      <c r="I4" s="11"/>
      <c r="J4" s="11"/>
      <c r="K4" s="11"/>
      <c r="L4" s="11"/>
      <c r="M4" s="11"/>
    </row>
    <row r="5" customFormat="false" ht="15" hidden="false" customHeight="true" outlineLevel="0" collapsed="false">
      <c r="A5" s="11"/>
      <c r="B5" s="11"/>
      <c r="C5" s="11"/>
      <c r="D5" s="11"/>
      <c r="E5" s="11"/>
      <c r="F5" s="11"/>
      <c r="G5" s="11"/>
      <c r="H5" s="11"/>
      <c r="I5" s="11"/>
      <c r="J5" s="11"/>
      <c r="K5" s="11"/>
      <c r="L5" s="11"/>
      <c r="M5" s="11"/>
    </row>
    <row r="6" customFormat="false" ht="15" hidden="false" customHeight="true" outlineLevel="0" collapsed="false">
      <c r="A6" s="11"/>
      <c r="B6" s="11"/>
      <c r="C6" s="11"/>
      <c r="D6" s="11"/>
      <c r="E6" s="11"/>
      <c r="F6" s="11"/>
      <c r="G6" s="11"/>
      <c r="H6" s="11"/>
      <c r="I6" s="11"/>
      <c r="J6" s="11"/>
      <c r="K6" s="11"/>
      <c r="L6" s="11"/>
      <c r="M6" s="11"/>
    </row>
    <row r="7" customFormat="false" ht="15" hidden="false" customHeight="true" outlineLevel="0" collapsed="false">
      <c r="A7" s="11"/>
      <c r="B7" s="11"/>
      <c r="C7" s="11"/>
      <c r="D7" s="11"/>
      <c r="E7" s="11"/>
      <c r="F7" s="11"/>
      <c r="G7" s="11"/>
      <c r="H7" s="11"/>
      <c r="I7" s="11"/>
      <c r="J7" s="11"/>
      <c r="K7" s="11"/>
      <c r="L7" s="11"/>
      <c r="M7" s="11"/>
    </row>
    <row r="8" customFormat="false" ht="15" hidden="false" customHeight="true" outlineLevel="0" collapsed="false">
      <c r="A8" s="11"/>
      <c r="B8" s="11"/>
      <c r="C8" s="11"/>
      <c r="D8" s="11"/>
      <c r="E8" s="11"/>
      <c r="F8" s="11"/>
      <c r="G8" s="11"/>
      <c r="H8" s="11"/>
      <c r="I8" s="11"/>
      <c r="J8" s="11"/>
      <c r="K8" s="11"/>
      <c r="L8" s="11"/>
      <c r="M8" s="11"/>
    </row>
    <row r="9" customFormat="false" ht="15" hidden="false" customHeight="true" outlineLevel="0" collapsed="false">
      <c r="A9" s="11"/>
      <c r="B9" s="11"/>
      <c r="C9" s="11"/>
      <c r="D9" s="11"/>
      <c r="E9" s="11"/>
      <c r="F9" s="11"/>
      <c r="G9" s="11"/>
      <c r="H9" s="11"/>
      <c r="I9" s="11"/>
      <c r="J9" s="11"/>
      <c r="K9" s="11"/>
      <c r="L9" s="11"/>
      <c r="M9" s="11"/>
    </row>
    <row r="10" customFormat="false" ht="15" hidden="false" customHeight="true" outlineLevel="0" collapsed="false">
      <c r="A10" s="11"/>
      <c r="B10" s="11"/>
      <c r="C10" s="11"/>
      <c r="D10" s="11"/>
      <c r="E10" s="11"/>
      <c r="F10" s="11"/>
      <c r="G10" s="11"/>
      <c r="H10" s="11"/>
      <c r="I10" s="11"/>
      <c r="J10" s="11"/>
      <c r="K10" s="11"/>
      <c r="L10" s="11"/>
      <c r="M10" s="11"/>
    </row>
    <row r="11" customFormat="false" ht="15" hidden="false" customHeight="true" outlineLevel="0" collapsed="false">
      <c r="A11" s="11"/>
      <c r="B11" s="11"/>
      <c r="C11" s="11"/>
      <c r="D11" s="11"/>
      <c r="E11" s="11"/>
      <c r="F11" s="11"/>
      <c r="G11" s="11"/>
      <c r="H11" s="11"/>
      <c r="I11" s="11"/>
      <c r="J11" s="11"/>
      <c r="K11" s="11"/>
      <c r="L11" s="11"/>
      <c r="M11" s="11"/>
    </row>
    <row r="12" customFormat="false" ht="15" hidden="false" customHeight="true" outlineLevel="0" collapsed="false">
      <c r="A12" s="11"/>
      <c r="B12" s="11"/>
      <c r="C12" s="11"/>
      <c r="D12" s="11"/>
      <c r="E12" s="11"/>
      <c r="F12" s="11"/>
      <c r="G12" s="11"/>
      <c r="H12" s="11"/>
      <c r="I12" s="11"/>
      <c r="J12" s="11"/>
      <c r="K12" s="11"/>
      <c r="L12" s="11"/>
      <c r="M12" s="11"/>
    </row>
    <row r="13" customFormat="false" ht="15" hidden="false" customHeight="true" outlineLevel="0" collapsed="false">
      <c r="A13" s="11"/>
      <c r="B13" s="11"/>
      <c r="C13" s="11"/>
      <c r="D13" s="11"/>
      <c r="E13" s="11"/>
      <c r="F13" s="11"/>
      <c r="G13" s="11"/>
      <c r="H13" s="11"/>
      <c r="I13" s="11"/>
      <c r="J13" s="11"/>
      <c r="K13" s="11"/>
      <c r="L13" s="11"/>
      <c r="M13" s="11"/>
    </row>
    <row r="14" customFormat="false" ht="15" hidden="false" customHeight="true" outlineLevel="0" collapsed="false">
      <c r="A14" s="11"/>
      <c r="B14" s="11"/>
      <c r="C14" s="11"/>
      <c r="D14" s="11"/>
      <c r="E14" s="11"/>
      <c r="F14" s="11"/>
      <c r="G14" s="11"/>
      <c r="H14" s="11"/>
      <c r="I14" s="11"/>
      <c r="J14" s="11"/>
      <c r="K14" s="11"/>
      <c r="L14" s="11"/>
      <c r="M14" s="11"/>
    </row>
    <row r="15" customFormat="false" ht="15" hidden="false" customHeight="true" outlineLevel="0" collapsed="false">
      <c r="A15" s="11"/>
      <c r="B15" s="11"/>
      <c r="C15" s="11"/>
      <c r="D15" s="11"/>
      <c r="E15" s="11"/>
      <c r="F15" s="11"/>
      <c r="G15" s="11"/>
      <c r="H15" s="11"/>
      <c r="I15" s="11"/>
      <c r="J15" s="11"/>
      <c r="K15" s="11"/>
      <c r="L15" s="11"/>
      <c r="M15" s="11"/>
    </row>
    <row r="16" customFormat="false" ht="15" hidden="false" customHeight="true" outlineLevel="0" collapsed="false">
      <c r="A16" s="11"/>
      <c r="B16" s="11"/>
      <c r="C16" s="11"/>
      <c r="D16" s="11"/>
      <c r="E16" s="11"/>
      <c r="F16" s="11"/>
      <c r="G16" s="11"/>
      <c r="H16" s="11"/>
      <c r="I16" s="11"/>
      <c r="J16" s="11"/>
      <c r="K16" s="11"/>
      <c r="L16" s="11"/>
      <c r="M16" s="11"/>
    </row>
    <row r="17" customFormat="false" ht="15" hidden="false" customHeight="true" outlineLevel="0" collapsed="false">
      <c r="A17" s="11"/>
      <c r="B17" s="11"/>
      <c r="C17" s="11"/>
      <c r="D17" s="11"/>
      <c r="E17" s="11"/>
      <c r="F17" s="11"/>
      <c r="G17" s="11"/>
      <c r="H17" s="11"/>
      <c r="I17" s="11"/>
      <c r="J17" s="11"/>
      <c r="K17" s="11"/>
      <c r="L17" s="11"/>
      <c r="M17" s="11"/>
    </row>
    <row r="18" customFormat="false" ht="15" hidden="false" customHeight="true" outlineLevel="0" collapsed="false">
      <c r="A18" s="11"/>
      <c r="B18" s="11"/>
      <c r="C18" s="11"/>
      <c r="D18" s="11"/>
      <c r="E18" s="11"/>
      <c r="F18" s="11"/>
      <c r="G18" s="11"/>
      <c r="H18" s="11"/>
      <c r="I18" s="11"/>
      <c r="J18" s="11"/>
      <c r="K18" s="11"/>
      <c r="L18" s="11"/>
      <c r="M18" s="11"/>
    </row>
    <row r="19" customFormat="false" ht="15" hidden="false" customHeight="true" outlineLevel="0" collapsed="false">
      <c r="A19" s="11"/>
      <c r="B19" s="11"/>
      <c r="C19" s="11"/>
      <c r="D19" s="11"/>
      <c r="E19" s="11"/>
      <c r="F19" s="11"/>
      <c r="G19" s="11"/>
      <c r="H19" s="11"/>
      <c r="I19" s="11"/>
      <c r="J19" s="11"/>
      <c r="K19" s="11"/>
      <c r="L19" s="11"/>
      <c r="M19" s="11"/>
    </row>
    <row r="20" customFormat="false" ht="15" hidden="false" customHeight="true" outlineLevel="0" collapsed="false">
      <c r="A20" s="11"/>
      <c r="B20" s="11"/>
      <c r="C20" s="11"/>
      <c r="D20" s="11"/>
      <c r="E20" s="11"/>
      <c r="F20" s="11"/>
      <c r="G20" s="11"/>
      <c r="H20" s="11"/>
      <c r="I20" s="11"/>
      <c r="J20" s="11"/>
      <c r="K20" s="11"/>
      <c r="L20" s="11"/>
      <c r="M20" s="11"/>
    </row>
    <row r="21" customFormat="false" ht="15" hidden="false" customHeight="true" outlineLevel="0" collapsed="false">
      <c r="A21" s="11"/>
      <c r="B21" s="11"/>
      <c r="C21" s="11"/>
      <c r="D21" s="11"/>
      <c r="E21" s="11"/>
      <c r="F21" s="11"/>
      <c r="G21" s="11"/>
      <c r="H21" s="11"/>
      <c r="I21" s="11"/>
      <c r="J21" s="11"/>
      <c r="K21" s="11"/>
      <c r="L21" s="11"/>
      <c r="M21" s="11"/>
    </row>
    <row r="22" customFormat="false" ht="15" hidden="false" customHeight="true" outlineLevel="0" collapsed="false">
      <c r="A22" s="11"/>
      <c r="B22" s="11"/>
      <c r="C22" s="11"/>
      <c r="D22" s="11"/>
      <c r="E22" s="11"/>
      <c r="F22" s="11"/>
      <c r="G22" s="11"/>
      <c r="H22" s="11"/>
      <c r="I22" s="11"/>
      <c r="J22" s="11"/>
      <c r="K22" s="11"/>
      <c r="L22" s="11"/>
      <c r="M22" s="11"/>
    </row>
    <row r="23" customFormat="false" ht="15" hidden="false" customHeight="true" outlineLevel="0" collapsed="false">
      <c r="A23" s="11"/>
      <c r="B23" s="11"/>
      <c r="C23" s="11"/>
      <c r="D23" s="11"/>
      <c r="E23" s="11"/>
      <c r="F23" s="11"/>
      <c r="G23" s="11"/>
      <c r="H23" s="11"/>
      <c r="I23" s="11"/>
      <c r="J23" s="11"/>
      <c r="K23" s="11"/>
      <c r="L23" s="11"/>
      <c r="M23" s="11"/>
    </row>
    <row r="24" customFormat="false" ht="15" hidden="false" customHeight="true" outlineLevel="0" collapsed="false">
      <c r="A24" s="11"/>
      <c r="B24" s="11"/>
      <c r="C24" s="11"/>
      <c r="D24" s="11"/>
      <c r="E24" s="11"/>
      <c r="F24" s="11"/>
      <c r="G24" s="11"/>
      <c r="H24" s="11"/>
      <c r="I24" s="11"/>
      <c r="J24" s="11"/>
      <c r="K24" s="11"/>
      <c r="L24" s="11"/>
      <c r="M24" s="11"/>
    </row>
    <row r="25" customFormat="false" ht="15" hidden="false" customHeight="true" outlineLevel="0" collapsed="false">
      <c r="A25" s="11"/>
      <c r="B25" s="11"/>
      <c r="C25" s="11"/>
      <c r="D25" s="11"/>
      <c r="E25" s="11"/>
      <c r="F25" s="11"/>
      <c r="G25" s="11"/>
      <c r="H25" s="11"/>
      <c r="I25" s="11"/>
      <c r="J25" s="11"/>
      <c r="K25" s="11"/>
      <c r="L25" s="11"/>
      <c r="M25" s="11"/>
    </row>
    <row r="26" customFormat="false" ht="15" hidden="false" customHeight="true" outlineLevel="0" collapsed="false">
      <c r="A26" s="11"/>
      <c r="B26" s="11"/>
      <c r="C26" s="11"/>
      <c r="D26" s="11"/>
      <c r="E26" s="11"/>
      <c r="F26" s="11"/>
      <c r="G26" s="11"/>
      <c r="H26" s="11"/>
      <c r="I26" s="11"/>
      <c r="J26" s="11"/>
      <c r="K26" s="11"/>
      <c r="L26" s="11"/>
      <c r="M26" s="11"/>
    </row>
    <row r="27" customFormat="false" ht="15" hidden="false" customHeight="true" outlineLevel="0" collapsed="false">
      <c r="A27" s="11"/>
      <c r="B27" s="11"/>
      <c r="C27" s="11"/>
      <c r="D27" s="11"/>
      <c r="E27" s="11"/>
      <c r="F27" s="11"/>
      <c r="G27" s="11"/>
      <c r="H27" s="11"/>
      <c r="I27" s="11"/>
      <c r="J27" s="11"/>
      <c r="K27" s="11"/>
      <c r="L27" s="11"/>
      <c r="M27" s="11"/>
    </row>
    <row r="28" customFormat="false" ht="15" hidden="false" customHeight="true" outlineLevel="0" collapsed="false">
      <c r="A28" s="11"/>
      <c r="B28" s="11"/>
      <c r="C28" s="11"/>
      <c r="D28" s="11"/>
      <c r="E28" s="11"/>
      <c r="F28" s="11"/>
      <c r="G28" s="11"/>
      <c r="H28" s="11"/>
      <c r="I28" s="11"/>
      <c r="J28" s="11"/>
      <c r="K28" s="11"/>
      <c r="L28" s="11"/>
      <c r="M28" s="11"/>
    </row>
    <row r="29" customFormat="false" ht="15" hidden="false" customHeight="true" outlineLevel="0" collapsed="false">
      <c r="A29" s="11"/>
      <c r="B29" s="11"/>
      <c r="C29" s="11"/>
      <c r="D29" s="11"/>
      <c r="E29" s="11"/>
      <c r="F29" s="11"/>
      <c r="G29" s="11"/>
      <c r="H29" s="11"/>
      <c r="I29" s="11"/>
      <c r="J29" s="11"/>
      <c r="K29" s="11"/>
      <c r="L29" s="11"/>
      <c r="M29" s="11"/>
    </row>
    <row r="30" customFormat="false" ht="15" hidden="false" customHeight="true" outlineLevel="0" collapsed="false">
      <c r="A30" s="11"/>
      <c r="B30" s="11"/>
      <c r="C30" s="11"/>
      <c r="D30" s="11"/>
      <c r="E30" s="11"/>
      <c r="F30" s="11"/>
      <c r="G30" s="11"/>
      <c r="H30" s="11"/>
      <c r="I30" s="11"/>
      <c r="J30" s="11"/>
      <c r="K30" s="11"/>
      <c r="L30" s="11"/>
      <c r="M30" s="11"/>
    </row>
    <row r="31" customFormat="false" ht="15" hidden="false" customHeight="true" outlineLevel="0" collapsed="false">
      <c r="A31" s="11"/>
      <c r="B31" s="11"/>
      <c r="C31" s="11"/>
      <c r="D31" s="11"/>
      <c r="E31" s="11"/>
      <c r="F31" s="11"/>
      <c r="G31" s="11"/>
      <c r="H31" s="11"/>
      <c r="I31" s="11"/>
      <c r="J31" s="11"/>
      <c r="K31" s="11"/>
      <c r="L31" s="11"/>
      <c r="M31" s="11"/>
    </row>
    <row r="32" customFormat="false" ht="15" hidden="false" customHeight="true" outlineLevel="0" collapsed="false">
      <c r="A32" s="11"/>
      <c r="B32" s="11"/>
      <c r="C32" s="11"/>
      <c r="D32" s="11"/>
      <c r="E32" s="11"/>
      <c r="F32" s="11"/>
      <c r="G32" s="11"/>
      <c r="H32" s="11"/>
      <c r="I32" s="11"/>
      <c r="J32" s="11"/>
      <c r="K32" s="11"/>
      <c r="L32" s="11"/>
      <c r="M32" s="11"/>
    </row>
    <row r="33" customFormat="false" ht="15" hidden="false" customHeight="true" outlineLevel="0" collapsed="false">
      <c r="A33" s="11"/>
      <c r="B33" s="11"/>
      <c r="C33" s="11"/>
      <c r="D33" s="11"/>
      <c r="E33" s="11"/>
      <c r="F33" s="11"/>
      <c r="G33" s="11"/>
      <c r="H33" s="11"/>
      <c r="I33" s="11"/>
      <c r="J33" s="11"/>
      <c r="K33" s="11"/>
      <c r="L33" s="11"/>
      <c r="M33" s="11"/>
    </row>
    <row r="34" customFormat="false" ht="15" hidden="false" customHeight="true" outlineLevel="0" collapsed="false">
      <c r="A34" s="11"/>
      <c r="B34" s="11"/>
      <c r="C34" s="11"/>
      <c r="D34" s="11"/>
      <c r="E34" s="11"/>
      <c r="F34" s="11"/>
      <c r="G34" s="11"/>
      <c r="H34" s="11"/>
      <c r="I34" s="11"/>
      <c r="J34" s="11"/>
      <c r="K34" s="11"/>
      <c r="L34" s="11"/>
      <c r="M34" s="11"/>
    </row>
    <row r="35" customFormat="false" ht="15" hidden="false" customHeight="true" outlineLevel="0" collapsed="false">
      <c r="A35" s="11"/>
      <c r="B35" s="11"/>
      <c r="C35" s="11"/>
      <c r="D35" s="11"/>
      <c r="E35" s="11"/>
      <c r="F35" s="11"/>
      <c r="G35" s="11"/>
      <c r="H35" s="11"/>
      <c r="I35" s="11"/>
      <c r="J35" s="11"/>
      <c r="K35" s="11"/>
      <c r="L35" s="11"/>
      <c r="M35" s="11"/>
    </row>
    <row r="36" customFormat="false" ht="15" hidden="false" customHeight="true" outlineLevel="0" collapsed="false">
      <c r="A36" s="11"/>
      <c r="B36" s="11"/>
      <c r="C36" s="11"/>
      <c r="D36" s="11"/>
      <c r="E36" s="11"/>
      <c r="F36" s="11"/>
      <c r="G36" s="11"/>
      <c r="H36" s="11"/>
      <c r="I36" s="11"/>
      <c r="J36" s="11"/>
      <c r="K36" s="11"/>
      <c r="L36" s="11"/>
      <c r="M36" s="11"/>
    </row>
    <row r="37" customFormat="false" ht="15" hidden="false" customHeight="true" outlineLevel="0" collapsed="false">
      <c r="A37" s="11"/>
      <c r="B37" s="11"/>
      <c r="C37" s="11"/>
      <c r="D37" s="11"/>
      <c r="E37" s="11"/>
      <c r="F37" s="11"/>
      <c r="G37" s="11"/>
      <c r="H37" s="11"/>
      <c r="I37" s="11"/>
      <c r="J37" s="11"/>
      <c r="K37" s="11"/>
      <c r="L37" s="11"/>
      <c r="M37" s="11"/>
    </row>
    <row r="38" customFormat="false" ht="15" hidden="false" customHeight="true" outlineLevel="0" collapsed="false">
      <c r="A38" s="11"/>
      <c r="B38" s="11"/>
      <c r="C38" s="11"/>
      <c r="D38" s="11"/>
      <c r="E38" s="11"/>
      <c r="F38" s="11"/>
      <c r="G38" s="11"/>
      <c r="H38" s="11"/>
      <c r="I38" s="11"/>
      <c r="J38" s="11"/>
      <c r="K38" s="11"/>
      <c r="L38" s="11"/>
      <c r="M38" s="11"/>
    </row>
    <row r="39" customFormat="false" ht="15" hidden="false" customHeight="true" outlineLevel="0" collapsed="false">
      <c r="A39" s="11"/>
      <c r="B39" s="11"/>
      <c r="C39" s="11"/>
      <c r="D39" s="11"/>
      <c r="E39" s="11"/>
      <c r="F39" s="11"/>
      <c r="G39" s="11"/>
      <c r="H39" s="11"/>
      <c r="I39" s="11"/>
      <c r="J39" s="11"/>
      <c r="K39" s="11"/>
      <c r="L39" s="11"/>
      <c r="M39" s="11"/>
    </row>
    <row r="40" customFormat="false" ht="15" hidden="false" customHeight="true" outlineLevel="0" collapsed="false">
      <c r="A40" s="11"/>
      <c r="B40" s="11"/>
      <c r="C40" s="11"/>
      <c r="D40" s="11"/>
      <c r="E40" s="11"/>
      <c r="F40" s="11"/>
      <c r="G40" s="11"/>
      <c r="H40" s="11"/>
      <c r="I40" s="11"/>
      <c r="J40" s="11"/>
      <c r="K40" s="11"/>
      <c r="L40" s="11"/>
      <c r="M40" s="11"/>
    </row>
    <row r="41" customFormat="false" ht="15" hidden="false" customHeight="true" outlineLevel="0" collapsed="false">
      <c r="A41" s="11"/>
      <c r="B41" s="11"/>
      <c r="C41" s="11"/>
      <c r="D41" s="11"/>
      <c r="E41" s="11"/>
      <c r="F41" s="11"/>
      <c r="G41" s="11"/>
      <c r="H41" s="11"/>
      <c r="I41" s="11"/>
      <c r="J41" s="11"/>
      <c r="K41" s="11"/>
      <c r="L41" s="11"/>
      <c r="M41" s="11"/>
    </row>
    <row r="42" customFormat="false" ht="15" hidden="false" customHeight="true" outlineLevel="0" collapsed="false">
      <c r="A42" s="11"/>
      <c r="B42" s="11"/>
      <c r="C42" s="11"/>
      <c r="D42" s="11"/>
      <c r="E42" s="11"/>
      <c r="F42" s="11"/>
      <c r="G42" s="11"/>
      <c r="H42" s="11"/>
      <c r="I42" s="11"/>
      <c r="J42" s="11"/>
      <c r="K42" s="11"/>
      <c r="L42" s="11"/>
      <c r="M42" s="11"/>
    </row>
    <row r="43" customFormat="false" ht="15" hidden="false" customHeight="true" outlineLevel="0" collapsed="false">
      <c r="A43" s="11"/>
      <c r="B43" s="11"/>
      <c r="C43" s="11"/>
      <c r="D43" s="11"/>
      <c r="E43" s="11"/>
      <c r="F43" s="11"/>
      <c r="G43" s="11"/>
      <c r="H43" s="11"/>
      <c r="I43" s="11"/>
      <c r="J43" s="11"/>
      <c r="K43" s="11"/>
      <c r="L43" s="11"/>
      <c r="M43" s="11"/>
    </row>
    <row r="44" customFormat="false" ht="15" hidden="false" customHeight="true" outlineLevel="0" collapsed="false">
      <c r="A44" s="11"/>
      <c r="B44" s="11"/>
      <c r="C44" s="11"/>
      <c r="D44" s="11"/>
      <c r="E44" s="11"/>
      <c r="F44" s="11"/>
      <c r="G44" s="11"/>
      <c r="H44" s="11"/>
      <c r="I44" s="11"/>
      <c r="J44" s="11"/>
      <c r="K44" s="11"/>
      <c r="L44" s="11"/>
      <c r="M44" s="11"/>
    </row>
    <row r="45" customFormat="false" ht="15" hidden="false" customHeight="true" outlineLevel="0" collapsed="false">
      <c r="A45" s="11"/>
      <c r="B45" s="11"/>
      <c r="C45" s="11"/>
      <c r="D45" s="11"/>
      <c r="E45" s="11"/>
      <c r="F45" s="11"/>
      <c r="G45" s="11"/>
      <c r="H45" s="11"/>
      <c r="I45" s="11"/>
      <c r="J45" s="11"/>
      <c r="K45" s="11"/>
      <c r="L45" s="11"/>
      <c r="M45" s="11"/>
    </row>
    <row r="46" customFormat="false" ht="15" hidden="false" customHeight="true" outlineLevel="0" collapsed="false">
      <c r="A46" s="11"/>
      <c r="B46" s="11"/>
      <c r="C46" s="11"/>
      <c r="D46" s="11"/>
      <c r="E46" s="11"/>
      <c r="F46" s="11"/>
      <c r="G46" s="11"/>
      <c r="H46" s="11"/>
      <c r="I46" s="11"/>
      <c r="J46" s="11"/>
      <c r="K46" s="11"/>
      <c r="L46" s="11"/>
      <c r="M46" s="11"/>
    </row>
    <row r="47" customFormat="false" ht="15" hidden="false" customHeight="true" outlineLevel="0" collapsed="false">
      <c r="A47" s="11"/>
      <c r="B47" s="11"/>
      <c r="C47" s="11"/>
      <c r="D47" s="11"/>
      <c r="E47" s="11"/>
      <c r="F47" s="11"/>
      <c r="G47" s="11"/>
      <c r="H47" s="11"/>
      <c r="I47" s="11"/>
      <c r="J47" s="11"/>
      <c r="K47" s="11"/>
      <c r="L47" s="11"/>
      <c r="M47" s="11"/>
    </row>
    <row r="48" customFormat="false" ht="15" hidden="false" customHeight="true" outlineLevel="0" collapsed="false">
      <c r="A48" s="11"/>
      <c r="B48" s="11"/>
      <c r="C48" s="11"/>
      <c r="D48" s="11"/>
      <c r="E48" s="11"/>
      <c r="F48" s="11"/>
      <c r="G48" s="11"/>
      <c r="H48" s="11"/>
      <c r="I48" s="11"/>
      <c r="J48" s="11"/>
      <c r="K48" s="11"/>
      <c r="L48" s="11"/>
      <c r="M48" s="11"/>
    </row>
    <row r="49" customFormat="false" ht="15" hidden="false" customHeight="true" outlineLevel="0" collapsed="false">
      <c r="A49" s="11"/>
      <c r="B49" s="11"/>
      <c r="C49" s="11"/>
      <c r="D49" s="11"/>
      <c r="E49" s="11"/>
      <c r="F49" s="11"/>
      <c r="G49" s="11"/>
      <c r="H49" s="11"/>
      <c r="I49" s="11"/>
      <c r="J49" s="11"/>
      <c r="K49" s="11"/>
      <c r="L49" s="11"/>
      <c r="M49" s="11"/>
    </row>
    <row r="50" customFormat="false" ht="15" hidden="false" customHeight="true" outlineLevel="0" collapsed="false">
      <c r="A50" s="11"/>
      <c r="B50" s="11"/>
      <c r="C50" s="11"/>
      <c r="D50" s="11"/>
      <c r="E50" s="11"/>
      <c r="F50" s="11"/>
      <c r="G50" s="11"/>
      <c r="H50" s="11"/>
      <c r="I50" s="11"/>
      <c r="J50" s="11"/>
      <c r="K50" s="11"/>
      <c r="L50" s="11"/>
      <c r="M50" s="11"/>
    </row>
    <row r="51" customFormat="false" ht="15" hidden="false" customHeight="true" outlineLevel="0" collapsed="false">
      <c r="A51" s="11"/>
      <c r="B51" s="11"/>
      <c r="C51" s="11"/>
      <c r="D51" s="11"/>
      <c r="E51" s="11"/>
      <c r="F51" s="11"/>
      <c r="G51" s="11"/>
      <c r="H51" s="11"/>
      <c r="I51" s="11"/>
      <c r="J51" s="11"/>
      <c r="K51" s="11"/>
      <c r="L51" s="11"/>
      <c r="M51" s="11"/>
    </row>
    <row r="52" customFormat="false" ht="15" hidden="false" customHeight="true" outlineLevel="0" collapsed="false">
      <c r="A52" s="11"/>
      <c r="B52" s="11"/>
      <c r="C52" s="11"/>
      <c r="D52" s="11"/>
      <c r="E52" s="11"/>
      <c r="F52" s="11"/>
      <c r="G52" s="11"/>
      <c r="H52" s="11"/>
      <c r="I52" s="11"/>
      <c r="J52" s="11"/>
      <c r="K52" s="11"/>
      <c r="L52" s="11"/>
      <c r="M52" s="11"/>
    </row>
    <row r="53" customFormat="false" ht="15" hidden="false" customHeight="true" outlineLevel="0" collapsed="false">
      <c r="A53" s="11"/>
      <c r="B53" s="11"/>
      <c r="C53" s="11"/>
      <c r="D53" s="11"/>
      <c r="E53" s="11"/>
      <c r="F53" s="11"/>
      <c r="G53" s="11"/>
      <c r="H53" s="11"/>
      <c r="I53" s="11"/>
      <c r="J53" s="11"/>
      <c r="K53" s="11"/>
      <c r="L53" s="11"/>
      <c r="M53" s="11"/>
    </row>
    <row r="54" customFormat="false" ht="15" hidden="false" customHeight="true" outlineLevel="0" collapsed="false">
      <c r="A54" s="11"/>
      <c r="B54" s="11"/>
      <c r="C54" s="11"/>
      <c r="D54" s="11"/>
      <c r="E54" s="11"/>
      <c r="F54" s="11"/>
      <c r="G54" s="11"/>
      <c r="H54" s="11"/>
      <c r="I54" s="11"/>
      <c r="J54" s="11"/>
      <c r="K54" s="11"/>
      <c r="L54" s="11"/>
      <c r="M54" s="11"/>
    </row>
    <row r="55" customFormat="false" ht="15" hidden="false" customHeight="true" outlineLevel="0" collapsed="false">
      <c r="A55" s="11"/>
      <c r="B55" s="11"/>
      <c r="C55" s="11"/>
      <c r="D55" s="11"/>
      <c r="E55" s="11"/>
      <c r="F55" s="11"/>
      <c r="G55" s="11"/>
      <c r="H55" s="11"/>
      <c r="I55" s="11"/>
      <c r="J55" s="11"/>
      <c r="K55" s="11"/>
      <c r="L55" s="11"/>
      <c r="M55" s="11"/>
    </row>
    <row r="56" customFormat="false" ht="15" hidden="false" customHeight="true" outlineLevel="0" collapsed="false">
      <c r="A56" s="11"/>
      <c r="B56" s="11"/>
      <c r="C56" s="11"/>
      <c r="D56" s="11"/>
      <c r="E56" s="11"/>
      <c r="F56" s="11"/>
      <c r="G56" s="11"/>
      <c r="H56" s="11"/>
      <c r="I56" s="11"/>
      <c r="J56" s="11"/>
      <c r="K56" s="11"/>
      <c r="L56" s="11"/>
      <c r="M56" s="11"/>
    </row>
    <row r="57" customFormat="false" ht="15" hidden="false" customHeight="true" outlineLevel="0" collapsed="false">
      <c r="A57" s="11"/>
      <c r="B57" s="11"/>
      <c r="C57" s="11"/>
      <c r="D57" s="11"/>
      <c r="E57" s="11"/>
      <c r="F57" s="11"/>
      <c r="G57" s="11"/>
      <c r="H57" s="11"/>
      <c r="I57" s="11"/>
      <c r="J57" s="11"/>
      <c r="K57" s="11"/>
      <c r="L57" s="11"/>
      <c r="M57" s="11"/>
    </row>
    <row r="58" customFormat="false" ht="15" hidden="false" customHeight="true" outlineLevel="0" collapsed="false">
      <c r="A58" s="11"/>
      <c r="B58" s="11"/>
      <c r="C58" s="11"/>
      <c r="D58" s="11"/>
      <c r="E58" s="11"/>
      <c r="F58" s="11"/>
      <c r="G58" s="11"/>
      <c r="H58" s="11"/>
      <c r="I58" s="11"/>
      <c r="J58" s="11"/>
      <c r="K58" s="11"/>
      <c r="L58" s="11"/>
      <c r="M58" s="11"/>
    </row>
    <row r="59" customFormat="false" ht="15" hidden="false" customHeight="true" outlineLevel="0" collapsed="false">
      <c r="A59" s="11"/>
      <c r="B59" s="11"/>
      <c r="C59" s="11"/>
      <c r="D59" s="11"/>
      <c r="E59" s="11"/>
      <c r="F59" s="11"/>
      <c r="G59" s="11"/>
      <c r="H59" s="11"/>
      <c r="I59" s="11"/>
      <c r="J59" s="11"/>
      <c r="K59" s="11"/>
      <c r="L59" s="11"/>
      <c r="M59" s="11"/>
    </row>
  </sheetData>
  <autoFilter ref="A1:M59"/>
  <dataValidations count="3">
    <dataValidation allowBlank="true" errorStyle="stop" operator="between" showDropDown="false" showErrorMessage="false" showInputMessage="false" sqref="D2:D500" type="list">
      <formula1>"Critical,High,Medium,Low"</formula1>
      <formula2>0</formula2>
    </dataValidation>
    <dataValidation allowBlank="true" errorStyle="stop" operator="between" showDropDown="false" showErrorMessage="false" showInputMessage="false" sqref="E2:E500" type="list">
      <formula1>"P1,P2,P3,P4"</formula1>
      <formula2>0</formula2>
    </dataValidation>
    <dataValidation allowBlank="true" errorStyle="stop" operator="between" showDropDown="false" showErrorMessage="false" showInputMessage="false" sqref="F2:F500" type="list">
      <formula1>"Open,In Progress,Fixed - Retest,Closed,Deferred"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2025-08-01T22:55:01Z</dcterms:created>
  <dc:creator/>
  <dc:description/>
  <dc:language>en-US</dc:language>
  <cp:lastModifiedBy>Sarah Gamba</cp:lastModifiedBy>
  <dcterms:modified xsi:type="dcterms:W3CDTF">2026-07-21T18:00:19Z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