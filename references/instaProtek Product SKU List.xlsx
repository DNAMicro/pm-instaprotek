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nstaprotekcom-my.sharepoint.com/personal/robert_instaprotek_com/Documents/"/>
    </mc:Choice>
  </mc:AlternateContent>
  <xr:revisionPtr revIDLastSave="0" documentId="8_{FB96AC0D-1831-4296-8527-8B8D4866FF83}" xr6:coauthVersionLast="47" xr6:coauthVersionMax="47" xr10:uidLastSave="{00000000-0000-0000-0000-000000000000}"/>
  <bookViews>
    <workbookView xWindow="-98" yWindow="-98" windowWidth="21795" windowHeight="13695" firstSheet="2" activeTab="2" xr2:uid="{00000000-000D-0000-FFFF-FFFF00000000}"/>
  </bookViews>
  <sheets>
    <sheet name="SKUs" sheetId="1" r:id="rId1"/>
    <sheet name="Notes" sheetId="3" r:id="rId2"/>
    <sheet name="New SKUs 2026" sheetId="4" r:id="rId3"/>
    <sheet name="InfoCase SKUs" sheetId="5" r:id="rId4"/>
  </sheets>
  <definedNames>
    <definedName name="_xlnm._FilterDatabase" localSheetId="0" hidden="1">SKUs!$F$1:$F$162</definedName>
    <definedName name="_xlnm._FilterDatabase" localSheetId="2" hidden="1">'New SKUs 2026'!$D$1:$D$157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" i="5" l="1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19" i="5"/>
  <c r="P29" i="5"/>
  <c r="P33" i="5" s="1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31" i="5"/>
  <c r="D32" i="5"/>
  <c r="D33" i="5"/>
  <c r="D34" i="5"/>
  <c r="D35" i="5"/>
  <c r="D36" i="5"/>
  <c r="D37" i="5"/>
  <c r="D38" i="5"/>
  <c r="D39" i="5"/>
  <c r="D40" i="5"/>
  <c r="D41" i="5"/>
  <c r="D42" i="5"/>
  <c r="D20" i="5"/>
  <c r="D21" i="5"/>
  <c r="D22" i="5"/>
  <c r="D23" i="5"/>
  <c r="D24" i="5"/>
  <c r="D25" i="5"/>
  <c r="D26" i="5"/>
  <c r="D27" i="5"/>
  <c r="D28" i="5"/>
  <c r="D29" i="5"/>
  <c r="D30" i="5"/>
  <c r="D19" i="5"/>
  <c r="G158" i="1"/>
  <c r="D87" i="4"/>
  <c r="E48" i="4"/>
  <c r="I51" i="1"/>
  <c r="G90" i="1"/>
</calcChain>
</file>

<file path=xl/sharedStrings.xml><?xml version="1.0" encoding="utf-8"?>
<sst xmlns="http://schemas.openxmlformats.org/spreadsheetml/2006/main" count="820" uniqueCount="429">
  <si>
    <t>Product/Service List</t>
  </si>
  <si>
    <t>instaProtek</t>
  </si>
  <si>
    <t>Product/Service full name</t>
  </si>
  <si>
    <t>Min Product Price</t>
  </si>
  <si>
    <t>Max Product Price</t>
  </si>
  <si>
    <t>Deductible</t>
  </si>
  <si>
    <t>SKU</t>
  </si>
  <si>
    <t>Sales price</t>
  </si>
  <si>
    <t>Dealer Cost</t>
  </si>
  <si>
    <t>Service Notes</t>
  </si>
  <si>
    <t>Enterprise Extended Service Contract:Extended Service Contract 1 yr $1,000 $0 deductible</t>
  </si>
  <si>
    <t>ESC100012MO00IK</t>
  </si>
  <si>
    <t>Enterprise Extended Service Contract:Extended Service Contract 1 yr $1,000 $50 deductible</t>
  </si>
  <si>
    <t>ESC100012MO50IK</t>
  </si>
  <si>
    <t>EESC</t>
  </si>
  <si>
    <t>Enterprise Extended Service Contract:Extended Service Contract 1 yr $1,000 $75 deductible</t>
  </si>
  <si>
    <t>ESC100012MO75IK</t>
  </si>
  <si>
    <t>PCPG</t>
  </si>
  <si>
    <t>Enterprise Extended Service Contract:Extended Service Contract 1 yr $300 $0 deductible</t>
  </si>
  <si>
    <t>ESC030012MO00IK</t>
  </si>
  <si>
    <t>PSPG</t>
  </si>
  <si>
    <t>Enterprise Extended Service Contract:Extended Service Contract 1 yr $300 $50 deductible</t>
  </si>
  <si>
    <t>ESC030012MO50IK</t>
  </si>
  <si>
    <t>Enterprise Extended Service Contract:Extended Service Contract 1 yr $300 $75 deductible</t>
  </si>
  <si>
    <t>ESC030012MO75IK</t>
  </si>
  <si>
    <t>Enterprise Extended Service Contract:Extended Service Contract 1 yr $400 $0 deductible</t>
  </si>
  <si>
    <t>ESC040012MO00IK</t>
  </si>
  <si>
    <t>Enterprise Extended Service Contract:Extended Service Contract 1 yr $400 $50 deductible</t>
  </si>
  <si>
    <t>ESC040012MO50IK</t>
  </si>
  <si>
    <t>Enterprise Extended Service Contract:Extended Service Contract 1 yr $400 $75 deductible</t>
  </si>
  <si>
    <t>ESC040012MO75IK</t>
  </si>
  <si>
    <t>Enterprise Extended Service Contract:Extended Service Contract 1 yr $500 $0 deductible</t>
  </si>
  <si>
    <t>ESC050012MO00IK</t>
  </si>
  <si>
    <t>Enterprise Extended Service Contract:Extended Service Contract 1 yr $500 $50 deductible</t>
  </si>
  <si>
    <t>ESC050012MO50IK</t>
  </si>
  <si>
    <t>Enterprise Extended Service Contract:Extended Service Contract 1 yr $500 $75 deductible</t>
  </si>
  <si>
    <t>ESC050012MO75IK</t>
  </si>
  <si>
    <t>Enterprise Extended Service Contract:Extended Service Contract 1 yr $750 $0 deductible</t>
  </si>
  <si>
    <t>ESC075012MO00IK</t>
  </si>
  <si>
    <t>Enterprise Extended Service Contract:Extended Service Contract 1 yr $750 $50 deductible</t>
  </si>
  <si>
    <t>ESC075012MO50IK</t>
  </si>
  <si>
    <t>Enterprise Extended Service Contract:Extended Service Contract 1 yr $750 $75 deductible</t>
  </si>
  <si>
    <t>ESC075012MO75IK</t>
  </si>
  <si>
    <t>Enterprise Extended Service Contract:Extended Service Contract 2 yr $1,000 $0 deductible</t>
  </si>
  <si>
    <t>ESC100024MO00IK</t>
  </si>
  <si>
    <t>Enterprise Extended Service Contract:Extended Service Contract 2 yr $1,000 $50 deductible</t>
  </si>
  <si>
    <t>ESC100024MO50IK</t>
  </si>
  <si>
    <t>Enterprise Extended Service Contract:Extended Service Contract 2 yr $1,000 $75 deductible</t>
  </si>
  <si>
    <t>ESC100024MO75IK</t>
  </si>
  <si>
    <t>Enterprise Extended Service Contract:Extended Service Contract 2 yr $300 $0 deductible</t>
  </si>
  <si>
    <t>ESC030024MO00IK</t>
  </si>
  <si>
    <t>Enterprise Extended Service Contract:Extended Service Contract 2 yr $300 $50 deductible</t>
  </si>
  <si>
    <t>ESC050024MO50IK</t>
  </si>
  <si>
    <t>Enterprise Extended Service Contract:Extended Service Contract 2 yr $300 $75 deductible</t>
  </si>
  <si>
    <t>ESC030024MO75IK</t>
  </si>
  <si>
    <t>Enterprise Extended Service Contract:Extended Service Contract 2 yr $400 $0 deductible</t>
  </si>
  <si>
    <t>ESC040024MO00IK</t>
  </si>
  <si>
    <t>Enterprise Extended Service Contract:Extended Service Contract 2 yr $400 $50 deductible</t>
  </si>
  <si>
    <t>ESC040024MO50IK</t>
  </si>
  <si>
    <t>Enterprise Extended Service Contract:Extended Service Contract 2 yr $400 $75 deductible</t>
  </si>
  <si>
    <t>ESC040024MO75IK</t>
  </si>
  <si>
    <t>Enterprise Extended Service Contract:Extended Service Contract 2 yr $500 $0 deductible</t>
  </si>
  <si>
    <t>ESC050024MO00IK</t>
  </si>
  <si>
    <t>Enterprise Extended Service Contract:Extended Service Contract 2 yr $500 $50 deductible</t>
  </si>
  <si>
    <t>Enterprise Extended Service Contract:Extended Service Contract 2 yr $500 $75 deductible</t>
  </si>
  <si>
    <t>ESC050024MO75IK</t>
  </si>
  <si>
    <t>Enterprise Extended Service Contract:Extended Service Contract 2 yr $750 $0 deductible</t>
  </si>
  <si>
    <t>ESC075024MO00IK</t>
  </si>
  <si>
    <t>Enterprise Extended Service Contract:Extended Service Contract 2 yr $750 $50 deductible</t>
  </si>
  <si>
    <t>ESC075024MO50IK</t>
  </si>
  <si>
    <t>Enterprise Extended Service Contract:Extended Service Contract 2 yr $750 $75 deductible</t>
  </si>
  <si>
    <t>ESC075024MO75IK</t>
  </si>
  <si>
    <t>Enterprise Extended Service Contract:Extended Service Contract 3 yr $1,000 $0 deductible</t>
  </si>
  <si>
    <t>ESC100036MO00IK</t>
  </si>
  <si>
    <t>Enterprise Extended Service Contract:Extended Service Contract 3 yr $1,000 $50 deductible</t>
  </si>
  <si>
    <t>ESC100036MO50IK</t>
  </si>
  <si>
    <t>Enterprise Extended Service Contract:Extended Service Contract 3 yr $1,000 $75 deductible</t>
  </si>
  <si>
    <t>ESC100036MO75IK</t>
  </si>
  <si>
    <t>Enterprise Extended Service Contract:Extended Service Contract 3 yr $300 $0 deductible</t>
  </si>
  <si>
    <t>ESC030036MO00IK</t>
  </si>
  <si>
    <t>Enterprise Extended Service Contract:Extended Service Contract 3 yr $500 $0 deductible</t>
  </si>
  <si>
    <t>ESC050036MO00IK</t>
  </si>
  <si>
    <t>Enterprise Extended Service Contract:Extended Service Contract 3 yr $500 $50 deductible</t>
  </si>
  <si>
    <t>ESC050036MO50IK</t>
  </si>
  <si>
    <t>Enterprise Extended Service Contract:Extended Service Contract 3 yr $500 $75 deductible</t>
  </si>
  <si>
    <t>ESC050036MO75IK</t>
  </si>
  <si>
    <t>Enterprise Extended Service Contract:Extended Service Contract 3 yr $750 $0 deductible</t>
  </si>
  <si>
    <t>ESC075036MO00IK</t>
  </si>
  <si>
    <t>Enterprise Extended Service Contract:Extended Service Contract 3 yr $750 $50 deductible</t>
  </si>
  <si>
    <t>ESC075036MO50IK</t>
  </si>
  <si>
    <t>Enterprise Extended Service Contract:Extended Service Contract 3 yr $750 $75 deductible</t>
  </si>
  <si>
    <t>ESC075036MO75IK</t>
  </si>
  <si>
    <t>Enterprise Extended Service Contract:Extended Service Contract 4 yr $1,000 $0 deductible</t>
  </si>
  <si>
    <t>ESC100048MO00IK</t>
  </si>
  <si>
    <t>Enterprise Extended Service Contract:Extended Service Contract 4 yr $1,000 $50 deductible</t>
  </si>
  <si>
    <t>ESC100048MO50IK</t>
  </si>
  <si>
    <t>Enterprise Extended Service Contract:Extended Service Contract 4 yr $1,000 $75 deductible</t>
  </si>
  <si>
    <t>ESC100048MO75IK</t>
  </si>
  <si>
    <t>Enterprise Extended Service Contract:Extended Service Contract 4 yr $300 $0 deductible</t>
  </si>
  <si>
    <t>ESC030048MO00IK</t>
  </si>
  <si>
    <t>new price point</t>
  </si>
  <si>
    <t>Enterprise Extended Service Contract:Extended Service Contract 4 yr $500 $0 deductible</t>
  </si>
  <si>
    <t>ESC050048MO00IK</t>
  </si>
  <si>
    <t xml:space="preserve">on our sheet </t>
  </si>
  <si>
    <t>Enterprise Extended Service Contract:Extended Service Contract 4 yr $500 $50 deductible</t>
  </si>
  <si>
    <t>ESC050048MO50IK</t>
  </si>
  <si>
    <t>Enterprise Extended Service Contract:Extended Service Contract 4 yr $500 $75 deductible</t>
  </si>
  <si>
    <t>ESC050048MO75IK</t>
  </si>
  <si>
    <t>Remove Extended / change to Enterprise Service Contract</t>
  </si>
  <si>
    <t>Enterprise Extended Service Contract:Extended Service Contract 4 yr $750 $0 deductible</t>
  </si>
  <si>
    <t>ESC075048MO00IK</t>
  </si>
  <si>
    <t>Enterprise Extended Service Contract:Extended Service Contract 4 yr $750 $50 deductible</t>
  </si>
  <si>
    <t>ESC075048MO50IK</t>
  </si>
  <si>
    <t>Enterprise Extended Service Contract:Extended Service Contract 4 yr $750 $75 deductible</t>
  </si>
  <si>
    <t>ESC075048MO75IK</t>
  </si>
  <si>
    <t>Enterprise Extended Warranty:Enterprise Extended Warranty m106 1 Year</t>
  </si>
  <si>
    <t>EXWm10612MOIK</t>
  </si>
  <si>
    <t>add CSG</t>
  </si>
  <si>
    <t>ESC035048MO00IK</t>
  </si>
  <si>
    <t>Enterprise Extended Warranty:Enterprise Extended Warranty m106 2 Year</t>
  </si>
  <si>
    <t>EXWm10624MOIK</t>
  </si>
  <si>
    <t>Enterprise Extended Warranty:Enterprise Extended Warranty m106 3 Year</t>
  </si>
  <si>
    <t>EXWm10636MOIK</t>
  </si>
  <si>
    <t>Enterprise Extended Warranty:Enterprise Extended Warranty m106 4 Year</t>
  </si>
  <si>
    <t>EXWm10648MOIK</t>
  </si>
  <si>
    <t>Enterprise Extended Warranty:Enterprise Extended Warranty m106 Pro 1 Year</t>
  </si>
  <si>
    <t>EXWm106 Pro12MOIK</t>
  </si>
  <si>
    <t>Enterprise Extended Warranty:Enterprise Extended Warranty m106 Pro 2 Year</t>
  </si>
  <si>
    <t>EXWm106 Pro24MOIK</t>
  </si>
  <si>
    <t>Enterprise Extended Warranty:Enterprise Extended Warranty m106 Pro 3 Year</t>
  </si>
  <si>
    <t>EXWm106 Pro36MOIK</t>
  </si>
  <si>
    <t>Enterprise Extended Warranty:Enterprise Extended Warranty m106 Pro 4 Year</t>
  </si>
  <si>
    <t>EXWm106 Pro48MOIK</t>
  </si>
  <si>
    <t>Enterprise Extended Warranty:Enterprise Extended Warranty m212 1 Year</t>
  </si>
  <si>
    <t>EXWm21212MOIK</t>
  </si>
  <si>
    <t>Enterprise Extended Warranty:Enterprise Extended Warranty m212 2 Year</t>
  </si>
  <si>
    <t>EXWm21224MOIK</t>
  </si>
  <si>
    <t>Enterprise Extended Warranty:Enterprise Extended Warranty m212 3 Year</t>
  </si>
  <si>
    <t>EXWm21236MOIK</t>
  </si>
  <si>
    <t>Enterprise Extended Warranty:Enterprise Extended Warranty m212 4 Year</t>
  </si>
  <si>
    <t>EXWm21248MOIK</t>
  </si>
  <si>
    <t>Enterprise Extended Warranty:Enterprise Extended Warranty m519 1 Year</t>
  </si>
  <si>
    <t>EXWm51912MOIK</t>
  </si>
  <si>
    <t>Enterprise Extended Warranty:Enterprise Extended Warranty m519 2 Year</t>
  </si>
  <si>
    <t>EXWm51924MOIK</t>
  </si>
  <si>
    <t>Enterprise Extended Warranty:Enterprise Extended Warranty m519 3 Year</t>
  </si>
  <si>
    <t>EXWm51936MOIK</t>
  </si>
  <si>
    <t>Enterprise Extended Warranty:Enterprise Extended Warranty m519 4 Year</t>
  </si>
  <si>
    <t>EXWm51948MOIK</t>
  </si>
  <si>
    <t>Enterprise Product Guarantee:Enterprise Product Guarantee 1yr $1,000</t>
  </si>
  <si>
    <t>EPG100012MOIK</t>
  </si>
  <si>
    <t>Enterprise Product Guarantee:Enterprise Product Guarantee 1yr $200</t>
  </si>
  <si>
    <t>EPG020012MOIK</t>
  </si>
  <si>
    <t>Enterprise Product Guarantee:Enterprise Product Guarantee 1yr $250</t>
  </si>
  <si>
    <t>EPG025012MOIK</t>
  </si>
  <si>
    <t>Enterprise Product Guarantee:Enterprise Product Guarantee 1yr $300</t>
  </si>
  <si>
    <t>EPG030012MOIK</t>
  </si>
  <si>
    <t>Enterprise Product Guarantee:Enterprise Product Guarantee 1yr $350</t>
  </si>
  <si>
    <t>EPG035012MOIK</t>
  </si>
  <si>
    <t>Enterprise Product Guarantee:Enterprise Product Guarantee 1yr $400</t>
  </si>
  <si>
    <t>EPG040012MOIK</t>
  </si>
  <si>
    <t>Enterprise Product Guarantee:Enterprise Product Guarantee 1yr $600</t>
  </si>
  <si>
    <t>EPG060012MOIK</t>
  </si>
  <si>
    <t>Enterprise Product Guarantee:Enterprise Product Guarantee 1yr $800</t>
  </si>
  <si>
    <t>EPG080012MOIK</t>
  </si>
  <si>
    <t>Enterprise Product Guarantee:Enterprise Product Guarantee 2yr $1,000</t>
  </si>
  <si>
    <t>EPG100024MOIK</t>
  </si>
  <si>
    <t>Enterprise Product Guarantee:Enterprise Product Guarantee 2yr $200</t>
  </si>
  <si>
    <t>EPG020024MOIK</t>
  </si>
  <si>
    <t>Enterprise Product Guarantee:Enterprise Product Guarantee 2yr $250</t>
  </si>
  <si>
    <t>EPG025024MOIK</t>
  </si>
  <si>
    <t>Enterprise Product Guarantee:Enterprise Product Guarantee 2yr $300</t>
  </si>
  <si>
    <t>EPG030024MOIK</t>
  </si>
  <si>
    <t>Enterprise Product Guarantee:Enterprise Product Guarantee 2yr $350</t>
  </si>
  <si>
    <t>EPG035024MOIK</t>
  </si>
  <si>
    <t>Enterprise Product Guarantee:Enterprise Product Guarantee 2yr $400</t>
  </si>
  <si>
    <t>EPG040024MOIK</t>
  </si>
  <si>
    <t>Enterprise Product Guarantee:Enterprise Product Guarantee 2yr $600</t>
  </si>
  <si>
    <t>EPG060024MOIK</t>
  </si>
  <si>
    <t>Enterprise Product Guarantee:Enterprise Product Guarantee 2yr $800</t>
  </si>
  <si>
    <t>EPG080024MOIK</t>
  </si>
  <si>
    <t>Enterprise Product Guarantee:Enterprise Product Guarantee 2yr $900</t>
  </si>
  <si>
    <t>EPG090024MOIK</t>
  </si>
  <si>
    <t>Enterprise Product Guarantee:Enterprise Product Guarantee 3yr $1,000</t>
  </si>
  <si>
    <t>EPG100036MOIK</t>
  </si>
  <si>
    <t>Enterprise Product Guarantee:Enterprise Product Guarantee 3yr $200</t>
  </si>
  <si>
    <t>EPG020036MOIK</t>
  </si>
  <si>
    <t>Enterprise Product Guarantee:Enterprise Product Guarantee 3yr $250</t>
  </si>
  <si>
    <t>EPG025036MOIK</t>
  </si>
  <si>
    <t>Enterprise Product Guarantee:Enterprise Product Guarantee 3yr $300</t>
  </si>
  <si>
    <t>EPG030036MOIK</t>
  </si>
  <si>
    <t>Enterprise Product Guarantee:Enterprise Product Guarantee 3yr $350</t>
  </si>
  <si>
    <t>EPG035036MOIK</t>
  </si>
  <si>
    <t>Enterprise Product Guarantee:Enterprise Product Guarantee 3yr $400</t>
  </si>
  <si>
    <t>EPG040036MOIK</t>
  </si>
  <si>
    <t>Enterprise Product Guarantee:Enterprise Product Guarantee 3yr $600</t>
  </si>
  <si>
    <t>EPG060036MOIK</t>
  </si>
  <si>
    <t>Enterprise Product Guarantee:Enterprise Product Guarantee 3yr $800</t>
  </si>
  <si>
    <t>EPG080036MOIK</t>
  </si>
  <si>
    <t>Enterprise Product Guarantee:Enterprise Product Guarantee 4yr $1,000</t>
  </si>
  <si>
    <t>EPG100048MOIK</t>
  </si>
  <si>
    <t>Enterprise Product Guarantee:Enterprise Product Guarantee 4yr $200</t>
  </si>
  <si>
    <t>EPG020048MOIK</t>
  </si>
  <si>
    <t>Enterprise Product Guarantee:Enterprise Product Guarantee 4yr $250</t>
  </si>
  <si>
    <t>EPG025048MOIK</t>
  </si>
  <si>
    <t>Enterprise Product Guarantee:Enterprise Product Guarantee 4yr $300</t>
  </si>
  <si>
    <t>EPG030048MOIK</t>
  </si>
  <si>
    <t>Enterprise Product Guarantee:Enterprise Product Guarantee 4yr $350</t>
  </si>
  <si>
    <t>EPG035048MOIK</t>
  </si>
  <si>
    <t>Enterprise Product Guarantee:Enterprise Product Guarantee 4yr $400</t>
  </si>
  <si>
    <t>EPG040048MOIK</t>
  </si>
  <si>
    <t>Enterprise Product Guarantee:Enterprise Product Guarantee 4yr $600</t>
  </si>
  <si>
    <t>EPG060048MOIK</t>
  </si>
  <si>
    <t>Enterprise Product Guarantee:Enterprise Product Guarantee 4yr $800</t>
  </si>
  <si>
    <t>EPG080048MOIK</t>
  </si>
  <si>
    <t>Enterprise Product Guarantee:EPG Case Glass Bundle 2yr $500</t>
  </si>
  <si>
    <t>CTEPG050024MOIK</t>
  </si>
  <si>
    <t>Enterprise Product Guarantee:Pocketalk Case Guarantee 12</t>
  </si>
  <si>
    <t>PTCAPG025012MOIK</t>
  </si>
  <si>
    <t>Enterprise Product Guarantee:Pocketalk Case Guarantee 24</t>
  </si>
  <si>
    <t>PTCAPG025024MOIK</t>
  </si>
  <si>
    <t>Enterprise Product Guarantee:Pocketalk Case Guarantee 36</t>
  </si>
  <si>
    <t>PTCAPG025036MOIK</t>
  </si>
  <si>
    <t>Enterprise Product Guarantee:Pocketalk Case + Screen Guarantee 12</t>
  </si>
  <si>
    <t>PTCPPG025012MOIK</t>
  </si>
  <si>
    <t>PCSPPG</t>
  </si>
  <si>
    <t>Enterprise Product Guarantee:Pocketalk Case + Screen Guarantee 24</t>
  </si>
  <si>
    <t>PTCPPG025024MOIK</t>
  </si>
  <si>
    <t>Enterprise Product Guarantee:Pocketalk Case + Screen Guarantee 36</t>
  </si>
  <si>
    <t>PTCPPG025036MOIK</t>
  </si>
  <si>
    <t>Enterprise Product Guarantee:UZBL Enterprise Product Guarantee 1yr $200</t>
  </si>
  <si>
    <t>UZBL-EPG020012MOIK</t>
  </si>
  <si>
    <t>add PC</t>
  </si>
  <si>
    <r>
      <rPr>
        <sz val="8"/>
        <color rgb="FF000000"/>
        <rFont val="Arial"/>
      </rPr>
      <t>UZBL-E</t>
    </r>
    <r>
      <rPr>
        <b/>
        <sz val="8"/>
        <color rgb="FF000000"/>
        <rFont val="Arial"/>
      </rPr>
      <t>PC</t>
    </r>
    <r>
      <rPr>
        <sz val="8"/>
        <color rgb="FF000000"/>
        <rFont val="Arial"/>
      </rPr>
      <t>PG020012MOIK</t>
    </r>
  </si>
  <si>
    <t>Enterprise Product Guarantee:UZBL Enterprise Product Guarantee 2yr $200</t>
  </si>
  <si>
    <t>UZBL-EPG020024MOIK</t>
  </si>
  <si>
    <t>Enterprise Product Guarantee:UZBL Enterprise Product Guarantee 3yr $200</t>
  </si>
  <si>
    <t>UZBL-EPG020036MOIK</t>
  </si>
  <si>
    <t>Enterprise Product Guarantee:UZBL Enterprise Product Guarantee 4yr $200</t>
  </si>
  <si>
    <t>UZBL-EPG020048MOIK</t>
  </si>
  <si>
    <t>Enterprise Product Guarantee:UZBL Enterprise Product Guarantee 1yr $250</t>
  </si>
  <si>
    <t>UZBL-EPG025012MOIK</t>
  </si>
  <si>
    <t>Enterprise Product Guarantee:UZBL Enterprise Product Guarantee 2yr $250</t>
  </si>
  <si>
    <t>UZBL-EPG025024MOIK</t>
  </si>
  <si>
    <t>Enterprise Product Guarantee:UZBL Enterprise Product Guarantee 3yr $250</t>
  </si>
  <si>
    <t>UZBL-EPG025036MOIK</t>
  </si>
  <si>
    <t>Enterprise Product Guarantee:UZBL Enterprise Product Guarantee 4yr $250</t>
  </si>
  <si>
    <t>UZBL-EPG025048MOIK</t>
  </si>
  <si>
    <t>Enterprise Product Guarantee:UZBL Enterprise Product Guarantee 1yr $300</t>
  </si>
  <si>
    <t>UZBL-EPG030012MOIK</t>
  </si>
  <si>
    <t>Enterprise Product Guarantee:UZBL Enterprise Product Guarantee 2yr $300</t>
  </si>
  <si>
    <t>UZBL-EPG030024MOIK</t>
  </si>
  <si>
    <t>Enterprise Product Guarantee:UZBL Enterprise Product Guarantee 3yr $300</t>
  </si>
  <si>
    <t>UZBL-EPG030036MOIK</t>
  </si>
  <si>
    <t>Enterprise Product Guarantee:UZBL Enterprise Product Guarantee 4yr $300</t>
  </si>
  <si>
    <t>UZBL-EPG030048MOIK</t>
  </si>
  <si>
    <t>Enterprise Product Guarantee:UZBL Enterprise Product Guarantee 1yr $350</t>
  </si>
  <si>
    <t>UZBL-EPG035012MOIK</t>
  </si>
  <si>
    <t>Enterprise Product Guarantee:UZBL Enterprise Product Guarantee 2yr $350</t>
  </si>
  <si>
    <t>UZBL-EPG035024MOIK</t>
  </si>
  <si>
    <t>Enterprise Product Guarantee:UZBL Enterprise Product Guarantee 3yr $350</t>
  </si>
  <si>
    <t>UZBL-EPG035036MOIK</t>
  </si>
  <si>
    <t>Enterprise Product Guarantee:UZBL Enterprise Product Guarantee 4yr $350</t>
  </si>
  <si>
    <t>UZBL-EPG035048MOIK</t>
  </si>
  <si>
    <t>Enterprise Product Guarantee:UZBL Enterprise Product Guarantee 1yr $400</t>
  </si>
  <si>
    <t>UZBL-EPG040012MOIK</t>
  </si>
  <si>
    <t>Enterprise Product Guarantee:UZBL Enterprise Product Guarantee 2yr $400</t>
  </si>
  <si>
    <t>UZBL-EPG040024MOIK</t>
  </si>
  <si>
    <t>Enterprise Product Guarantee:UZBL Enterprise Product Guarantee 3yr $400</t>
  </si>
  <si>
    <t>UZBL-EPG040036MOIK</t>
  </si>
  <si>
    <t>Enterprise Product Guarantee:UZBL Enterprise Product Guarantee 4yr $400</t>
  </si>
  <si>
    <t>UZBL-EPG040048MOIK</t>
  </si>
  <si>
    <t>Enterprise Product Guarantee:UZBL Enterprise Product Guarantee 1yr $500</t>
  </si>
  <si>
    <t>UZBL-EPG050012MOIK</t>
  </si>
  <si>
    <t>Enterprise Product Guarantee:UZBL Enterprise Product Guarantee 2yr $500</t>
  </si>
  <si>
    <t>UZBL-EPG050024MOIK</t>
  </si>
  <si>
    <t>Enterprise Product Guarantee:UZBL Enterprise Product Guarantee 3yr $500</t>
  </si>
  <si>
    <t>UZBL-EPG050036MOIK</t>
  </si>
  <si>
    <t>Enterprise Product Guarantee:UZBL Enterprise Product Guarantee 4yr $500</t>
  </si>
  <si>
    <t>UZBL-EPG050048MOIK</t>
  </si>
  <si>
    <t>Enterprise Product Guarantee:UZBL Enterprise Product Guarantee 1yr $600</t>
  </si>
  <si>
    <t>UZBL-EPG060012MOIK</t>
  </si>
  <si>
    <t>Enterprise Product Guarantee:UZBL Enterprise Product Guarantee 2yr $600</t>
  </si>
  <si>
    <t>UZBL-EPG060024MOIK</t>
  </si>
  <si>
    <t>Enterprise Product Guarantee:UZBL Enterprise Product Guarantee 3yr $600</t>
  </si>
  <si>
    <t>UZBL-EPG060036MOIK</t>
  </si>
  <si>
    <t>Enterprise Product Guarantee:UZBL Enterprise Product Guarantee 4yr $600</t>
  </si>
  <si>
    <t>UZBL-EPG060048MOIK</t>
  </si>
  <si>
    <t>Enterprise Product Guarantee:UZBL Enterprise Product Guarantee 1yr $700</t>
  </si>
  <si>
    <t>UZBL-EPG070012MOIK</t>
  </si>
  <si>
    <t>Enterprise Product Guarantee:UZBL Enterprise Product Guarantee 2yr $700</t>
  </si>
  <si>
    <t>UZBL-EPG070024MOIK</t>
  </si>
  <si>
    <t>Enterprise Product Guarantee:UZBL Enterprise Product Guarantee 3yr $700</t>
  </si>
  <si>
    <t>UZBL-EPG070036MOIK</t>
  </si>
  <si>
    <t>Enterprise Product Guarantee:UZBL Enterprise Product Guarantee 4yr $700</t>
  </si>
  <si>
    <t>UZBL-EPG070048MOIK</t>
  </si>
  <si>
    <t>Enterprise Product Guarantee:UZBL Enterprise Product Guarantee 1yr $800</t>
  </si>
  <si>
    <t>UZBL-EPG080012MOIK</t>
  </si>
  <si>
    <t>Enterprise Product Guarantee:UZBL Enterprise Product Guarantee 2yr $800</t>
  </si>
  <si>
    <t>UZBL-EPG080024MOIK</t>
  </si>
  <si>
    <t>Enterprise Product Guarantee:UZBL Enterprise Product Guarantee 3yr $800</t>
  </si>
  <si>
    <t>UZBL-EPG080036MOIK</t>
  </si>
  <si>
    <t>Enterprise Product Guarantee:UZBL Enterprise Product Guarantee 4yr $800</t>
  </si>
  <si>
    <t>UZBL-EPG080048MOIK</t>
  </si>
  <si>
    <t>Enterprise Product Guarantee:UZBL Enterprise Product Guarantee 1yr $900</t>
  </si>
  <si>
    <t>UZBL-EPG090012MOIK</t>
  </si>
  <si>
    <t>Enterprise Product Guarantee:UZBL Enterprise Product Guarantee 2yr $900</t>
  </si>
  <si>
    <t>UZBL-EPG090024MOIK</t>
  </si>
  <si>
    <t>Enterprise Product Guarantee:UZBL Enterprise Product Guarantee 3yr $900</t>
  </si>
  <si>
    <t>UZBL-EPG090036MOIK</t>
  </si>
  <si>
    <t>Enterprise Product Guarantee:UZBL Enterprise Product Guarantee 4yr $900</t>
  </si>
  <si>
    <t>UZBL-EPG090048MOIK</t>
  </si>
  <si>
    <t>Enterprise Product Guarantee:UZBL Enterprise Product Guarantee 1yr $1,000</t>
  </si>
  <si>
    <t>UZBL-EPG100012MOIK</t>
  </si>
  <si>
    <t>Enterprise Product Guarantee:UZBL Enterprise Product Guarantee 2yr $1,000</t>
  </si>
  <si>
    <t>UZBL-EPG100024MOIK</t>
  </si>
  <si>
    <t>Enterprise Product Guarantee:UZBL Enterprise Product Guarantee 3yr $1,000</t>
  </si>
  <si>
    <t>UZBL-EPG100036MOIK</t>
  </si>
  <si>
    <t>Enterprise Product Guarantee:UZBL Enterprise Product Guarantee 4yr $1,000</t>
  </si>
  <si>
    <t>UZBL-EPG100048MOIK</t>
  </si>
  <si>
    <t>Enterprise Product Guarantee:Nut Kase Enterprise Product Guarantee 2yr $900</t>
  </si>
  <si>
    <t>NKSHELL-EPCPG90024MOIK</t>
  </si>
  <si>
    <t>Requires Nut Kase poroduct case</t>
  </si>
  <si>
    <t>Terms and Conditions are embedded in sku naming convention</t>
  </si>
  <si>
    <t>Product protection guarantees</t>
  </si>
  <si>
    <t>case</t>
  </si>
  <si>
    <t>specific to a case</t>
  </si>
  <si>
    <t>screen</t>
  </si>
  <si>
    <t>protective case screen protector product guarantee</t>
  </si>
  <si>
    <t>both</t>
  </si>
  <si>
    <t>SPPG</t>
  </si>
  <si>
    <t>screen protector product guarantee</t>
  </si>
  <si>
    <t>protective case  product guarantee</t>
  </si>
  <si>
    <t>IOT</t>
  </si>
  <si>
    <t>internet of things service agreement</t>
  </si>
  <si>
    <t>Enterprise or Education Service Contract</t>
  </si>
  <si>
    <t>not specified</t>
  </si>
  <si>
    <t>date of purchase</t>
  </si>
  <si>
    <t>CSG-EXWm10612MOIK</t>
  </si>
  <si>
    <t>CSG-EXWm10624MOIK</t>
  </si>
  <si>
    <t>CSG-EXWm10636MOIK</t>
  </si>
  <si>
    <t>CSG-EXWm10648MOIK</t>
  </si>
  <si>
    <t>CSG-EXWm106 Pro12MOIK</t>
  </si>
  <si>
    <t>CSG-EXWm106 Pro24MOIK</t>
  </si>
  <si>
    <t>CSG-EXWm106 Pro36MOIK</t>
  </si>
  <si>
    <t>CSG-EXWm106 Pro48MOIK</t>
  </si>
  <si>
    <t>CSG-EXWm21212MOIK</t>
  </si>
  <si>
    <t>CSG-EXWm21224MOIK</t>
  </si>
  <si>
    <t>CSG-EXWm21236MOIK</t>
  </si>
  <si>
    <t>CSG-EXWm21248MOIK</t>
  </si>
  <si>
    <t>CSG-EXWm51912MOIK</t>
  </si>
  <si>
    <t>CSG-EXWm51924MOIK</t>
  </si>
  <si>
    <t>CSG-EXWm51936MOIK</t>
  </si>
  <si>
    <t>CSG-EXWm51948MOIK</t>
  </si>
  <si>
    <t>EPCPG080012MOIK</t>
  </si>
  <si>
    <t>ESPPG080012MOIK</t>
  </si>
  <si>
    <t>ESPPG08001M2MIK</t>
  </si>
  <si>
    <t>Gamber Johnson-InfoCase</t>
  </si>
  <si>
    <t>Tier 1:</t>
  </si>
  <si>
    <t>1-9,999</t>
  </si>
  <si>
    <t>units</t>
  </si>
  <si>
    <t>Tier 2:</t>
  </si>
  <si>
    <t>10,000+</t>
  </si>
  <si>
    <t>Benefit $</t>
  </si>
  <si>
    <t xml:space="preserve">1 year </t>
  </si>
  <si>
    <t xml:space="preserve">2 year </t>
  </si>
  <si>
    <t xml:space="preserve">3 year </t>
  </si>
  <si>
    <t>4 year</t>
  </si>
  <si>
    <t>0-199</t>
  </si>
  <si>
    <t>200-249</t>
  </si>
  <si>
    <t>250-299</t>
  </si>
  <si>
    <t>300-349</t>
  </si>
  <si>
    <t>350-399</t>
  </si>
  <si>
    <t>400-449</t>
  </si>
  <si>
    <t>450-500</t>
  </si>
  <si>
    <t>501-600</t>
  </si>
  <si>
    <t>601-700</t>
  </si>
  <si>
    <t>701-800</t>
  </si>
  <si>
    <t>801-900</t>
  </si>
  <si>
    <t>901-1000</t>
  </si>
  <si>
    <t>Sales Price</t>
  </si>
  <si>
    <t>ICEPCPG019912MO00</t>
  </si>
  <si>
    <t>ICEPCPG024912MO00</t>
  </si>
  <si>
    <t>ICEPCPG029912MO00</t>
  </si>
  <si>
    <t>ICEPCPG034912MO00</t>
  </si>
  <si>
    <t>ICEPCPG039912MO00</t>
  </si>
  <si>
    <t>ICEPCPG044912MO00</t>
  </si>
  <si>
    <t>ICEPCPG050012MO00</t>
  </si>
  <si>
    <t>ICEPCPG060012MO00</t>
  </si>
  <si>
    <t>ICEPCPG070012MO00</t>
  </si>
  <si>
    <t>ICEPCPG080012MO00</t>
  </si>
  <si>
    <t>ICEPCPG090012MO00</t>
  </si>
  <si>
    <t>ICEPCPG100012MO00</t>
  </si>
  <si>
    <t>ICEPCPG019924MO00</t>
  </si>
  <si>
    <t>ICEPCPG024924MO00</t>
  </si>
  <si>
    <t>ICEPCPG029924MO00</t>
  </si>
  <si>
    <t>ICEPCPG034924MO00</t>
  </si>
  <si>
    <t>ICEPCPG039924MO00</t>
  </si>
  <si>
    <t>ICEPCPG044924MO00</t>
  </si>
  <si>
    <t>ICEPCPG050024MO00</t>
  </si>
  <si>
    <t>ICEPCPG060024MO00</t>
  </si>
  <si>
    <t>ICEPCPG070024MO00</t>
  </si>
  <si>
    <t>ICEPCPG080024MO00</t>
  </si>
  <si>
    <t>ICEPCPG090024MO00</t>
  </si>
  <si>
    <t>ICEPCPG100024MO00</t>
  </si>
  <si>
    <t>ICEPCPG019936MO00</t>
  </si>
  <si>
    <t>ICEPCPG024936MO00</t>
  </si>
  <si>
    <t>ICEPCPG029936MO00</t>
  </si>
  <si>
    <t>ICEPCPG034936MO00</t>
  </si>
  <si>
    <t>ICEPCPG039936MO00</t>
  </si>
  <si>
    <t>ICEPCPG044936MO00</t>
  </si>
  <si>
    <t>ICEPCPG050036MO00</t>
  </si>
  <si>
    <t>ICEPCPG060036MO00</t>
  </si>
  <si>
    <t>ICEPCPG070036MO00</t>
  </si>
  <si>
    <t>ICEPCPG080036MO00</t>
  </si>
  <si>
    <t>ICEPCPG090036MO00</t>
  </si>
  <si>
    <t>ICEPCPG100036MO00</t>
  </si>
  <si>
    <t>ICEPCPG019948MO00</t>
  </si>
  <si>
    <t>ICEPCPG024948MO00</t>
  </si>
  <si>
    <t>ICEPCPG029948MO00</t>
  </si>
  <si>
    <t>ICEPCPG034948MO00</t>
  </si>
  <si>
    <t>ICEPCPG039948MO00</t>
  </si>
  <si>
    <t>ICEPCPG044948MO00</t>
  </si>
  <si>
    <t>ICEPCPG050048MO00</t>
  </si>
  <si>
    <t>ICEPCPG060048MO00</t>
  </si>
  <si>
    <t>ICEPCPG070048MO00</t>
  </si>
  <si>
    <t>ICEPCPG080048MO00</t>
  </si>
  <si>
    <t>ICEPCPG090048MO00</t>
  </si>
  <si>
    <t>ICEPCPG100048MO00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</si>
</sst>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12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Arial"/>
      <family val="2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8"/>
      <name val="Calibri"/>
      <family val="2"/>
      <scheme val="minor"/>
    </font>
    <font>
      <sz val="8"/>
      <color rgb="FF000000"/>
      <name val="Arial"/>
    </font>
    <font>
      <b/>
      <sz val="8"/>
      <color rgb="FF000000"/>
      <name val="Arial"/>
    </font>
    <font>
      <sz val="10"/>
      <color theme="1"/>
      <name val="Arial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1" fillId="0" borderId="1"/>
    <xf numFmtId="0" fontId="1" fillId="0" borderId="0"/>
    <xf numFmtId="0" fontId="1" fillId="0" borderId="2"/>
  </cellStyleXfs>
  <cellXfs count="46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0" fontId="3" fillId="0" borderId="1" xfId="1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4" fontId="2" fillId="0" borderId="0" xfId="0" applyNumberFormat="1" applyFont="1" applyAlignment="1">
      <alignment horizontal="center" wrapText="1"/>
    </xf>
    <xf numFmtId="0" fontId="7" fillId="0" borderId="0" xfId="0" applyFont="1" applyAlignment="1">
      <alignment horizontal="right" wrapText="1"/>
    </xf>
    <xf numFmtId="0" fontId="2" fillId="2" borderId="0" xfId="0" applyFont="1" applyFill="1" applyAlignment="1">
      <alignment horizontal="left" wrapText="1"/>
    </xf>
    <xf numFmtId="0" fontId="2" fillId="2" borderId="0" xfId="0" applyFont="1" applyFill="1" applyAlignment="1">
      <alignment horizontal="right" wrapText="1"/>
    </xf>
    <xf numFmtId="4" fontId="2" fillId="2" borderId="0" xfId="0" applyNumberFormat="1" applyFont="1" applyFill="1" applyAlignment="1">
      <alignment horizontal="center" wrapText="1"/>
    </xf>
    <xf numFmtId="0" fontId="0" fillId="2" borderId="0" xfId="0" applyFill="1"/>
    <xf numFmtId="0" fontId="3" fillId="2" borderId="1" xfId="1" applyFont="1" applyFill="1" applyAlignment="1">
      <alignment horizontal="center" wrapText="1"/>
    </xf>
    <xf numFmtId="0" fontId="0" fillId="2" borderId="0" xfId="0" applyFill="1" applyAlignment="1">
      <alignment wrapText="1"/>
    </xf>
    <xf numFmtId="2" fontId="0" fillId="2" borderId="0" xfId="0" applyNumberFormat="1" applyFill="1"/>
    <xf numFmtId="0" fontId="9" fillId="0" borderId="0" xfId="0" applyFont="1" applyAlignment="1">
      <alignment horizontal="right" wrapText="1"/>
    </xf>
    <xf numFmtId="0" fontId="9" fillId="0" borderId="0" xfId="0" applyFont="1" applyAlignment="1">
      <alignment horizontal="center" wrapText="1"/>
    </xf>
    <xf numFmtId="0" fontId="2" fillId="3" borderId="0" xfId="0" applyFont="1" applyFill="1" applyAlignment="1">
      <alignment horizontal="left" wrapText="1"/>
    </xf>
    <xf numFmtId="0" fontId="2" fillId="3" borderId="0" xfId="0" applyFont="1" applyFill="1" applyAlignment="1">
      <alignment horizontal="right" wrapText="1"/>
    </xf>
    <xf numFmtId="4" fontId="2" fillId="3" borderId="0" xfId="0" applyNumberFormat="1" applyFont="1" applyFill="1" applyAlignment="1">
      <alignment horizontal="center" wrapText="1"/>
    </xf>
    <xf numFmtId="0" fontId="3" fillId="3" borderId="1" xfId="1" applyFont="1" applyFill="1" applyAlignment="1">
      <alignment horizontal="center" wrapText="1"/>
    </xf>
    <xf numFmtId="0" fontId="10" fillId="0" borderId="3" xfId="0" applyFont="1" applyBorder="1"/>
    <xf numFmtId="0" fontId="10" fillId="0" borderId="4" xfId="0" applyFont="1" applyBorder="1"/>
    <xf numFmtId="0" fontId="10" fillId="0" borderId="5" xfId="0" applyFont="1" applyBorder="1"/>
    <xf numFmtId="0" fontId="11" fillId="0" borderId="0" xfId="0" applyFont="1"/>
    <xf numFmtId="0" fontId="10" fillId="0" borderId="6" xfId="0" applyFont="1" applyBorder="1"/>
    <xf numFmtId="0" fontId="10" fillId="0" borderId="1" xfId="0" applyFont="1" applyBorder="1"/>
    <xf numFmtId="0" fontId="11" fillId="0" borderId="8" xfId="0" applyFont="1" applyBorder="1"/>
    <xf numFmtId="8" fontId="11" fillId="0" borderId="0" xfId="0" applyNumberFormat="1" applyFont="1"/>
    <xf numFmtId="8" fontId="11" fillId="0" borderId="9" xfId="0" applyNumberFormat="1" applyFont="1" applyBorder="1"/>
    <xf numFmtId="0" fontId="11" fillId="0" borderId="6" xfId="0" applyFont="1" applyBorder="1"/>
    <xf numFmtId="8" fontId="11" fillId="0" borderId="1" xfId="0" applyNumberFormat="1" applyFont="1" applyBorder="1"/>
    <xf numFmtId="8" fontId="11" fillId="0" borderId="10" xfId="0" applyNumberFormat="1" applyFont="1" applyBorder="1"/>
    <xf numFmtId="0" fontId="1" fillId="0" borderId="0" xfId="0" applyFont="1"/>
    <xf numFmtId="0" fontId="1" fillId="0" borderId="0" xfId="0" applyFont="1" applyAlignment="1">
      <alignment horizontal="center" wrapText="1"/>
    </xf>
    <xf numFmtId="0" fontId="1" fillId="0" borderId="11" xfId="0" applyFont="1" applyBorder="1" applyAlignment="1">
      <alignment horizontal="center" wrapText="1"/>
    </xf>
    <xf numFmtId="8" fontId="11" fillId="0" borderId="11" xfId="0" applyNumberFormat="1" applyFont="1" applyBorder="1"/>
    <xf numFmtId="6" fontId="0" fillId="0" borderId="0" xfId="0" applyNumberFormat="1"/>
    <xf numFmtId="9" fontId="0" fillId="0" borderId="0" xfId="0" applyNumberFormat="1"/>
    <xf numFmtId="0" fontId="5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center" wrapText="1"/>
    </xf>
    <xf numFmtId="0" fontId="11" fillId="0" borderId="11" xfId="0" applyFont="1" applyBorder="1" applyAlignment="1">
      <alignment horizontal="left"/>
    </xf>
    <xf numFmtId="0" fontId="1" fillId="0" borderId="11" xfId="0" applyFont="1" applyBorder="1" applyAlignment="1">
      <alignment horizontal="left" wrapText="1"/>
    </xf>
    <xf numFmtId="0" fontId="11" fillId="0" borderId="7" xfId="0" applyFont="1" applyBorder="1" applyAlignment="1">
      <alignment horizontal="left"/>
    </xf>
    <xf numFmtId="0" fontId="11" fillId="0" borderId="0" xfId="0" applyFont="1" applyAlignment="1">
      <alignment horizontal="left"/>
    </xf>
  </cellXfs>
  <cellStyles count="4">
    <cellStyle name="GroupedCellStyle" xfId="2" xr:uid="{00000000-0005-0000-0000-000007000000}"/>
    <cellStyle name="HeaderCellStyle" xfId="1" xr:uid="{00000000-0005-0000-0000-000006000000}"/>
    <cellStyle name="Normal" xfId="0" builtinId="0"/>
    <cellStyle name="TotalCellStyle" xfId="3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B3FEF-A70D-B944-82F4-C9836B181100}">
  <dimension ref="A1:L162"/>
  <sheetViews>
    <sheetView workbookViewId="0">
      <selection activeCell="D23" sqref="D23"/>
    </sheetView>
  </sheetViews>
  <sheetFormatPr defaultColWidth="11.25" defaultRowHeight="15.75"/>
  <cols>
    <col min="1" max="1" width="57.625" style="1" customWidth="1"/>
    <col min="2" max="4" width="15.5" style="1" customWidth="1"/>
    <col min="5" max="5" width="24.125" style="5" customWidth="1"/>
    <col min="6" max="6" width="8.625" style="1" bestFit="1" customWidth="1"/>
    <col min="7" max="7" width="11.375" style="13" bestFit="1" customWidth="1"/>
    <col min="8" max="8" width="28.625" style="13" customWidth="1"/>
    <col min="10" max="10" width="18.25" bestFit="1" customWidth="1"/>
  </cols>
  <sheetData>
    <row r="1" spans="1:9" ht="18">
      <c r="A1" s="39" t="s">
        <v>0</v>
      </c>
      <c r="B1" s="39"/>
      <c r="C1" s="39"/>
      <c r="D1" s="39"/>
      <c r="E1" s="40"/>
      <c r="F1" s="40"/>
      <c r="G1" s="40"/>
      <c r="H1" s="1"/>
    </row>
    <row r="2" spans="1:9">
      <c r="A2" s="41" t="s">
        <v>1</v>
      </c>
      <c r="B2" s="41"/>
      <c r="C2" s="41"/>
      <c r="D2" s="41"/>
      <c r="E2" s="40"/>
      <c r="F2" s="40"/>
      <c r="G2" s="40"/>
      <c r="H2" s="1"/>
    </row>
    <row r="4" spans="1:9" ht="21.75">
      <c r="A4" s="3" t="s">
        <v>2</v>
      </c>
      <c r="B4" s="20" t="s">
        <v>3</v>
      </c>
      <c r="C4" s="20" t="s">
        <v>4</v>
      </c>
      <c r="D4" s="20" t="s">
        <v>5</v>
      </c>
      <c r="E4" s="3" t="s">
        <v>6</v>
      </c>
      <c r="F4" s="3" t="s">
        <v>7</v>
      </c>
      <c r="G4" s="12" t="s">
        <v>8</v>
      </c>
      <c r="H4" s="20" t="s">
        <v>9</v>
      </c>
    </row>
    <row r="5" spans="1:9">
      <c r="A5" s="2" t="s">
        <v>10</v>
      </c>
      <c r="B5" s="2"/>
      <c r="C5" s="2"/>
      <c r="D5" s="2"/>
      <c r="E5" s="4" t="s">
        <v>11</v>
      </c>
      <c r="F5" s="6">
        <v>46.23</v>
      </c>
      <c r="G5" s="10">
        <v>27.74</v>
      </c>
      <c r="H5" s="10"/>
    </row>
    <row r="6" spans="1:9">
      <c r="A6" s="2" t="s">
        <v>12</v>
      </c>
      <c r="B6" s="2"/>
      <c r="C6" s="2"/>
      <c r="D6" s="2"/>
      <c r="E6" s="4" t="s">
        <v>13</v>
      </c>
      <c r="F6" s="6">
        <v>35.520000000000003</v>
      </c>
      <c r="G6" s="10">
        <v>24.15</v>
      </c>
      <c r="H6" s="10"/>
      <c r="I6" t="s">
        <v>14</v>
      </c>
    </row>
    <row r="7" spans="1:9">
      <c r="A7" s="2" t="s">
        <v>15</v>
      </c>
      <c r="B7" s="2"/>
      <c r="C7" s="2"/>
      <c r="D7" s="2"/>
      <c r="E7" s="4" t="s">
        <v>16</v>
      </c>
      <c r="F7" s="6">
        <v>31.09</v>
      </c>
      <c r="G7" s="10">
        <v>21.14</v>
      </c>
      <c r="H7" s="10"/>
      <c r="I7" t="s">
        <v>17</v>
      </c>
    </row>
    <row r="8" spans="1:9" s="11" customFormat="1">
      <c r="A8" s="8" t="s">
        <v>18</v>
      </c>
      <c r="B8" s="8"/>
      <c r="C8" s="8"/>
      <c r="D8" s="8"/>
      <c r="E8" s="9" t="s">
        <v>19</v>
      </c>
      <c r="F8" s="10">
        <v>14.43</v>
      </c>
      <c r="G8" s="10">
        <v>8.66</v>
      </c>
      <c r="H8" s="10"/>
      <c r="I8" s="11" t="s">
        <v>20</v>
      </c>
    </row>
    <row r="9" spans="1:9">
      <c r="A9" s="2" t="s">
        <v>21</v>
      </c>
      <c r="B9" s="2"/>
      <c r="C9" s="2"/>
      <c r="D9" s="2"/>
      <c r="E9" s="4" t="s">
        <v>22</v>
      </c>
      <c r="F9" s="6">
        <v>9.23</v>
      </c>
      <c r="G9" s="10">
        <v>6.28</v>
      </c>
      <c r="H9" s="10"/>
    </row>
    <row r="10" spans="1:9">
      <c r="A10" s="2" t="s">
        <v>23</v>
      </c>
      <c r="B10" s="2"/>
      <c r="C10" s="2"/>
      <c r="D10" s="2"/>
      <c r="E10" s="4" t="s">
        <v>24</v>
      </c>
      <c r="F10" s="6">
        <v>7.42</v>
      </c>
      <c r="G10" s="10">
        <v>5.05</v>
      </c>
      <c r="H10" s="10"/>
    </row>
    <row r="11" spans="1:9" s="11" customFormat="1">
      <c r="A11" s="8" t="s">
        <v>25</v>
      </c>
      <c r="B11" s="8"/>
      <c r="C11" s="8"/>
      <c r="D11" s="8"/>
      <c r="E11" s="9" t="s">
        <v>26</v>
      </c>
      <c r="F11" s="10">
        <v>26.42</v>
      </c>
      <c r="G11" s="10">
        <v>15.85</v>
      </c>
      <c r="H11" s="10"/>
    </row>
    <row r="12" spans="1:9">
      <c r="A12" s="2" t="s">
        <v>27</v>
      </c>
      <c r="B12" s="2"/>
      <c r="C12" s="2"/>
      <c r="D12" s="2"/>
      <c r="E12" s="4" t="s">
        <v>28</v>
      </c>
      <c r="F12" s="6">
        <v>16.86</v>
      </c>
      <c r="G12" s="10">
        <v>11.46</v>
      </c>
      <c r="H12" s="10"/>
    </row>
    <row r="13" spans="1:9">
      <c r="A13" s="2" t="s">
        <v>29</v>
      </c>
      <c r="B13" s="2"/>
      <c r="C13" s="2"/>
      <c r="D13" s="2"/>
      <c r="E13" s="4" t="s">
        <v>30</v>
      </c>
      <c r="F13" s="6">
        <v>13.57</v>
      </c>
      <c r="G13" s="10">
        <v>9.23</v>
      </c>
      <c r="H13" s="10"/>
    </row>
    <row r="14" spans="1:9">
      <c r="A14" s="2" t="s">
        <v>31</v>
      </c>
      <c r="B14" s="2"/>
      <c r="C14" s="2"/>
      <c r="D14" s="2"/>
      <c r="E14" s="4" t="s">
        <v>32</v>
      </c>
      <c r="F14" s="6">
        <v>31.37</v>
      </c>
      <c r="G14" s="10">
        <v>18.82</v>
      </c>
      <c r="H14" s="10"/>
    </row>
    <row r="15" spans="1:9">
      <c r="A15" s="2" t="s">
        <v>33</v>
      </c>
      <c r="B15" s="2"/>
      <c r="C15" s="2"/>
      <c r="D15" s="2"/>
      <c r="E15" s="4" t="s">
        <v>34</v>
      </c>
      <c r="F15" s="6">
        <v>21.22</v>
      </c>
      <c r="G15" s="10">
        <v>14.43</v>
      </c>
      <c r="H15" s="10"/>
    </row>
    <row r="16" spans="1:9">
      <c r="A16" s="2" t="s">
        <v>35</v>
      </c>
      <c r="B16" s="2"/>
      <c r="C16" s="2"/>
      <c r="D16" s="2"/>
      <c r="E16" s="4" t="s">
        <v>36</v>
      </c>
      <c r="F16" s="6">
        <v>17.940000000000001</v>
      </c>
      <c r="G16" s="10">
        <v>12.2</v>
      </c>
      <c r="H16" s="10"/>
    </row>
    <row r="17" spans="1:8">
      <c r="A17" s="2" t="s">
        <v>37</v>
      </c>
      <c r="B17" s="2"/>
      <c r="C17" s="2"/>
      <c r="D17" s="2"/>
      <c r="E17" s="4" t="s">
        <v>38</v>
      </c>
      <c r="F17" s="6">
        <v>36.299999999999997</v>
      </c>
      <c r="G17" s="10">
        <v>21.78</v>
      </c>
      <c r="H17" s="10"/>
    </row>
    <row r="18" spans="1:8">
      <c r="A18" s="2" t="s">
        <v>39</v>
      </c>
      <c r="B18" s="2"/>
      <c r="C18" s="2"/>
      <c r="D18" s="2"/>
      <c r="E18" s="4" t="s">
        <v>40</v>
      </c>
      <c r="F18" s="6">
        <v>25.57</v>
      </c>
      <c r="G18" s="10">
        <v>17.38</v>
      </c>
      <c r="H18" s="10"/>
    </row>
    <row r="19" spans="1:8">
      <c r="A19" s="2" t="s">
        <v>41</v>
      </c>
      <c r="B19" s="2"/>
      <c r="C19" s="2"/>
      <c r="D19" s="2"/>
      <c r="E19" s="4" t="s">
        <v>42</v>
      </c>
      <c r="F19" s="6">
        <v>22.31</v>
      </c>
      <c r="G19" s="10">
        <v>15.17</v>
      </c>
      <c r="H19" s="10"/>
    </row>
    <row r="20" spans="1:8">
      <c r="A20" s="2" t="s">
        <v>43</v>
      </c>
      <c r="B20" s="2"/>
      <c r="C20" s="2"/>
      <c r="D20" s="2"/>
      <c r="E20" s="4" t="s">
        <v>44</v>
      </c>
      <c r="F20" s="6">
        <v>77.209999999999994</v>
      </c>
      <c r="G20" s="10">
        <v>46.33</v>
      </c>
      <c r="H20" s="10"/>
    </row>
    <row r="21" spans="1:8">
      <c r="A21" s="2" t="s">
        <v>45</v>
      </c>
      <c r="B21" s="2"/>
      <c r="C21" s="2"/>
      <c r="D21" s="2"/>
      <c r="E21" s="4" t="s">
        <v>46</v>
      </c>
      <c r="F21" s="6">
        <v>59.32</v>
      </c>
      <c r="G21" s="10">
        <v>40.340000000000003</v>
      </c>
      <c r="H21" s="10"/>
    </row>
    <row r="22" spans="1:8">
      <c r="A22" s="2" t="s">
        <v>47</v>
      </c>
      <c r="B22" s="2"/>
      <c r="C22" s="2"/>
      <c r="D22" s="2"/>
      <c r="E22" s="4" t="s">
        <v>48</v>
      </c>
      <c r="F22" s="6">
        <v>51.91</v>
      </c>
      <c r="G22" s="10">
        <v>35.299999999999997</v>
      </c>
      <c r="H22" s="10"/>
    </row>
    <row r="23" spans="1:8">
      <c r="A23" s="2" t="s">
        <v>49</v>
      </c>
      <c r="B23" s="2"/>
      <c r="C23" s="2"/>
      <c r="D23" s="2"/>
      <c r="E23" s="4" t="s">
        <v>50</v>
      </c>
      <c r="F23" s="6">
        <v>24.1</v>
      </c>
      <c r="G23" s="10">
        <v>14.46</v>
      </c>
      <c r="H23" s="10"/>
    </row>
    <row r="24" spans="1:8">
      <c r="A24" s="2" t="s">
        <v>51</v>
      </c>
      <c r="B24" s="2"/>
      <c r="C24" s="2"/>
      <c r="D24" s="2"/>
      <c r="E24" s="4" t="s">
        <v>52</v>
      </c>
      <c r="F24" s="6">
        <v>15.42</v>
      </c>
      <c r="G24" s="10">
        <v>10.48</v>
      </c>
      <c r="H24" s="10"/>
    </row>
    <row r="25" spans="1:8">
      <c r="A25" s="2" t="s">
        <v>53</v>
      </c>
      <c r="B25" s="2"/>
      <c r="C25" s="2"/>
      <c r="D25" s="2"/>
      <c r="E25" s="4" t="s">
        <v>54</v>
      </c>
      <c r="F25" s="6">
        <v>12.39</v>
      </c>
      <c r="G25" s="10">
        <v>8.43</v>
      </c>
      <c r="H25" s="10"/>
    </row>
    <row r="26" spans="1:8">
      <c r="A26" s="2" t="s">
        <v>55</v>
      </c>
      <c r="B26" s="2"/>
      <c r="C26" s="2"/>
      <c r="D26" s="2"/>
      <c r="E26" s="4" t="s">
        <v>56</v>
      </c>
      <c r="F26" s="6">
        <v>44.12</v>
      </c>
      <c r="G26" s="10">
        <v>26.47</v>
      </c>
      <c r="H26" s="10"/>
    </row>
    <row r="27" spans="1:8">
      <c r="A27" s="2" t="s">
        <v>57</v>
      </c>
      <c r="B27" s="2"/>
      <c r="C27" s="2"/>
      <c r="D27" s="2"/>
      <c r="E27" s="4" t="s">
        <v>58</v>
      </c>
      <c r="F27" s="6">
        <v>28.15</v>
      </c>
      <c r="G27" s="10">
        <v>19.14</v>
      </c>
      <c r="H27" s="10"/>
    </row>
    <row r="28" spans="1:8">
      <c r="A28" s="2" t="s">
        <v>59</v>
      </c>
      <c r="B28" s="2"/>
      <c r="C28" s="2"/>
      <c r="D28" s="2"/>
      <c r="E28" s="4" t="s">
        <v>60</v>
      </c>
      <c r="F28" s="6">
        <v>22.67</v>
      </c>
      <c r="G28" s="10">
        <v>15.42</v>
      </c>
      <c r="H28" s="10"/>
    </row>
    <row r="29" spans="1:8">
      <c r="A29" s="2" t="s">
        <v>61</v>
      </c>
      <c r="B29" s="2"/>
      <c r="C29" s="2"/>
      <c r="D29" s="2"/>
      <c r="E29" s="4" t="s">
        <v>62</v>
      </c>
      <c r="F29" s="6">
        <v>52.38</v>
      </c>
      <c r="G29" s="10">
        <v>31.43</v>
      </c>
      <c r="H29" s="10"/>
    </row>
    <row r="30" spans="1:8">
      <c r="A30" s="2" t="s">
        <v>63</v>
      </c>
      <c r="B30" s="2"/>
      <c r="C30" s="2"/>
      <c r="D30" s="2"/>
      <c r="E30" s="4" t="s">
        <v>52</v>
      </c>
      <c r="F30" s="6">
        <v>35.44</v>
      </c>
      <c r="G30" s="10">
        <v>24.1</v>
      </c>
      <c r="H30" s="10"/>
    </row>
    <row r="31" spans="1:8">
      <c r="A31" s="2" t="s">
        <v>64</v>
      </c>
      <c r="B31" s="2"/>
      <c r="C31" s="2"/>
      <c r="D31" s="2"/>
      <c r="E31" s="4" t="s">
        <v>65</v>
      </c>
      <c r="F31" s="6">
        <v>29.96</v>
      </c>
      <c r="G31" s="10">
        <v>20.37</v>
      </c>
      <c r="H31" s="10"/>
    </row>
    <row r="32" spans="1:8">
      <c r="A32" s="2" t="s">
        <v>66</v>
      </c>
      <c r="B32" s="2"/>
      <c r="C32" s="2"/>
      <c r="D32" s="2"/>
      <c r="E32" s="4" t="s">
        <v>67</v>
      </c>
      <c r="F32" s="6">
        <v>60.62</v>
      </c>
      <c r="G32" s="10">
        <v>36.369999999999997</v>
      </c>
      <c r="H32" s="10"/>
    </row>
    <row r="33" spans="1:8">
      <c r="A33" s="2" t="s">
        <v>68</v>
      </c>
      <c r="B33" s="2"/>
      <c r="C33" s="2"/>
      <c r="D33" s="2"/>
      <c r="E33" s="4" t="s">
        <v>69</v>
      </c>
      <c r="F33" s="6">
        <v>42.69</v>
      </c>
      <c r="G33" s="10">
        <v>29.03</v>
      </c>
      <c r="H33" s="10"/>
    </row>
    <row r="34" spans="1:8">
      <c r="A34" s="2" t="s">
        <v>70</v>
      </c>
      <c r="B34" s="2"/>
      <c r="C34" s="2"/>
      <c r="D34" s="2"/>
      <c r="E34" s="4" t="s">
        <v>71</v>
      </c>
      <c r="F34" s="6">
        <v>37.25</v>
      </c>
      <c r="G34" s="10">
        <v>25.33</v>
      </c>
      <c r="H34" s="10"/>
    </row>
    <row r="35" spans="1:8">
      <c r="A35" s="2" t="s">
        <v>72</v>
      </c>
      <c r="B35" s="2"/>
      <c r="C35" s="2"/>
      <c r="D35" s="2"/>
      <c r="E35" s="4" t="s">
        <v>73</v>
      </c>
      <c r="F35" s="6">
        <v>115.81</v>
      </c>
      <c r="G35" s="10">
        <v>69.489999999999995</v>
      </c>
      <c r="H35" s="10"/>
    </row>
    <row r="36" spans="1:8">
      <c r="A36" s="2" t="s">
        <v>74</v>
      </c>
      <c r="B36" s="2"/>
      <c r="C36" s="2"/>
      <c r="D36" s="2"/>
      <c r="E36" s="4" t="s">
        <v>75</v>
      </c>
      <c r="F36" s="6">
        <v>72.989999999999995</v>
      </c>
      <c r="G36" s="10">
        <v>49.64</v>
      </c>
      <c r="H36" s="10"/>
    </row>
    <row r="37" spans="1:8">
      <c r="A37" s="2" t="s">
        <v>76</v>
      </c>
      <c r="B37" s="2"/>
      <c r="C37" s="2"/>
      <c r="D37" s="2"/>
      <c r="E37" s="4" t="s">
        <v>77</v>
      </c>
      <c r="F37" s="6">
        <v>63.88</v>
      </c>
      <c r="G37" s="10">
        <v>43.44</v>
      </c>
      <c r="H37" s="10"/>
    </row>
    <row r="38" spans="1:8">
      <c r="A38" s="2" t="s">
        <v>78</v>
      </c>
      <c r="B38" s="2"/>
      <c r="C38" s="2"/>
      <c r="D38" s="2"/>
      <c r="E38" s="4" t="s">
        <v>79</v>
      </c>
      <c r="F38" s="6">
        <v>36.159999999999997</v>
      </c>
      <c r="G38" s="10">
        <v>21.69</v>
      </c>
      <c r="H38" s="10"/>
    </row>
    <row r="39" spans="1:8">
      <c r="A39" s="2"/>
      <c r="B39" s="2"/>
      <c r="C39" s="2"/>
      <c r="D39" s="2"/>
      <c r="E39" s="4"/>
      <c r="F39" s="6"/>
      <c r="G39" s="10"/>
      <c r="H39" s="10"/>
    </row>
    <row r="40" spans="1:8">
      <c r="A40" s="2"/>
      <c r="B40" s="2"/>
      <c r="C40" s="2"/>
      <c r="D40" s="2"/>
      <c r="E40" s="4"/>
      <c r="F40" s="6"/>
      <c r="G40" s="10"/>
      <c r="H40" s="10"/>
    </row>
    <row r="41" spans="1:8">
      <c r="A41" s="2"/>
      <c r="B41" s="2"/>
      <c r="C41" s="2"/>
      <c r="D41" s="2"/>
      <c r="E41" s="4"/>
      <c r="F41" s="6"/>
      <c r="G41" s="10"/>
      <c r="H41" s="10"/>
    </row>
    <row r="42" spans="1:8">
      <c r="A42" s="2" t="s">
        <v>80</v>
      </c>
      <c r="B42" s="2">
        <v>300</v>
      </c>
      <c r="C42" s="2">
        <v>499.99</v>
      </c>
      <c r="D42" s="2">
        <v>0</v>
      </c>
      <c r="E42" s="4" t="s">
        <v>81</v>
      </c>
      <c r="F42" s="6">
        <v>78.569999999999993</v>
      </c>
      <c r="G42" s="10">
        <v>47.14</v>
      </c>
      <c r="H42" s="10"/>
    </row>
    <row r="43" spans="1:8">
      <c r="A43" s="2" t="s">
        <v>82</v>
      </c>
      <c r="B43" s="2"/>
      <c r="C43" s="2"/>
      <c r="D43" s="2"/>
      <c r="E43" s="4" t="s">
        <v>83</v>
      </c>
      <c r="F43" s="6">
        <v>43.61</v>
      </c>
      <c r="G43" s="10">
        <v>29.66</v>
      </c>
      <c r="H43" s="10"/>
    </row>
    <row r="44" spans="1:8">
      <c r="A44" s="2" t="s">
        <v>84</v>
      </c>
      <c r="B44" s="2"/>
      <c r="C44" s="2"/>
      <c r="D44" s="2"/>
      <c r="E44" s="4" t="s">
        <v>85</v>
      </c>
      <c r="F44" s="6">
        <v>36.869999999999997</v>
      </c>
      <c r="G44" s="10">
        <v>25.07</v>
      </c>
      <c r="H44" s="10"/>
    </row>
    <row r="45" spans="1:8">
      <c r="A45" s="2" t="s">
        <v>86</v>
      </c>
      <c r="B45" s="2"/>
      <c r="C45" s="2"/>
      <c r="D45" s="2"/>
      <c r="E45" s="4" t="s">
        <v>87</v>
      </c>
      <c r="F45" s="6">
        <v>90.93</v>
      </c>
      <c r="G45" s="10">
        <v>54.56</v>
      </c>
      <c r="H45" s="10"/>
    </row>
    <row r="46" spans="1:8">
      <c r="A46" s="2" t="s">
        <v>88</v>
      </c>
      <c r="B46" s="2"/>
      <c r="C46" s="2"/>
      <c r="D46" s="2"/>
      <c r="E46" s="4" t="s">
        <v>89</v>
      </c>
      <c r="F46" s="6">
        <v>52.54</v>
      </c>
      <c r="G46" s="10">
        <v>35.729999999999997</v>
      </c>
      <c r="H46" s="10"/>
    </row>
    <row r="47" spans="1:8">
      <c r="A47" s="2" t="s">
        <v>90</v>
      </c>
      <c r="B47" s="2"/>
      <c r="C47" s="2"/>
      <c r="D47" s="2"/>
      <c r="E47" s="4" t="s">
        <v>91</v>
      </c>
      <c r="F47" s="6">
        <v>45.84</v>
      </c>
      <c r="G47" s="10">
        <v>31.17</v>
      </c>
      <c r="H47" s="10"/>
    </row>
    <row r="48" spans="1:8">
      <c r="A48" s="2" t="s">
        <v>92</v>
      </c>
      <c r="B48" s="2"/>
      <c r="C48" s="2"/>
      <c r="D48" s="2"/>
      <c r="E48" s="4" t="s">
        <v>93</v>
      </c>
      <c r="F48" s="6">
        <v>154.03</v>
      </c>
      <c r="G48" s="10">
        <v>92.42</v>
      </c>
      <c r="H48" s="10"/>
    </row>
    <row r="49" spans="1:12">
      <c r="A49" s="2" t="s">
        <v>94</v>
      </c>
      <c r="B49" s="2"/>
      <c r="C49" s="2"/>
      <c r="D49" s="2"/>
      <c r="E49" s="4" t="s">
        <v>95</v>
      </c>
      <c r="F49" s="6">
        <v>86.67</v>
      </c>
      <c r="G49" s="10">
        <v>58.94</v>
      </c>
      <c r="H49" s="10"/>
    </row>
    <row r="50" spans="1:12">
      <c r="A50" s="2" t="s">
        <v>96</v>
      </c>
      <c r="B50" s="2"/>
      <c r="C50" s="2"/>
      <c r="D50" s="2"/>
      <c r="E50" s="4" t="s">
        <v>97</v>
      </c>
      <c r="F50" s="6">
        <v>75.849999999999994</v>
      </c>
      <c r="G50" s="10">
        <v>51.58</v>
      </c>
      <c r="H50" s="10"/>
    </row>
    <row r="51" spans="1:12" s="11" customFormat="1">
      <c r="A51" s="8" t="s">
        <v>98</v>
      </c>
      <c r="B51" s="8"/>
      <c r="C51" s="8"/>
      <c r="D51" s="8"/>
      <c r="E51" s="9" t="s">
        <v>99</v>
      </c>
      <c r="F51" s="10">
        <v>48.09</v>
      </c>
      <c r="G51" s="10">
        <v>28.85</v>
      </c>
      <c r="H51" s="10"/>
      <c r="I51" s="14">
        <f>(G51+I52)/2</f>
        <v>40.83</v>
      </c>
      <c r="J51" s="11">
        <v>350</v>
      </c>
      <c r="K51" s="11" t="s">
        <v>100</v>
      </c>
    </row>
    <row r="52" spans="1:12" s="11" customFormat="1">
      <c r="A52" s="8" t="s">
        <v>101</v>
      </c>
      <c r="B52" s="8"/>
      <c r="C52" s="8"/>
      <c r="D52" s="8"/>
      <c r="E52" s="9" t="s">
        <v>102</v>
      </c>
      <c r="F52" s="10">
        <v>104.5</v>
      </c>
      <c r="G52" s="10">
        <v>62.7</v>
      </c>
      <c r="H52" s="10"/>
      <c r="I52" s="14">
        <v>52.81</v>
      </c>
      <c r="J52" s="11">
        <v>400</v>
      </c>
      <c r="K52" s="11" t="s">
        <v>103</v>
      </c>
    </row>
    <row r="53" spans="1:12">
      <c r="A53" s="2" t="s">
        <v>104</v>
      </c>
      <c r="B53" s="2"/>
      <c r="C53" s="2"/>
      <c r="D53" s="2"/>
      <c r="E53" s="4" t="s">
        <v>105</v>
      </c>
      <c r="F53" s="6">
        <v>51.78</v>
      </c>
      <c r="G53" s="10">
        <v>35.21</v>
      </c>
      <c r="H53" s="10"/>
    </row>
    <row r="54" spans="1:12">
      <c r="A54" s="2" t="s">
        <v>106</v>
      </c>
      <c r="B54" s="2"/>
      <c r="C54" s="2"/>
      <c r="D54" s="2"/>
      <c r="E54" s="4" t="s">
        <v>107</v>
      </c>
      <c r="F54" s="6">
        <v>43.78</v>
      </c>
      <c r="G54" s="10">
        <v>29.77</v>
      </c>
      <c r="H54" s="10"/>
      <c r="J54" t="s">
        <v>108</v>
      </c>
    </row>
    <row r="55" spans="1:12">
      <c r="A55" s="2" t="s">
        <v>109</v>
      </c>
      <c r="B55" s="2"/>
      <c r="C55" s="2"/>
      <c r="D55" s="2"/>
      <c r="E55" s="4" t="s">
        <v>110</v>
      </c>
      <c r="F55" s="6">
        <v>120.94</v>
      </c>
      <c r="G55" s="10">
        <v>72.56</v>
      </c>
      <c r="H55" s="10"/>
    </row>
    <row r="56" spans="1:12">
      <c r="A56" s="2" t="s">
        <v>111</v>
      </c>
      <c r="B56" s="2"/>
      <c r="C56" s="2"/>
      <c r="D56" s="2"/>
      <c r="E56" s="4" t="s">
        <v>112</v>
      </c>
      <c r="F56" s="6">
        <v>62.38</v>
      </c>
      <c r="G56" s="10">
        <v>42.42</v>
      </c>
      <c r="H56" s="10"/>
    </row>
    <row r="57" spans="1:12">
      <c r="A57" s="2" t="s">
        <v>113</v>
      </c>
      <c r="B57" s="2"/>
      <c r="C57" s="2"/>
      <c r="D57" s="2"/>
      <c r="E57" s="4" t="s">
        <v>114</v>
      </c>
      <c r="F57" s="6">
        <v>54.43</v>
      </c>
      <c r="G57" s="10">
        <v>37.01</v>
      </c>
      <c r="H57" s="10"/>
    </row>
    <row r="58" spans="1:12" ht="15">
      <c r="A58" s="2" t="s">
        <v>115</v>
      </c>
      <c r="B58" s="2"/>
      <c r="C58" s="2"/>
      <c r="D58" s="2"/>
      <c r="E58" s="4" t="s">
        <v>116</v>
      </c>
      <c r="F58" s="6">
        <v>3.92</v>
      </c>
      <c r="G58" s="10">
        <v>2.94</v>
      </c>
      <c r="H58" s="10"/>
      <c r="I58" t="s">
        <v>117</v>
      </c>
      <c r="J58" s="15" t="s">
        <v>118</v>
      </c>
      <c r="K58" s="16">
        <v>62.81</v>
      </c>
      <c r="L58" s="10">
        <v>40.83</v>
      </c>
    </row>
    <row r="59" spans="1:12">
      <c r="A59" s="2" t="s">
        <v>119</v>
      </c>
      <c r="B59" s="2"/>
      <c r="C59" s="2"/>
      <c r="D59" s="2"/>
      <c r="E59" s="4" t="s">
        <v>120</v>
      </c>
      <c r="F59" s="6">
        <v>5.88</v>
      </c>
      <c r="G59" s="10">
        <v>4.41</v>
      </c>
      <c r="H59" s="10"/>
      <c r="I59" t="s">
        <v>117</v>
      </c>
    </row>
    <row r="60" spans="1:12">
      <c r="A60" s="2" t="s">
        <v>121</v>
      </c>
      <c r="B60" s="2"/>
      <c r="C60" s="2"/>
      <c r="D60" s="2"/>
      <c r="E60" s="4" t="s">
        <v>122</v>
      </c>
      <c r="F60" s="6">
        <v>7.82</v>
      </c>
      <c r="G60" s="10">
        <v>5.87</v>
      </c>
      <c r="H60" s="10"/>
      <c r="I60" t="s">
        <v>117</v>
      </c>
    </row>
    <row r="61" spans="1:12">
      <c r="A61" s="2" t="s">
        <v>123</v>
      </c>
      <c r="B61" s="2"/>
      <c r="C61" s="2"/>
      <c r="D61" s="2"/>
      <c r="E61" s="4" t="s">
        <v>124</v>
      </c>
      <c r="F61" s="6">
        <v>9.7799999999999994</v>
      </c>
      <c r="G61" s="10">
        <v>7.33</v>
      </c>
      <c r="H61" s="10"/>
      <c r="I61" t="s">
        <v>117</v>
      </c>
    </row>
    <row r="62" spans="1:12">
      <c r="A62" s="2" t="s">
        <v>125</v>
      </c>
      <c r="B62" s="2"/>
      <c r="C62" s="2"/>
      <c r="D62" s="2"/>
      <c r="E62" s="4" t="s">
        <v>126</v>
      </c>
      <c r="F62" s="6">
        <v>4.24</v>
      </c>
      <c r="G62" s="10">
        <v>3.18</v>
      </c>
      <c r="H62" s="10"/>
      <c r="I62" t="s">
        <v>117</v>
      </c>
    </row>
    <row r="63" spans="1:12">
      <c r="A63" s="2" t="s">
        <v>127</v>
      </c>
      <c r="B63" s="2"/>
      <c r="C63" s="2"/>
      <c r="D63" s="2"/>
      <c r="E63" s="4" t="s">
        <v>128</v>
      </c>
      <c r="F63" s="6">
        <v>6.35</v>
      </c>
      <c r="G63" s="10">
        <v>4.76</v>
      </c>
      <c r="H63" s="10"/>
      <c r="I63" t="s">
        <v>117</v>
      </c>
    </row>
    <row r="64" spans="1:12">
      <c r="A64" s="2" t="s">
        <v>129</v>
      </c>
      <c r="B64" s="2"/>
      <c r="C64" s="2"/>
      <c r="D64" s="2"/>
      <c r="E64" s="4" t="s">
        <v>130</v>
      </c>
      <c r="F64" s="6">
        <v>8.4499999999999993</v>
      </c>
      <c r="G64" s="10">
        <v>6.34</v>
      </c>
      <c r="H64" s="10"/>
      <c r="I64" t="s">
        <v>117</v>
      </c>
    </row>
    <row r="65" spans="1:9">
      <c r="A65" s="2" t="s">
        <v>131</v>
      </c>
      <c r="B65" s="2"/>
      <c r="C65" s="2"/>
      <c r="D65" s="2"/>
      <c r="E65" s="4" t="s">
        <v>132</v>
      </c>
      <c r="F65" s="6">
        <v>10.56</v>
      </c>
      <c r="G65" s="10">
        <v>7.92</v>
      </c>
      <c r="H65" s="10"/>
      <c r="I65" t="s">
        <v>117</v>
      </c>
    </row>
    <row r="66" spans="1:9">
      <c r="A66" s="2" t="s">
        <v>133</v>
      </c>
      <c r="B66" s="2"/>
      <c r="C66" s="2"/>
      <c r="D66" s="2"/>
      <c r="E66" s="4" t="s">
        <v>134</v>
      </c>
      <c r="F66" s="6">
        <v>5.65</v>
      </c>
      <c r="G66" s="10">
        <v>4.24</v>
      </c>
      <c r="H66" s="10"/>
      <c r="I66" t="s">
        <v>117</v>
      </c>
    </row>
    <row r="67" spans="1:9">
      <c r="A67" s="2" t="s">
        <v>135</v>
      </c>
      <c r="B67" s="2"/>
      <c r="C67" s="2"/>
      <c r="D67" s="2"/>
      <c r="E67" s="4" t="s">
        <v>136</v>
      </c>
      <c r="F67" s="6">
        <v>8.4700000000000006</v>
      </c>
      <c r="G67" s="10">
        <v>6.35</v>
      </c>
      <c r="H67" s="10"/>
      <c r="I67" t="s">
        <v>117</v>
      </c>
    </row>
    <row r="68" spans="1:9">
      <c r="A68" s="2" t="s">
        <v>137</v>
      </c>
      <c r="B68" s="2"/>
      <c r="C68" s="2"/>
      <c r="D68" s="2"/>
      <c r="E68" s="4" t="s">
        <v>138</v>
      </c>
      <c r="F68" s="6">
        <v>11.27</v>
      </c>
      <c r="G68" s="10">
        <v>8.4499999999999993</v>
      </c>
      <c r="H68" s="10"/>
      <c r="I68" t="s">
        <v>117</v>
      </c>
    </row>
    <row r="69" spans="1:9">
      <c r="A69" s="2" t="s">
        <v>139</v>
      </c>
      <c r="B69" s="2"/>
      <c r="C69" s="2"/>
      <c r="D69" s="2"/>
      <c r="E69" s="4" t="s">
        <v>140</v>
      </c>
      <c r="F69" s="6">
        <v>14.08</v>
      </c>
      <c r="G69" s="10">
        <v>10.56</v>
      </c>
      <c r="H69" s="10"/>
      <c r="I69" t="s">
        <v>117</v>
      </c>
    </row>
    <row r="70" spans="1:9">
      <c r="A70" s="2" t="s">
        <v>141</v>
      </c>
      <c r="B70" s="2"/>
      <c r="C70" s="2"/>
      <c r="D70" s="2"/>
      <c r="E70" s="4" t="s">
        <v>142</v>
      </c>
      <c r="F70" s="6">
        <v>9.3800000000000008</v>
      </c>
      <c r="G70" s="10">
        <v>7.04</v>
      </c>
      <c r="H70" s="10"/>
      <c r="I70" t="s">
        <v>117</v>
      </c>
    </row>
    <row r="71" spans="1:9">
      <c r="A71" s="2" t="s">
        <v>143</v>
      </c>
      <c r="B71" s="2"/>
      <c r="C71" s="2"/>
      <c r="D71" s="2"/>
      <c r="E71" s="4" t="s">
        <v>144</v>
      </c>
      <c r="F71" s="6">
        <v>14.07</v>
      </c>
      <c r="G71" s="10">
        <v>10.55</v>
      </c>
      <c r="H71" s="10"/>
      <c r="I71" t="s">
        <v>117</v>
      </c>
    </row>
    <row r="72" spans="1:9">
      <c r="A72" s="2" t="s">
        <v>145</v>
      </c>
      <c r="B72" s="2"/>
      <c r="C72" s="2"/>
      <c r="D72" s="2"/>
      <c r="E72" s="4" t="s">
        <v>146</v>
      </c>
      <c r="F72" s="6">
        <v>18.71</v>
      </c>
      <c r="G72" s="10">
        <v>14.04</v>
      </c>
      <c r="H72" s="10"/>
      <c r="I72" t="s">
        <v>117</v>
      </c>
    </row>
    <row r="73" spans="1:9">
      <c r="A73" s="2" t="s">
        <v>147</v>
      </c>
      <c r="B73" s="2"/>
      <c r="C73" s="2"/>
      <c r="D73" s="2"/>
      <c r="E73" s="4" t="s">
        <v>148</v>
      </c>
      <c r="F73" s="6">
        <v>23.39</v>
      </c>
      <c r="G73" s="10">
        <v>17.54</v>
      </c>
      <c r="H73" s="10"/>
      <c r="I73" t="s">
        <v>117</v>
      </c>
    </row>
    <row r="74" spans="1:9">
      <c r="A74" s="2" t="s">
        <v>149</v>
      </c>
      <c r="B74" s="2"/>
      <c r="C74" s="2"/>
      <c r="D74" s="2"/>
      <c r="E74" s="4" t="s">
        <v>150</v>
      </c>
      <c r="F74" s="6">
        <v>39.22</v>
      </c>
      <c r="G74" s="10">
        <v>23.53</v>
      </c>
      <c r="H74" s="10"/>
    </row>
    <row r="75" spans="1:9">
      <c r="A75" s="2" t="s">
        <v>151</v>
      </c>
      <c r="B75" s="2"/>
      <c r="C75" s="2"/>
      <c r="D75" s="2"/>
      <c r="E75" s="4" t="s">
        <v>152</v>
      </c>
      <c r="F75" s="6">
        <v>7.84</v>
      </c>
      <c r="G75" s="10">
        <v>4.71</v>
      </c>
      <c r="H75" s="10"/>
    </row>
    <row r="76" spans="1:9">
      <c r="A76" s="2" t="s">
        <v>153</v>
      </c>
      <c r="B76" s="2"/>
      <c r="C76" s="2"/>
      <c r="D76" s="2"/>
      <c r="E76" s="4" t="s">
        <v>154</v>
      </c>
      <c r="F76" s="6">
        <v>9.8000000000000007</v>
      </c>
      <c r="G76" s="10">
        <v>5.88</v>
      </c>
      <c r="H76" s="10"/>
    </row>
    <row r="77" spans="1:9">
      <c r="A77" s="2" t="s">
        <v>155</v>
      </c>
      <c r="B77" s="2"/>
      <c r="C77" s="2"/>
      <c r="D77" s="2"/>
      <c r="E77" s="4" t="s">
        <v>156</v>
      </c>
      <c r="F77" s="6">
        <v>11.76</v>
      </c>
      <c r="G77" s="10">
        <v>7.06</v>
      </c>
      <c r="H77" s="10"/>
    </row>
    <row r="78" spans="1:9">
      <c r="A78" s="2" t="s">
        <v>157</v>
      </c>
      <c r="B78" s="2"/>
      <c r="C78" s="2"/>
      <c r="D78" s="2"/>
      <c r="E78" s="4" t="s">
        <v>158</v>
      </c>
      <c r="F78" s="6">
        <v>13.73</v>
      </c>
      <c r="G78" s="10">
        <v>8.24</v>
      </c>
      <c r="H78" s="10"/>
    </row>
    <row r="79" spans="1:9">
      <c r="A79" s="2" t="s">
        <v>159</v>
      </c>
      <c r="B79" s="2"/>
      <c r="C79" s="2"/>
      <c r="D79" s="2"/>
      <c r="E79" s="4" t="s">
        <v>160</v>
      </c>
      <c r="F79" s="6">
        <v>15.69</v>
      </c>
      <c r="G79" s="10">
        <v>9.41</v>
      </c>
      <c r="H79" s="10"/>
    </row>
    <row r="80" spans="1:9">
      <c r="A80" s="2" t="s">
        <v>161</v>
      </c>
      <c r="B80" s="2"/>
      <c r="C80" s="2"/>
      <c r="D80" s="2"/>
      <c r="E80" s="4" t="s">
        <v>162</v>
      </c>
      <c r="F80" s="6">
        <v>23.53</v>
      </c>
      <c r="G80" s="10">
        <v>14.12</v>
      </c>
      <c r="H80" s="10"/>
    </row>
    <row r="81" spans="1:8">
      <c r="A81" s="2" t="s">
        <v>163</v>
      </c>
      <c r="B81" s="2"/>
      <c r="C81" s="2"/>
      <c r="D81" s="2"/>
      <c r="E81" s="4" t="s">
        <v>164</v>
      </c>
      <c r="F81" s="6">
        <v>31.37</v>
      </c>
      <c r="G81" s="10">
        <v>18.82</v>
      </c>
      <c r="H81" s="10"/>
    </row>
    <row r="82" spans="1:8">
      <c r="A82" s="2" t="s">
        <v>165</v>
      </c>
      <c r="B82" s="2"/>
      <c r="C82" s="2"/>
      <c r="D82" s="2"/>
      <c r="E82" s="4" t="s">
        <v>166</v>
      </c>
      <c r="F82" s="6">
        <v>65.489999999999995</v>
      </c>
      <c r="G82" s="10">
        <v>39.29</v>
      </c>
      <c r="H82" s="10"/>
    </row>
    <row r="83" spans="1:8">
      <c r="A83" s="2" t="s">
        <v>167</v>
      </c>
      <c r="B83" s="2"/>
      <c r="C83" s="2"/>
      <c r="D83" s="2"/>
      <c r="E83" s="4" t="s">
        <v>168</v>
      </c>
      <c r="F83" s="6">
        <v>13.1</v>
      </c>
      <c r="G83" s="10">
        <v>7.86</v>
      </c>
      <c r="H83" s="10"/>
    </row>
    <row r="84" spans="1:8">
      <c r="A84" s="2" t="s">
        <v>169</v>
      </c>
      <c r="B84" s="2"/>
      <c r="C84" s="2"/>
      <c r="D84" s="2"/>
      <c r="E84" s="4" t="s">
        <v>170</v>
      </c>
      <c r="F84" s="6">
        <v>16.37</v>
      </c>
      <c r="G84" s="10">
        <v>9.82</v>
      </c>
      <c r="H84" s="10"/>
    </row>
    <row r="85" spans="1:8">
      <c r="A85" s="2" t="s">
        <v>171</v>
      </c>
      <c r="B85" s="2"/>
      <c r="C85" s="2"/>
      <c r="D85" s="2"/>
      <c r="E85" s="4" t="s">
        <v>172</v>
      </c>
      <c r="F85" s="6">
        <v>19.649999999999999</v>
      </c>
      <c r="G85" s="10">
        <v>11.79</v>
      </c>
      <c r="H85" s="10"/>
    </row>
    <row r="86" spans="1:8">
      <c r="A86" s="2" t="s">
        <v>173</v>
      </c>
      <c r="B86" s="2"/>
      <c r="C86" s="2"/>
      <c r="D86" s="2"/>
      <c r="E86" s="4" t="s">
        <v>174</v>
      </c>
      <c r="F86" s="6">
        <v>22.92</v>
      </c>
      <c r="G86" s="10">
        <v>13.75</v>
      </c>
      <c r="H86" s="10"/>
    </row>
    <row r="87" spans="1:8">
      <c r="A87" s="2" t="s">
        <v>175</v>
      </c>
      <c r="B87" s="2"/>
      <c r="C87" s="2"/>
      <c r="D87" s="2"/>
      <c r="E87" s="4" t="s">
        <v>176</v>
      </c>
      <c r="F87" s="6">
        <v>26.2</v>
      </c>
      <c r="G87" s="10">
        <v>15.72</v>
      </c>
      <c r="H87" s="10"/>
    </row>
    <row r="88" spans="1:8">
      <c r="A88" s="2" t="s">
        <v>177</v>
      </c>
      <c r="B88" s="2"/>
      <c r="C88" s="2"/>
      <c r="D88" s="2"/>
      <c r="E88" s="4" t="s">
        <v>178</v>
      </c>
      <c r="F88" s="6">
        <v>39.29</v>
      </c>
      <c r="G88" s="10">
        <v>23.58</v>
      </c>
      <c r="H88" s="10"/>
    </row>
    <row r="89" spans="1:8">
      <c r="A89" s="2" t="s">
        <v>179</v>
      </c>
      <c r="B89" s="2"/>
      <c r="C89" s="2"/>
      <c r="D89" s="2"/>
      <c r="E89" s="4" t="s">
        <v>180</v>
      </c>
      <c r="F89" s="6">
        <v>52.39</v>
      </c>
      <c r="G89" s="10">
        <v>31.44</v>
      </c>
      <c r="H89" s="10"/>
    </row>
    <row r="90" spans="1:8">
      <c r="A90" s="17" t="s">
        <v>181</v>
      </c>
      <c r="B90" s="17"/>
      <c r="C90" s="17"/>
      <c r="D90" s="17"/>
      <c r="E90" s="18" t="s">
        <v>182</v>
      </c>
      <c r="F90" s="19">
        <v>61.76</v>
      </c>
      <c r="G90" s="19">
        <f>F90*0.6</f>
        <v>37.055999999999997</v>
      </c>
      <c r="H90" s="10"/>
    </row>
    <row r="91" spans="1:8">
      <c r="A91" s="2" t="s">
        <v>183</v>
      </c>
      <c r="B91" s="2"/>
      <c r="C91" s="2"/>
      <c r="D91" s="2"/>
      <c r="E91" s="4" t="s">
        <v>184</v>
      </c>
      <c r="F91" s="6">
        <v>98.24</v>
      </c>
      <c r="G91" s="10">
        <v>58.94</v>
      </c>
      <c r="H91" s="10"/>
    </row>
    <row r="92" spans="1:8">
      <c r="A92" s="2" t="s">
        <v>185</v>
      </c>
      <c r="B92" s="2"/>
      <c r="C92" s="2"/>
      <c r="D92" s="2"/>
      <c r="E92" s="4" t="s">
        <v>186</v>
      </c>
      <c r="F92" s="6">
        <v>19.649999999999999</v>
      </c>
      <c r="G92" s="10">
        <v>11.79</v>
      </c>
      <c r="H92" s="10"/>
    </row>
    <row r="93" spans="1:8">
      <c r="A93" s="2" t="s">
        <v>187</v>
      </c>
      <c r="B93" s="2"/>
      <c r="C93" s="2"/>
      <c r="D93" s="2"/>
      <c r="E93" s="4" t="s">
        <v>188</v>
      </c>
      <c r="F93" s="6">
        <v>24.56</v>
      </c>
      <c r="G93" s="10">
        <v>14.74</v>
      </c>
      <c r="H93" s="10"/>
    </row>
    <row r="94" spans="1:8">
      <c r="A94" s="2" t="s">
        <v>189</v>
      </c>
      <c r="B94" s="2"/>
      <c r="C94" s="2"/>
      <c r="D94" s="2"/>
      <c r="E94" s="4" t="s">
        <v>190</v>
      </c>
      <c r="F94" s="6">
        <v>29.47</v>
      </c>
      <c r="G94" s="10">
        <v>17.68</v>
      </c>
      <c r="H94" s="10"/>
    </row>
    <row r="95" spans="1:8">
      <c r="A95" s="2" t="s">
        <v>191</v>
      </c>
      <c r="B95" s="2"/>
      <c r="C95" s="2"/>
      <c r="D95" s="2"/>
      <c r="E95" s="4" t="s">
        <v>192</v>
      </c>
      <c r="F95" s="6">
        <v>34.380000000000003</v>
      </c>
      <c r="G95" s="10">
        <v>20.63</v>
      </c>
      <c r="H95" s="10"/>
    </row>
    <row r="96" spans="1:8">
      <c r="A96" s="2" t="s">
        <v>193</v>
      </c>
      <c r="B96" s="2"/>
      <c r="C96" s="2"/>
      <c r="D96" s="2"/>
      <c r="E96" s="4" t="s">
        <v>194</v>
      </c>
      <c r="F96" s="6">
        <v>39.29</v>
      </c>
      <c r="G96" s="10">
        <v>23.58</v>
      </c>
      <c r="H96" s="10"/>
    </row>
    <row r="97" spans="1:9">
      <c r="A97" s="2" t="s">
        <v>195</v>
      </c>
      <c r="B97" s="2"/>
      <c r="C97" s="2"/>
      <c r="D97" s="2"/>
      <c r="E97" s="4" t="s">
        <v>196</v>
      </c>
      <c r="F97" s="6">
        <v>58.94</v>
      </c>
      <c r="G97" s="10">
        <v>35.36</v>
      </c>
      <c r="H97" s="10"/>
    </row>
    <row r="98" spans="1:9">
      <c r="A98" s="2" t="s">
        <v>197</v>
      </c>
      <c r="B98" s="2"/>
      <c r="C98" s="2"/>
      <c r="D98" s="2"/>
      <c r="E98" s="4" t="s">
        <v>198</v>
      </c>
      <c r="F98" s="6">
        <v>78.59</v>
      </c>
      <c r="G98" s="10">
        <v>47.15</v>
      </c>
      <c r="H98" s="10"/>
    </row>
    <row r="99" spans="1:9">
      <c r="A99" s="2" t="s">
        <v>199</v>
      </c>
      <c r="B99" s="2"/>
      <c r="C99" s="2"/>
      <c r="D99" s="2"/>
      <c r="E99" s="4" t="s">
        <v>200</v>
      </c>
      <c r="F99" s="6">
        <v>130.65</v>
      </c>
      <c r="G99" s="10">
        <v>78.39</v>
      </c>
      <c r="H99" s="10"/>
    </row>
    <row r="100" spans="1:9">
      <c r="A100" s="2" t="s">
        <v>201</v>
      </c>
      <c r="B100" s="2"/>
      <c r="C100" s="2"/>
      <c r="D100" s="2"/>
      <c r="E100" s="4" t="s">
        <v>202</v>
      </c>
      <c r="F100" s="6">
        <v>26.13</v>
      </c>
      <c r="G100" s="10">
        <v>15.68</v>
      </c>
      <c r="H100" s="10"/>
    </row>
    <row r="101" spans="1:9">
      <c r="A101" s="2" t="s">
        <v>203</v>
      </c>
      <c r="B101" s="2"/>
      <c r="C101" s="2"/>
      <c r="D101" s="2"/>
      <c r="E101" s="4" t="s">
        <v>204</v>
      </c>
      <c r="F101" s="6">
        <v>32.659999999999997</v>
      </c>
      <c r="G101" s="10">
        <v>19.600000000000001</v>
      </c>
      <c r="H101" s="10"/>
    </row>
    <row r="102" spans="1:9">
      <c r="A102" s="2" t="s">
        <v>205</v>
      </c>
      <c r="B102" s="2"/>
      <c r="C102" s="2"/>
      <c r="D102" s="2"/>
      <c r="E102" s="4" t="s">
        <v>206</v>
      </c>
      <c r="F102" s="6">
        <v>39.200000000000003</v>
      </c>
      <c r="G102" s="10">
        <v>23.52</v>
      </c>
      <c r="H102" s="10"/>
    </row>
    <row r="103" spans="1:9">
      <c r="A103" s="2" t="s">
        <v>207</v>
      </c>
      <c r="B103" s="2"/>
      <c r="C103" s="2"/>
      <c r="D103" s="2"/>
      <c r="E103" s="4" t="s">
        <v>208</v>
      </c>
      <c r="F103" s="6">
        <v>45.73</v>
      </c>
      <c r="G103" s="10">
        <v>27.44</v>
      </c>
      <c r="H103" s="10"/>
    </row>
    <row r="104" spans="1:9">
      <c r="A104" s="2" t="s">
        <v>209</v>
      </c>
      <c r="B104" s="2"/>
      <c r="C104" s="2"/>
      <c r="D104" s="2"/>
      <c r="E104" s="4" t="s">
        <v>210</v>
      </c>
      <c r="F104" s="6">
        <v>52.26</v>
      </c>
      <c r="G104" s="10">
        <v>31.36</v>
      </c>
      <c r="H104" s="10"/>
    </row>
    <row r="105" spans="1:9">
      <c r="A105" s="2" t="s">
        <v>211</v>
      </c>
      <c r="B105" s="2"/>
      <c r="C105" s="2"/>
      <c r="D105" s="2"/>
      <c r="E105" s="4" t="s">
        <v>212</v>
      </c>
      <c r="F105" s="6">
        <v>78.39</v>
      </c>
      <c r="G105" s="10">
        <v>47.04</v>
      </c>
      <c r="H105" s="10"/>
    </row>
    <row r="106" spans="1:9">
      <c r="A106" s="2" t="s">
        <v>213</v>
      </c>
      <c r="B106" s="2"/>
      <c r="C106" s="2"/>
      <c r="D106" s="2"/>
      <c r="E106" s="4" t="s">
        <v>214</v>
      </c>
      <c r="F106" s="6">
        <v>104.52</v>
      </c>
      <c r="G106" s="10">
        <v>62.71</v>
      </c>
      <c r="H106" s="10"/>
    </row>
    <row r="107" spans="1:9">
      <c r="A107" s="2" t="s">
        <v>215</v>
      </c>
      <c r="B107" s="2"/>
      <c r="C107" s="2"/>
      <c r="D107" s="2"/>
      <c r="E107" s="4" t="s">
        <v>216</v>
      </c>
      <c r="F107" s="6">
        <v>22.92</v>
      </c>
      <c r="G107" s="10">
        <v>13.75</v>
      </c>
      <c r="H107" s="10"/>
    </row>
    <row r="108" spans="1:9">
      <c r="A108" s="2" t="s">
        <v>217</v>
      </c>
      <c r="B108" s="2"/>
      <c r="C108" s="2"/>
      <c r="D108" s="2"/>
      <c r="E108" s="4" t="s">
        <v>218</v>
      </c>
      <c r="F108" s="6">
        <v>7</v>
      </c>
      <c r="G108" s="10">
        <v>3.76</v>
      </c>
      <c r="H108" s="10"/>
    </row>
    <row r="109" spans="1:9">
      <c r="A109" s="2" t="s">
        <v>219</v>
      </c>
      <c r="B109" s="2"/>
      <c r="C109" s="2"/>
      <c r="D109" s="2"/>
      <c r="E109" s="4" t="s">
        <v>220</v>
      </c>
      <c r="F109" s="6">
        <v>12</v>
      </c>
      <c r="G109" s="10">
        <v>6.59</v>
      </c>
      <c r="H109" s="10"/>
    </row>
    <row r="110" spans="1:9">
      <c r="A110" s="2" t="s">
        <v>221</v>
      </c>
      <c r="B110" s="2"/>
      <c r="C110" s="2"/>
      <c r="D110" s="2"/>
      <c r="E110" s="4" t="s">
        <v>222</v>
      </c>
      <c r="F110" s="6">
        <v>17</v>
      </c>
      <c r="G110" s="10">
        <v>9.8800000000000008</v>
      </c>
      <c r="H110" s="10"/>
    </row>
    <row r="111" spans="1:9">
      <c r="A111" s="2" t="s">
        <v>223</v>
      </c>
      <c r="B111" s="2"/>
      <c r="C111" s="2"/>
      <c r="D111" s="2"/>
      <c r="E111" s="4" t="s">
        <v>224</v>
      </c>
      <c r="F111" s="6">
        <v>5</v>
      </c>
      <c r="G111" s="10">
        <v>2.64</v>
      </c>
      <c r="H111" s="10"/>
      <c r="I111" t="s">
        <v>225</v>
      </c>
    </row>
    <row r="112" spans="1:9">
      <c r="A112" s="2" t="s">
        <v>226</v>
      </c>
      <c r="B112" s="2"/>
      <c r="C112" s="2"/>
      <c r="D112" s="2"/>
      <c r="E112" s="4" t="s">
        <v>227</v>
      </c>
      <c r="F112" s="6">
        <v>9</v>
      </c>
      <c r="G112" s="10">
        <v>4.6100000000000003</v>
      </c>
      <c r="H112" s="10"/>
    </row>
    <row r="113" spans="1:10">
      <c r="A113" s="2" t="s">
        <v>228</v>
      </c>
      <c r="B113" s="2"/>
      <c r="C113" s="2"/>
      <c r="D113" s="2"/>
      <c r="E113" s="4" t="s">
        <v>229</v>
      </c>
      <c r="F113" s="6">
        <v>13</v>
      </c>
      <c r="G113" s="10">
        <v>6.92</v>
      </c>
      <c r="H113" s="10"/>
    </row>
    <row r="114" spans="1:10">
      <c r="A114" s="2" t="s">
        <v>230</v>
      </c>
      <c r="B114" s="2"/>
      <c r="C114" s="2"/>
      <c r="D114" s="2"/>
      <c r="E114" s="4" t="s">
        <v>231</v>
      </c>
      <c r="F114" s="6">
        <v>3.92</v>
      </c>
      <c r="G114" s="10">
        <v>2.35</v>
      </c>
      <c r="H114" s="10"/>
      <c r="I114" t="s">
        <v>232</v>
      </c>
      <c r="J114" s="7" t="s">
        <v>233</v>
      </c>
    </row>
    <row r="115" spans="1:10">
      <c r="A115" s="2" t="s">
        <v>234</v>
      </c>
      <c r="B115" s="2"/>
      <c r="C115" s="2"/>
      <c r="D115" s="2"/>
      <c r="E115" s="4" t="s">
        <v>235</v>
      </c>
      <c r="F115" s="6">
        <v>6.55</v>
      </c>
      <c r="G115" s="10">
        <v>3.93</v>
      </c>
      <c r="H115" s="10"/>
    </row>
    <row r="116" spans="1:10">
      <c r="A116" s="2" t="s">
        <v>236</v>
      </c>
      <c r="B116" s="2"/>
      <c r="C116" s="2"/>
      <c r="D116" s="2"/>
      <c r="E116" s="4" t="s">
        <v>237</v>
      </c>
      <c r="F116" s="6">
        <v>9.82</v>
      </c>
      <c r="G116" s="10">
        <v>5.89</v>
      </c>
      <c r="H116" s="10"/>
    </row>
    <row r="117" spans="1:10">
      <c r="A117" s="2" t="s">
        <v>238</v>
      </c>
      <c r="B117" s="2"/>
      <c r="C117" s="2"/>
      <c r="D117" s="2"/>
      <c r="E117" s="4" t="s">
        <v>239</v>
      </c>
      <c r="F117" s="6">
        <v>13.07</v>
      </c>
      <c r="G117" s="10">
        <v>7.84</v>
      </c>
      <c r="H117" s="10"/>
    </row>
    <row r="118" spans="1:10">
      <c r="A118" s="2" t="s">
        <v>240</v>
      </c>
      <c r="B118" s="2"/>
      <c r="C118" s="2"/>
      <c r="D118" s="2"/>
      <c r="E118" s="4" t="s">
        <v>241</v>
      </c>
      <c r="F118" s="6">
        <v>4.9000000000000004</v>
      </c>
      <c r="G118" s="10">
        <v>2.94</v>
      </c>
      <c r="H118" s="10"/>
    </row>
    <row r="119" spans="1:10">
      <c r="A119" s="2" t="s">
        <v>242</v>
      </c>
      <c r="B119" s="2"/>
      <c r="C119" s="2"/>
      <c r="D119" s="2"/>
      <c r="E119" s="4" t="s">
        <v>243</v>
      </c>
      <c r="F119" s="6">
        <v>8.19</v>
      </c>
      <c r="G119" s="10">
        <v>4.91</v>
      </c>
      <c r="H119" s="10"/>
    </row>
    <row r="120" spans="1:10">
      <c r="A120" s="2" t="s">
        <v>244</v>
      </c>
      <c r="B120" s="2"/>
      <c r="C120" s="2"/>
      <c r="D120" s="2"/>
      <c r="E120" s="4" t="s">
        <v>245</v>
      </c>
      <c r="F120" s="6">
        <v>12.28</v>
      </c>
      <c r="G120" s="10">
        <v>7.37</v>
      </c>
      <c r="H120" s="10"/>
    </row>
    <row r="121" spans="1:10">
      <c r="A121" s="2" t="s">
        <v>246</v>
      </c>
      <c r="B121" s="2"/>
      <c r="C121" s="2"/>
      <c r="D121" s="2"/>
      <c r="E121" s="4" t="s">
        <v>247</v>
      </c>
      <c r="F121" s="6">
        <v>16.329999999999998</v>
      </c>
      <c r="G121" s="10">
        <v>9.8000000000000007</v>
      </c>
      <c r="H121" s="10"/>
    </row>
    <row r="122" spans="1:10">
      <c r="A122" s="2" t="s">
        <v>248</v>
      </c>
      <c r="B122" s="2"/>
      <c r="C122" s="2"/>
      <c r="D122" s="2"/>
      <c r="E122" s="4" t="s">
        <v>249</v>
      </c>
      <c r="F122" s="6">
        <v>5.88</v>
      </c>
      <c r="G122" s="10">
        <v>3.53</v>
      </c>
      <c r="H122" s="10"/>
    </row>
    <row r="123" spans="1:10">
      <c r="A123" s="2" t="s">
        <v>250</v>
      </c>
      <c r="B123" s="2"/>
      <c r="C123" s="2"/>
      <c r="D123" s="2"/>
      <c r="E123" s="4" t="s">
        <v>251</v>
      </c>
      <c r="F123" s="6">
        <v>9.82</v>
      </c>
      <c r="G123" s="10">
        <v>5.89</v>
      </c>
      <c r="H123" s="10"/>
    </row>
    <row r="124" spans="1:10">
      <c r="A124" s="2" t="s">
        <v>252</v>
      </c>
      <c r="B124" s="2"/>
      <c r="C124" s="2"/>
      <c r="D124" s="2"/>
      <c r="E124" s="4" t="s">
        <v>253</v>
      </c>
      <c r="F124" s="6">
        <v>14.74</v>
      </c>
      <c r="G124" s="10">
        <v>8.84</v>
      </c>
      <c r="H124" s="10"/>
    </row>
    <row r="125" spans="1:10">
      <c r="A125" s="2" t="s">
        <v>254</v>
      </c>
      <c r="B125" s="2"/>
      <c r="C125" s="2"/>
      <c r="D125" s="2"/>
      <c r="E125" s="4" t="s">
        <v>255</v>
      </c>
      <c r="F125" s="6">
        <v>19.600000000000001</v>
      </c>
      <c r="G125" s="10">
        <v>11.76</v>
      </c>
      <c r="H125" s="10"/>
    </row>
    <row r="126" spans="1:10">
      <c r="A126" s="2" t="s">
        <v>256</v>
      </c>
      <c r="B126" s="2"/>
      <c r="C126" s="2"/>
      <c r="D126" s="2"/>
      <c r="E126" s="4" t="s">
        <v>257</v>
      </c>
      <c r="F126" s="6">
        <v>6.86</v>
      </c>
      <c r="G126" s="10">
        <v>4.12</v>
      </c>
      <c r="H126" s="10"/>
    </row>
    <row r="127" spans="1:10">
      <c r="A127" s="2" t="s">
        <v>258</v>
      </c>
      <c r="B127" s="2"/>
      <c r="C127" s="2"/>
      <c r="D127" s="2"/>
      <c r="E127" s="4" t="s">
        <v>259</v>
      </c>
      <c r="F127" s="6">
        <v>11.46</v>
      </c>
      <c r="G127" s="10">
        <v>6.88</v>
      </c>
      <c r="H127" s="10"/>
    </row>
    <row r="128" spans="1:10">
      <c r="A128" s="2" t="s">
        <v>260</v>
      </c>
      <c r="B128" s="2"/>
      <c r="C128" s="2"/>
      <c r="D128" s="2"/>
      <c r="E128" s="4" t="s">
        <v>261</v>
      </c>
      <c r="F128" s="6">
        <v>17.190000000000001</v>
      </c>
      <c r="G128" s="10">
        <v>10.31</v>
      </c>
      <c r="H128" s="10"/>
    </row>
    <row r="129" spans="1:8">
      <c r="A129" s="2" t="s">
        <v>262</v>
      </c>
      <c r="B129" s="2"/>
      <c r="C129" s="2"/>
      <c r="D129" s="2"/>
      <c r="E129" s="4" t="s">
        <v>263</v>
      </c>
      <c r="F129" s="6">
        <v>22.86</v>
      </c>
      <c r="G129" s="10">
        <v>13.72</v>
      </c>
      <c r="H129" s="10"/>
    </row>
    <row r="130" spans="1:8">
      <c r="A130" s="2" t="s">
        <v>264</v>
      </c>
      <c r="B130" s="2"/>
      <c r="C130" s="2"/>
      <c r="D130" s="2"/>
      <c r="E130" s="4" t="s">
        <v>265</v>
      </c>
      <c r="F130" s="6">
        <v>7.84</v>
      </c>
      <c r="G130" s="10">
        <v>4.71</v>
      </c>
      <c r="H130" s="10"/>
    </row>
    <row r="131" spans="1:8">
      <c r="A131" s="2" t="s">
        <v>266</v>
      </c>
      <c r="B131" s="2"/>
      <c r="C131" s="2"/>
      <c r="D131" s="2"/>
      <c r="E131" s="4" t="s">
        <v>267</v>
      </c>
      <c r="F131" s="6">
        <v>13.1</v>
      </c>
      <c r="G131" s="10">
        <v>7.86</v>
      </c>
      <c r="H131" s="10"/>
    </row>
    <row r="132" spans="1:8">
      <c r="A132" s="2" t="s">
        <v>268</v>
      </c>
      <c r="B132" s="2"/>
      <c r="C132" s="2"/>
      <c r="D132" s="2"/>
      <c r="E132" s="4" t="s">
        <v>269</v>
      </c>
      <c r="F132" s="6">
        <v>19.649999999999999</v>
      </c>
      <c r="G132" s="10">
        <v>11.79</v>
      </c>
      <c r="H132" s="10"/>
    </row>
    <row r="133" spans="1:8">
      <c r="A133" s="2" t="s">
        <v>270</v>
      </c>
      <c r="B133" s="2"/>
      <c r="C133" s="2"/>
      <c r="D133" s="2"/>
      <c r="E133" s="4" t="s">
        <v>271</v>
      </c>
      <c r="F133" s="6">
        <v>26.13</v>
      </c>
      <c r="G133" s="10">
        <v>15.68</v>
      </c>
      <c r="H133" s="10"/>
    </row>
    <row r="134" spans="1:8">
      <c r="A134" s="2" t="s">
        <v>272</v>
      </c>
      <c r="B134" s="2"/>
      <c r="C134" s="2"/>
      <c r="D134" s="2"/>
      <c r="E134" s="4" t="s">
        <v>273</v>
      </c>
      <c r="F134" s="6">
        <v>9.8000000000000007</v>
      </c>
      <c r="G134" s="10">
        <v>5.88</v>
      </c>
      <c r="H134" s="10"/>
    </row>
    <row r="135" spans="1:8">
      <c r="A135" s="2" t="s">
        <v>274</v>
      </c>
      <c r="B135" s="2"/>
      <c r="C135" s="2"/>
      <c r="D135" s="2"/>
      <c r="E135" s="4" t="s">
        <v>275</v>
      </c>
      <c r="F135" s="6">
        <v>16.37</v>
      </c>
      <c r="G135" s="10">
        <v>9.82</v>
      </c>
      <c r="H135" s="10"/>
    </row>
    <row r="136" spans="1:8">
      <c r="A136" s="2" t="s">
        <v>276</v>
      </c>
      <c r="B136" s="2"/>
      <c r="C136" s="2"/>
      <c r="D136" s="2"/>
      <c r="E136" s="4" t="s">
        <v>277</v>
      </c>
      <c r="F136" s="6">
        <v>24.56</v>
      </c>
      <c r="G136" s="10">
        <v>14.74</v>
      </c>
      <c r="H136" s="10"/>
    </row>
    <row r="137" spans="1:8">
      <c r="A137" s="2" t="s">
        <v>278</v>
      </c>
      <c r="B137" s="2"/>
      <c r="C137" s="2"/>
      <c r="D137" s="2"/>
      <c r="E137" s="4" t="s">
        <v>279</v>
      </c>
      <c r="F137" s="6">
        <v>32.659999999999997</v>
      </c>
      <c r="G137" s="10">
        <v>19.600000000000001</v>
      </c>
      <c r="H137" s="10"/>
    </row>
    <row r="138" spans="1:8">
      <c r="A138" s="2" t="s">
        <v>280</v>
      </c>
      <c r="B138" s="2"/>
      <c r="C138" s="2"/>
      <c r="D138" s="2"/>
      <c r="E138" s="4" t="s">
        <v>281</v>
      </c>
      <c r="F138" s="6">
        <v>11.76</v>
      </c>
      <c r="G138" s="10">
        <v>7.06</v>
      </c>
      <c r="H138" s="10"/>
    </row>
    <row r="139" spans="1:8">
      <c r="A139" s="2" t="s">
        <v>282</v>
      </c>
      <c r="B139" s="2"/>
      <c r="C139" s="2"/>
      <c r="D139" s="2"/>
      <c r="E139" s="4" t="s">
        <v>283</v>
      </c>
      <c r="F139" s="6">
        <v>19.649999999999999</v>
      </c>
      <c r="G139" s="10">
        <v>11.79</v>
      </c>
      <c r="H139" s="10"/>
    </row>
    <row r="140" spans="1:8">
      <c r="A140" s="2" t="s">
        <v>284</v>
      </c>
      <c r="B140" s="2"/>
      <c r="C140" s="2"/>
      <c r="D140" s="2"/>
      <c r="E140" s="4" t="s">
        <v>285</v>
      </c>
      <c r="F140" s="6">
        <v>29.47</v>
      </c>
      <c r="G140" s="10">
        <v>17.68</v>
      </c>
      <c r="H140" s="10"/>
    </row>
    <row r="141" spans="1:8">
      <c r="A141" s="2" t="s">
        <v>286</v>
      </c>
      <c r="B141" s="2"/>
      <c r="C141" s="2"/>
      <c r="D141" s="2"/>
      <c r="E141" s="4" t="s">
        <v>287</v>
      </c>
      <c r="F141" s="6">
        <v>39.200000000000003</v>
      </c>
      <c r="G141" s="10">
        <v>23.52</v>
      </c>
      <c r="H141" s="10"/>
    </row>
    <row r="142" spans="1:8">
      <c r="A142" s="2" t="s">
        <v>288</v>
      </c>
      <c r="B142" s="2"/>
      <c r="C142" s="2"/>
      <c r="D142" s="2"/>
      <c r="E142" s="4" t="s">
        <v>289</v>
      </c>
      <c r="F142" s="6">
        <v>13.73</v>
      </c>
      <c r="G142" s="10">
        <v>8.24</v>
      </c>
      <c r="H142" s="10"/>
    </row>
    <row r="143" spans="1:8">
      <c r="A143" s="2" t="s">
        <v>290</v>
      </c>
      <c r="B143" s="2"/>
      <c r="C143" s="2"/>
      <c r="D143" s="2"/>
      <c r="E143" s="4" t="s">
        <v>291</v>
      </c>
      <c r="F143" s="6">
        <v>22.92</v>
      </c>
      <c r="G143" s="10">
        <v>13.75</v>
      </c>
      <c r="H143" s="10"/>
    </row>
    <row r="144" spans="1:8">
      <c r="A144" s="2" t="s">
        <v>292</v>
      </c>
      <c r="B144" s="2"/>
      <c r="C144" s="2"/>
      <c r="D144" s="2"/>
      <c r="E144" s="4" t="s">
        <v>293</v>
      </c>
      <c r="F144" s="6">
        <v>34.380000000000003</v>
      </c>
      <c r="G144" s="10">
        <v>20.63</v>
      </c>
      <c r="H144" s="10"/>
    </row>
    <row r="145" spans="1:8">
      <c r="A145" s="2" t="s">
        <v>294</v>
      </c>
      <c r="B145" s="2"/>
      <c r="C145" s="2"/>
      <c r="D145" s="2"/>
      <c r="E145" s="4" t="s">
        <v>295</v>
      </c>
      <c r="F145" s="6">
        <v>45.73</v>
      </c>
      <c r="G145" s="10">
        <v>27.44</v>
      </c>
      <c r="H145" s="10"/>
    </row>
    <row r="146" spans="1:8">
      <c r="A146" s="2" t="s">
        <v>296</v>
      </c>
      <c r="B146" s="2"/>
      <c r="C146" s="2"/>
      <c r="D146" s="2"/>
      <c r="E146" s="4" t="s">
        <v>297</v>
      </c>
      <c r="F146" s="6">
        <v>15.69</v>
      </c>
      <c r="G146" s="10">
        <v>9.41</v>
      </c>
      <c r="H146" s="10"/>
    </row>
    <row r="147" spans="1:8">
      <c r="A147" s="2" t="s">
        <v>298</v>
      </c>
      <c r="B147" s="2"/>
      <c r="C147" s="2"/>
      <c r="D147" s="2"/>
      <c r="E147" s="4" t="s">
        <v>299</v>
      </c>
      <c r="F147" s="6">
        <v>26.2</v>
      </c>
      <c r="G147" s="10">
        <v>15.72</v>
      </c>
      <c r="H147" s="10"/>
    </row>
    <row r="148" spans="1:8">
      <c r="A148" s="2" t="s">
        <v>300</v>
      </c>
      <c r="B148" s="2"/>
      <c r="C148" s="2"/>
      <c r="D148" s="2"/>
      <c r="E148" s="4" t="s">
        <v>301</v>
      </c>
      <c r="F148" s="6">
        <v>39.29</v>
      </c>
      <c r="G148" s="10">
        <v>23.58</v>
      </c>
      <c r="H148" s="10"/>
    </row>
    <row r="149" spans="1:8">
      <c r="A149" s="2" t="s">
        <v>302</v>
      </c>
      <c r="B149" s="2"/>
      <c r="C149" s="2"/>
      <c r="D149" s="2"/>
      <c r="E149" s="4" t="s">
        <v>303</v>
      </c>
      <c r="F149" s="6">
        <v>52.26</v>
      </c>
      <c r="G149" s="10">
        <v>31.36</v>
      </c>
      <c r="H149" s="10"/>
    </row>
    <row r="150" spans="1:8">
      <c r="A150" s="2" t="s">
        <v>304</v>
      </c>
      <c r="B150" s="2"/>
      <c r="C150" s="2"/>
      <c r="D150" s="2"/>
      <c r="E150" s="4" t="s">
        <v>305</v>
      </c>
      <c r="F150" s="6">
        <v>17.649999999999999</v>
      </c>
      <c r="G150" s="10">
        <v>10.589999999999998</v>
      </c>
      <c r="H150" s="10"/>
    </row>
    <row r="151" spans="1:8">
      <c r="A151" s="2" t="s">
        <v>306</v>
      </c>
      <c r="B151" s="2"/>
      <c r="C151" s="2"/>
      <c r="D151" s="2"/>
      <c r="E151" s="4" t="s">
        <v>307</v>
      </c>
      <c r="F151" s="6">
        <v>29.47</v>
      </c>
      <c r="G151" s="10">
        <v>17.681999999999999</v>
      </c>
      <c r="H151" s="10"/>
    </row>
    <row r="152" spans="1:8">
      <c r="A152" s="2" t="s">
        <v>308</v>
      </c>
      <c r="B152" s="2"/>
      <c r="C152" s="2"/>
      <c r="D152" s="2"/>
      <c r="E152" s="4" t="s">
        <v>309</v>
      </c>
      <c r="F152" s="6">
        <v>44.21</v>
      </c>
      <c r="G152" s="10">
        <v>26.52</v>
      </c>
      <c r="H152" s="10"/>
    </row>
    <row r="153" spans="1:8">
      <c r="A153" s="2" t="s">
        <v>310</v>
      </c>
      <c r="B153" s="2"/>
      <c r="C153" s="2"/>
      <c r="D153" s="2"/>
      <c r="E153" s="4" t="s">
        <v>311</v>
      </c>
      <c r="F153" s="6">
        <v>58.79</v>
      </c>
      <c r="G153" s="10">
        <v>35.28</v>
      </c>
      <c r="H153" s="10"/>
    </row>
    <row r="154" spans="1:8">
      <c r="A154" s="2" t="s">
        <v>312</v>
      </c>
      <c r="B154" s="2"/>
      <c r="C154" s="2"/>
      <c r="D154" s="2"/>
      <c r="E154" s="4" t="s">
        <v>313</v>
      </c>
      <c r="F154" s="6">
        <v>19.61</v>
      </c>
      <c r="G154" s="10">
        <v>11.76</v>
      </c>
      <c r="H154" s="10"/>
    </row>
    <row r="155" spans="1:8">
      <c r="A155" s="2" t="s">
        <v>314</v>
      </c>
      <c r="B155" s="2"/>
      <c r="C155" s="2"/>
      <c r="D155" s="2"/>
      <c r="E155" s="4" t="s">
        <v>315</v>
      </c>
      <c r="F155" s="6">
        <v>32.75</v>
      </c>
      <c r="G155" s="10">
        <v>19.649999999999999</v>
      </c>
      <c r="H155" s="10"/>
    </row>
    <row r="156" spans="1:8">
      <c r="A156" s="2" t="s">
        <v>316</v>
      </c>
      <c r="B156" s="2"/>
      <c r="C156" s="2"/>
      <c r="D156" s="2"/>
      <c r="E156" s="4" t="s">
        <v>317</v>
      </c>
      <c r="F156" s="6">
        <v>49.12</v>
      </c>
      <c r="G156" s="10">
        <v>29.47</v>
      </c>
      <c r="H156" s="10"/>
    </row>
    <row r="157" spans="1:8">
      <c r="A157" s="2" t="s">
        <v>318</v>
      </c>
      <c r="B157" s="2"/>
      <c r="C157" s="2"/>
      <c r="D157" s="2"/>
      <c r="E157" s="4" t="s">
        <v>319</v>
      </c>
      <c r="F157" s="6">
        <v>65.33</v>
      </c>
      <c r="G157" s="10">
        <v>39.200000000000003</v>
      </c>
      <c r="H157" s="10"/>
    </row>
    <row r="158" spans="1:8">
      <c r="A158" s="17" t="s">
        <v>320</v>
      </c>
      <c r="B158" s="17">
        <v>900</v>
      </c>
      <c r="C158" s="17">
        <v>900</v>
      </c>
      <c r="D158" s="17">
        <v>0</v>
      </c>
      <c r="E158" s="18" t="s">
        <v>321</v>
      </c>
      <c r="F158" s="19">
        <v>61.76</v>
      </c>
      <c r="G158" s="19">
        <f>F158*0.6</f>
        <v>37.055999999999997</v>
      </c>
      <c r="H158" s="19" t="s">
        <v>322</v>
      </c>
    </row>
    <row r="159" spans="1:8">
      <c r="A159" s="2"/>
      <c r="B159" s="2"/>
      <c r="C159" s="2"/>
      <c r="D159" s="2"/>
      <c r="E159" s="4"/>
      <c r="F159" s="6"/>
      <c r="G159" s="10"/>
      <c r="H159" s="10"/>
    </row>
    <row r="160" spans="1:8">
      <c r="A160" s="2"/>
      <c r="B160" s="2"/>
      <c r="C160" s="2"/>
      <c r="D160" s="2"/>
      <c r="E160" s="4"/>
      <c r="F160" s="6"/>
      <c r="G160" s="10"/>
      <c r="H160" s="10"/>
    </row>
    <row r="162" spans="5:5">
      <c r="E162" s="1"/>
    </row>
  </sheetData>
  <mergeCells count="2">
    <mergeCell ref="A1:G1"/>
    <mergeCell ref="A2:G2"/>
  </mergeCells>
  <phoneticPr fontId="6" type="noConversion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1E63D-822F-4CAA-AFC7-D7A3CD3E41DC}">
  <dimension ref="A1:L10"/>
  <sheetViews>
    <sheetView workbookViewId="0">
      <selection activeCell="B17" sqref="B17"/>
    </sheetView>
  </sheetViews>
  <sheetFormatPr defaultRowHeight="15.75"/>
  <sheetData>
    <row r="1" spans="1:12">
      <c r="A1" t="s">
        <v>323</v>
      </c>
    </row>
    <row r="2" spans="1:12">
      <c r="H2" t="s">
        <v>324</v>
      </c>
    </row>
    <row r="3" spans="1:12">
      <c r="H3" t="s">
        <v>325</v>
      </c>
      <c r="I3" t="s">
        <v>326</v>
      </c>
    </row>
    <row r="4" spans="1:12">
      <c r="H4" t="s">
        <v>327</v>
      </c>
    </row>
    <row r="5" spans="1:12">
      <c r="A5" t="s">
        <v>225</v>
      </c>
      <c r="B5" t="s">
        <v>328</v>
      </c>
      <c r="H5" t="s">
        <v>329</v>
      </c>
    </row>
    <row r="6" spans="1:12">
      <c r="A6" t="s">
        <v>330</v>
      </c>
      <c r="B6" t="s">
        <v>331</v>
      </c>
    </row>
    <row r="7" spans="1:12">
      <c r="A7" t="s">
        <v>17</v>
      </c>
      <c r="B7" t="s">
        <v>332</v>
      </c>
    </row>
    <row r="8" spans="1:12">
      <c r="A8" t="s">
        <v>333</v>
      </c>
      <c r="B8" t="s">
        <v>334</v>
      </c>
      <c r="H8" t="s">
        <v>335</v>
      </c>
    </row>
    <row r="9" spans="1:12">
      <c r="H9" t="s">
        <v>325</v>
      </c>
      <c r="I9" t="s">
        <v>336</v>
      </c>
      <c r="L9" t="s">
        <v>337</v>
      </c>
    </row>
    <row r="10" spans="1:12">
      <c r="H10" t="s">
        <v>327</v>
      </c>
      <c r="I10" t="s">
        <v>336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AC4FE-87F4-49DC-8B78-353E5B82743D}">
  <dimension ref="A1:G157"/>
  <sheetViews>
    <sheetView tabSelected="1" topLeftCell="A52" workbookViewId="0">
      <selection activeCell="E65" sqref="E65"/>
    </sheetView>
  </sheetViews>
  <sheetFormatPr defaultColWidth="11.25" defaultRowHeight="15.75"/>
  <cols>
    <col min="1" max="1" width="57.625" style="1" customWidth="1"/>
    <col min="2" max="2" width="18.625" style="5" bestFit="1" customWidth="1"/>
    <col min="3" max="3" width="8.625" style="1" bestFit="1" customWidth="1"/>
    <col min="4" max="4" width="11.375" style="13" bestFit="1" customWidth="1"/>
    <col min="5" max="5" width="9"/>
    <col min="6" max="6" width="18.25" bestFit="1" customWidth="1"/>
  </cols>
  <sheetData>
    <row r="1" spans="1:5">
      <c r="A1" s="39" t="s">
        <v>0</v>
      </c>
      <c r="B1" s="40"/>
      <c r="C1" s="40"/>
      <c r="D1" s="40"/>
    </row>
    <row r="2" spans="1:5">
      <c r="A2" s="41" t="s">
        <v>1</v>
      </c>
      <c r="B2" s="40"/>
      <c r="C2" s="40"/>
      <c r="D2" s="40"/>
    </row>
    <row r="4" spans="1:5" ht="21.75">
      <c r="A4" s="3" t="s">
        <v>2</v>
      </c>
      <c r="B4" s="3" t="s">
        <v>6</v>
      </c>
      <c r="C4" s="3" t="s">
        <v>7</v>
      </c>
      <c r="D4" s="12" t="s">
        <v>8</v>
      </c>
    </row>
    <row r="5" spans="1:5">
      <c r="A5" s="2" t="s">
        <v>10</v>
      </c>
      <c r="B5" s="4" t="s">
        <v>11</v>
      </c>
      <c r="C5" s="6">
        <v>46.23</v>
      </c>
      <c r="D5" s="10">
        <v>27.74</v>
      </c>
    </row>
    <row r="6" spans="1:5">
      <c r="A6" s="2" t="s">
        <v>12</v>
      </c>
      <c r="B6" s="4" t="s">
        <v>13</v>
      </c>
      <c r="C6" s="6">
        <v>35.520000000000003</v>
      </c>
      <c r="D6" s="10">
        <v>24.15</v>
      </c>
      <c r="E6" t="s">
        <v>14</v>
      </c>
    </row>
    <row r="7" spans="1:5">
      <c r="A7" s="2" t="s">
        <v>15</v>
      </c>
      <c r="B7" s="4" t="s">
        <v>16</v>
      </c>
      <c r="C7" s="6">
        <v>31.09</v>
      </c>
      <c r="D7" s="10">
        <v>21.14</v>
      </c>
      <c r="E7" t="s">
        <v>17</v>
      </c>
    </row>
    <row r="8" spans="1:5" s="11" customFormat="1">
      <c r="A8" s="8" t="s">
        <v>18</v>
      </c>
      <c r="B8" s="9" t="s">
        <v>19</v>
      </c>
      <c r="C8" s="10">
        <v>14.43</v>
      </c>
      <c r="D8" s="10">
        <v>8.66</v>
      </c>
      <c r="E8" s="11" t="s">
        <v>20</v>
      </c>
    </row>
    <row r="9" spans="1:5">
      <c r="A9" s="2" t="s">
        <v>21</v>
      </c>
      <c r="B9" s="4" t="s">
        <v>22</v>
      </c>
      <c r="C9" s="6">
        <v>9.23</v>
      </c>
      <c r="D9" s="10">
        <v>6.28</v>
      </c>
    </row>
    <row r="10" spans="1:5">
      <c r="A10" s="2" t="s">
        <v>23</v>
      </c>
      <c r="B10" s="4" t="s">
        <v>24</v>
      </c>
      <c r="C10" s="6">
        <v>7.42</v>
      </c>
      <c r="D10" s="10">
        <v>5.05</v>
      </c>
    </row>
    <row r="11" spans="1:5" s="11" customFormat="1">
      <c r="A11" s="8" t="s">
        <v>25</v>
      </c>
      <c r="B11" s="9" t="s">
        <v>26</v>
      </c>
      <c r="C11" s="10">
        <v>26.42</v>
      </c>
      <c r="D11" s="10">
        <v>15.85</v>
      </c>
    </row>
    <row r="12" spans="1:5">
      <c r="A12" s="2" t="s">
        <v>27</v>
      </c>
      <c r="B12" s="4" t="s">
        <v>28</v>
      </c>
      <c r="C12" s="6">
        <v>16.86</v>
      </c>
      <c r="D12" s="10">
        <v>11.46</v>
      </c>
    </row>
    <row r="13" spans="1:5">
      <c r="A13" s="2" t="s">
        <v>29</v>
      </c>
      <c r="B13" s="4" t="s">
        <v>30</v>
      </c>
      <c r="C13" s="6">
        <v>13.57</v>
      </c>
      <c r="D13" s="10">
        <v>9.23</v>
      </c>
    </row>
    <row r="14" spans="1:5">
      <c r="A14" s="2" t="s">
        <v>31</v>
      </c>
      <c r="B14" s="4" t="s">
        <v>32</v>
      </c>
      <c r="C14" s="6">
        <v>31.37</v>
      </c>
      <c r="D14" s="10">
        <v>18.82</v>
      </c>
    </row>
    <row r="15" spans="1:5">
      <c r="A15" s="2" t="s">
        <v>33</v>
      </c>
      <c r="B15" s="4" t="s">
        <v>34</v>
      </c>
      <c r="C15" s="6">
        <v>21.22</v>
      </c>
      <c r="D15" s="10">
        <v>14.43</v>
      </c>
    </row>
    <row r="16" spans="1:5">
      <c r="A16" s="2" t="s">
        <v>35</v>
      </c>
      <c r="B16" s="4" t="s">
        <v>36</v>
      </c>
      <c r="C16" s="6">
        <v>17.940000000000001</v>
      </c>
      <c r="D16" s="10">
        <v>12.2</v>
      </c>
    </row>
    <row r="17" spans="1:4">
      <c r="A17" s="2" t="s">
        <v>37</v>
      </c>
      <c r="B17" s="4" t="s">
        <v>38</v>
      </c>
      <c r="C17" s="6">
        <v>36.299999999999997</v>
      </c>
      <c r="D17" s="10">
        <v>21.78</v>
      </c>
    </row>
    <row r="18" spans="1:4">
      <c r="A18" s="2" t="s">
        <v>39</v>
      </c>
      <c r="B18" s="4" t="s">
        <v>40</v>
      </c>
      <c r="C18" s="6">
        <v>25.57</v>
      </c>
      <c r="D18" s="10">
        <v>17.38</v>
      </c>
    </row>
    <row r="19" spans="1:4">
      <c r="A19" s="2" t="s">
        <v>41</v>
      </c>
      <c r="B19" s="4" t="s">
        <v>42</v>
      </c>
      <c r="C19" s="6">
        <v>22.31</v>
      </c>
      <c r="D19" s="10">
        <v>15.17</v>
      </c>
    </row>
    <row r="20" spans="1:4">
      <c r="A20" s="2" t="s">
        <v>43</v>
      </c>
      <c r="B20" s="4" t="s">
        <v>44</v>
      </c>
      <c r="C20" s="6">
        <v>77.209999999999994</v>
      </c>
      <c r="D20" s="10">
        <v>46.33</v>
      </c>
    </row>
    <row r="21" spans="1:4">
      <c r="A21" s="2" t="s">
        <v>45</v>
      </c>
      <c r="B21" s="4" t="s">
        <v>46</v>
      </c>
      <c r="C21" s="6">
        <v>59.32</v>
      </c>
      <c r="D21" s="10">
        <v>40.340000000000003</v>
      </c>
    </row>
    <row r="22" spans="1:4">
      <c r="A22" s="2" t="s">
        <v>47</v>
      </c>
      <c r="B22" s="4" t="s">
        <v>48</v>
      </c>
      <c r="C22" s="6">
        <v>51.91</v>
      </c>
      <c r="D22" s="10">
        <v>35.299999999999997</v>
      </c>
    </row>
    <row r="23" spans="1:4">
      <c r="A23" s="2" t="s">
        <v>49</v>
      </c>
      <c r="B23" s="4" t="s">
        <v>50</v>
      </c>
      <c r="C23" s="6">
        <v>24.1</v>
      </c>
      <c r="D23" s="10">
        <v>14.46</v>
      </c>
    </row>
    <row r="24" spans="1:4">
      <c r="A24" s="2" t="s">
        <v>51</v>
      </c>
      <c r="B24" s="4" t="s">
        <v>52</v>
      </c>
      <c r="C24" s="6">
        <v>15.42</v>
      </c>
      <c r="D24" s="10">
        <v>10.48</v>
      </c>
    </row>
    <row r="25" spans="1:4">
      <c r="A25" s="2" t="s">
        <v>53</v>
      </c>
      <c r="B25" s="4" t="s">
        <v>54</v>
      </c>
      <c r="C25" s="6">
        <v>12.39</v>
      </c>
      <c r="D25" s="10">
        <v>8.43</v>
      </c>
    </row>
    <row r="26" spans="1:4">
      <c r="A26" s="2" t="s">
        <v>55</v>
      </c>
      <c r="B26" s="4" t="s">
        <v>56</v>
      </c>
      <c r="C26" s="6">
        <v>44.12</v>
      </c>
      <c r="D26" s="10">
        <v>26.47</v>
      </c>
    </row>
    <row r="27" spans="1:4">
      <c r="A27" s="2" t="s">
        <v>57</v>
      </c>
      <c r="B27" s="4" t="s">
        <v>58</v>
      </c>
      <c r="C27" s="6">
        <v>28.15</v>
      </c>
      <c r="D27" s="10">
        <v>19.14</v>
      </c>
    </row>
    <row r="28" spans="1:4">
      <c r="A28" s="2" t="s">
        <v>59</v>
      </c>
      <c r="B28" s="4" t="s">
        <v>60</v>
      </c>
      <c r="C28" s="6">
        <v>22.67</v>
      </c>
      <c r="D28" s="10">
        <v>15.42</v>
      </c>
    </row>
    <row r="29" spans="1:4">
      <c r="A29" s="2" t="s">
        <v>61</v>
      </c>
      <c r="B29" s="4" t="s">
        <v>62</v>
      </c>
      <c r="C29" s="6">
        <v>52.38</v>
      </c>
      <c r="D29" s="10">
        <v>31.43</v>
      </c>
    </row>
    <row r="30" spans="1:4">
      <c r="A30" s="2" t="s">
        <v>63</v>
      </c>
      <c r="B30" s="4" t="s">
        <v>52</v>
      </c>
      <c r="C30" s="6">
        <v>35.44</v>
      </c>
      <c r="D30" s="10">
        <v>24.1</v>
      </c>
    </row>
    <row r="31" spans="1:4">
      <c r="A31" s="2" t="s">
        <v>64</v>
      </c>
      <c r="B31" s="4" t="s">
        <v>65</v>
      </c>
      <c r="C31" s="6">
        <v>29.96</v>
      </c>
      <c r="D31" s="10">
        <v>20.37</v>
      </c>
    </row>
    <row r="32" spans="1:4">
      <c r="A32" s="2" t="s">
        <v>66</v>
      </c>
      <c r="B32" s="4" t="s">
        <v>67</v>
      </c>
      <c r="C32" s="6">
        <v>60.62</v>
      </c>
      <c r="D32" s="10">
        <v>36.369999999999997</v>
      </c>
    </row>
    <row r="33" spans="1:7">
      <c r="A33" s="2" t="s">
        <v>68</v>
      </c>
      <c r="B33" s="4" t="s">
        <v>69</v>
      </c>
      <c r="C33" s="6">
        <v>42.69</v>
      </c>
      <c r="D33" s="10">
        <v>29.03</v>
      </c>
    </row>
    <row r="34" spans="1:7">
      <c r="A34" s="2" t="s">
        <v>70</v>
      </c>
      <c r="B34" s="4" t="s">
        <v>71</v>
      </c>
      <c r="C34" s="6">
        <v>37.25</v>
      </c>
      <c r="D34" s="10">
        <v>25.33</v>
      </c>
    </row>
    <row r="35" spans="1:7">
      <c r="A35" s="2" t="s">
        <v>72</v>
      </c>
      <c r="B35" s="4" t="s">
        <v>73</v>
      </c>
      <c r="C35" s="6">
        <v>115.81</v>
      </c>
      <c r="D35" s="10">
        <v>69.489999999999995</v>
      </c>
    </row>
    <row r="36" spans="1:7">
      <c r="A36" s="2" t="s">
        <v>74</v>
      </c>
      <c r="B36" s="4" t="s">
        <v>75</v>
      </c>
      <c r="C36" s="6">
        <v>72.989999999999995</v>
      </c>
      <c r="D36" s="10">
        <v>49.64</v>
      </c>
    </row>
    <row r="37" spans="1:7">
      <c r="A37" s="2" t="s">
        <v>76</v>
      </c>
      <c r="B37" s="4" t="s">
        <v>77</v>
      </c>
      <c r="C37" s="6">
        <v>63.88</v>
      </c>
      <c r="D37" s="10">
        <v>43.44</v>
      </c>
    </row>
    <row r="38" spans="1:7">
      <c r="A38" s="2" t="s">
        <v>78</v>
      </c>
      <c r="B38" s="4" t="s">
        <v>79</v>
      </c>
      <c r="C38" s="6">
        <v>36.159999999999997</v>
      </c>
      <c r="D38" s="10">
        <v>21.69</v>
      </c>
    </row>
    <row r="39" spans="1:7">
      <c r="A39" s="2" t="s">
        <v>80</v>
      </c>
      <c r="B39" s="4" t="s">
        <v>81</v>
      </c>
      <c r="C39" s="6">
        <v>78.569999999999993</v>
      </c>
      <c r="D39" s="10">
        <v>47.14</v>
      </c>
    </row>
    <row r="40" spans="1:7">
      <c r="A40" s="2" t="s">
        <v>82</v>
      </c>
      <c r="B40" s="4" t="s">
        <v>83</v>
      </c>
      <c r="C40" s="6">
        <v>43.61</v>
      </c>
      <c r="D40" s="10">
        <v>29.66</v>
      </c>
    </row>
    <row r="41" spans="1:7">
      <c r="A41" s="2" t="s">
        <v>84</v>
      </c>
      <c r="B41" s="4" t="s">
        <v>85</v>
      </c>
      <c r="C41" s="6">
        <v>36.869999999999997</v>
      </c>
      <c r="D41" s="10">
        <v>25.07</v>
      </c>
    </row>
    <row r="42" spans="1:7">
      <c r="A42" s="2" t="s">
        <v>86</v>
      </c>
      <c r="B42" s="4" t="s">
        <v>87</v>
      </c>
      <c r="C42" s="6">
        <v>90.93</v>
      </c>
      <c r="D42" s="10">
        <v>54.56</v>
      </c>
    </row>
    <row r="43" spans="1:7">
      <c r="A43" s="2" t="s">
        <v>88</v>
      </c>
      <c r="B43" s="4" t="s">
        <v>89</v>
      </c>
      <c r="C43" s="6">
        <v>52.54</v>
      </c>
      <c r="D43" s="10">
        <v>35.729999999999997</v>
      </c>
    </row>
    <row r="44" spans="1:7">
      <c r="A44" s="2" t="s">
        <v>90</v>
      </c>
      <c r="B44" s="4" t="s">
        <v>91</v>
      </c>
      <c r="C44" s="6">
        <v>45.84</v>
      </c>
      <c r="D44" s="10">
        <v>31.17</v>
      </c>
    </row>
    <row r="45" spans="1:7">
      <c r="A45" s="2" t="s">
        <v>92</v>
      </c>
      <c r="B45" s="4" t="s">
        <v>93</v>
      </c>
      <c r="C45" s="6">
        <v>154.03</v>
      </c>
      <c r="D45" s="10">
        <v>92.42</v>
      </c>
    </row>
    <row r="46" spans="1:7">
      <c r="A46" s="2" t="s">
        <v>94</v>
      </c>
      <c r="B46" s="4" t="s">
        <v>95</v>
      </c>
      <c r="C46" s="6">
        <v>86.67</v>
      </c>
      <c r="D46" s="10">
        <v>58.94</v>
      </c>
    </row>
    <row r="47" spans="1:7">
      <c r="A47" s="2" t="s">
        <v>96</v>
      </c>
      <c r="B47" s="4" t="s">
        <v>97</v>
      </c>
      <c r="C47" s="6">
        <v>75.849999999999994</v>
      </c>
      <c r="D47" s="10">
        <v>51.58</v>
      </c>
    </row>
    <row r="48" spans="1:7" s="11" customFormat="1">
      <c r="A48" s="8" t="s">
        <v>98</v>
      </c>
      <c r="B48" s="9" t="s">
        <v>99</v>
      </c>
      <c r="C48" s="10">
        <v>48.09</v>
      </c>
      <c r="D48" s="10">
        <v>28.85</v>
      </c>
      <c r="E48" s="14">
        <f>(D48+E49)/2</f>
        <v>40.83</v>
      </c>
      <c r="F48" s="11">
        <v>350</v>
      </c>
      <c r="G48" s="11" t="s">
        <v>100</v>
      </c>
    </row>
    <row r="49" spans="1:7" s="11" customFormat="1">
      <c r="A49" s="8" t="s">
        <v>101</v>
      </c>
      <c r="B49" s="9" t="s">
        <v>102</v>
      </c>
      <c r="C49" s="10">
        <v>104.5</v>
      </c>
      <c r="D49" s="10">
        <v>62.7</v>
      </c>
      <c r="E49" s="14">
        <v>52.81</v>
      </c>
      <c r="F49" s="11">
        <v>400</v>
      </c>
      <c r="G49" s="11" t="s">
        <v>103</v>
      </c>
    </row>
    <row r="50" spans="1:7">
      <c r="A50" s="2" t="s">
        <v>104</v>
      </c>
      <c r="B50" s="4" t="s">
        <v>105</v>
      </c>
      <c r="C50" s="6">
        <v>51.78</v>
      </c>
      <c r="D50" s="10">
        <v>35.21</v>
      </c>
    </row>
    <row r="51" spans="1:7">
      <c r="A51" s="2" t="s">
        <v>106</v>
      </c>
      <c r="B51" s="4" t="s">
        <v>107</v>
      </c>
      <c r="C51" s="6">
        <v>43.78</v>
      </c>
      <c r="D51" s="10">
        <v>29.77</v>
      </c>
      <c r="F51" t="s">
        <v>108</v>
      </c>
    </row>
    <row r="52" spans="1:7">
      <c r="A52" s="2" t="s">
        <v>109</v>
      </c>
      <c r="B52" s="4" t="s">
        <v>110</v>
      </c>
      <c r="C52" s="6">
        <v>120.94</v>
      </c>
      <c r="D52" s="10">
        <v>72.56</v>
      </c>
    </row>
    <row r="53" spans="1:7">
      <c r="A53" s="2" t="s">
        <v>111</v>
      </c>
      <c r="B53" s="4" t="s">
        <v>112</v>
      </c>
      <c r="C53" s="6">
        <v>62.38</v>
      </c>
      <c r="D53" s="10">
        <v>42.42</v>
      </c>
    </row>
    <row r="54" spans="1:7">
      <c r="A54" s="2" t="s">
        <v>113</v>
      </c>
      <c r="B54" s="4" t="s">
        <v>114</v>
      </c>
      <c r="C54" s="6">
        <v>54.43</v>
      </c>
      <c r="D54" s="10">
        <v>37.01</v>
      </c>
    </row>
    <row r="55" spans="1:7">
      <c r="A55" s="2" t="s">
        <v>115</v>
      </c>
      <c r="B55" s="4" t="s">
        <v>338</v>
      </c>
      <c r="C55" s="6">
        <v>3.92</v>
      </c>
      <c r="D55" s="10">
        <v>2.94</v>
      </c>
    </row>
    <row r="56" spans="1:7">
      <c r="A56" s="2" t="s">
        <v>119</v>
      </c>
      <c r="B56" s="4" t="s">
        <v>339</v>
      </c>
      <c r="C56" s="6">
        <v>5.88</v>
      </c>
      <c r="D56" s="10">
        <v>4.41</v>
      </c>
    </row>
    <row r="57" spans="1:7">
      <c r="A57" s="2" t="s">
        <v>121</v>
      </c>
      <c r="B57" s="4" t="s">
        <v>340</v>
      </c>
      <c r="C57" s="6">
        <v>7.82</v>
      </c>
      <c r="D57" s="10">
        <v>5.87</v>
      </c>
    </row>
    <row r="58" spans="1:7">
      <c r="A58" s="2" t="s">
        <v>123</v>
      </c>
      <c r="B58" s="4" t="s">
        <v>341</v>
      </c>
      <c r="C58" s="6">
        <v>9.7799999999999994</v>
      </c>
      <c r="D58" s="10">
        <v>7.33</v>
      </c>
    </row>
    <row r="59" spans="1:7" ht="20.25">
      <c r="A59" s="2" t="s">
        <v>125</v>
      </c>
      <c r="B59" s="4" t="s">
        <v>342</v>
      </c>
      <c r="C59" s="6">
        <v>4.24</v>
      </c>
      <c r="D59" s="10">
        <v>3.18</v>
      </c>
    </row>
    <row r="60" spans="1:7" ht="20.25">
      <c r="A60" s="2" t="s">
        <v>127</v>
      </c>
      <c r="B60" s="4" t="s">
        <v>343</v>
      </c>
      <c r="C60" s="6">
        <v>6.35</v>
      </c>
      <c r="D60" s="10">
        <v>4.76</v>
      </c>
    </row>
    <row r="61" spans="1:7" ht="20.25">
      <c r="A61" s="2" t="s">
        <v>129</v>
      </c>
      <c r="B61" s="4" t="s">
        <v>344</v>
      </c>
      <c r="C61" s="6">
        <v>8.4499999999999993</v>
      </c>
      <c r="D61" s="10">
        <v>6.34</v>
      </c>
    </row>
    <row r="62" spans="1:7" ht="20.25">
      <c r="A62" s="2" t="s">
        <v>131</v>
      </c>
      <c r="B62" s="4" t="s">
        <v>345</v>
      </c>
      <c r="C62" s="6">
        <v>10.56</v>
      </c>
      <c r="D62" s="10">
        <v>7.92</v>
      </c>
    </row>
    <row r="63" spans="1:7">
      <c r="A63" s="2" t="s">
        <v>133</v>
      </c>
      <c r="B63" s="4" t="s">
        <v>346</v>
      </c>
      <c r="C63" s="6">
        <v>5.65</v>
      </c>
      <c r="D63" s="10">
        <v>4.24</v>
      </c>
    </row>
    <row r="64" spans="1:7">
      <c r="A64" s="2" t="s">
        <v>135</v>
      </c>
      <c r="B64" s="4" t="s">
        <v>347</v>
      </c>
      <c r="C64" s="6">
        <v>8.4700000000000006</v>
      </c>
      <c r="D64" s="10">
        <v>6.35</v>
      </c>
    </row>
    <row r="65" spans="1:6">
      <c r="A65" s="2" t="s">
        <v>137</v>
      </c>
      <c r="B65" s="4" t="s">
        <v>348</v>
      </c>
      <c r="C65" s="6">
        <v>11.27</v>
      </c>
      <c r="D65" s="10">
        <v>8.4499999999999993</v>
      </c>
    </row>
    <row r="66" spans="1:6">
      <c r="A66" s="2" t="s">
        <v>139</v>
      </c>
      <c r="B66" s="4" t="s">
        <v>349</v>
      </c>
      <c r="C66" s="6">
        <v>14.08</v>
      </c>
      <c r="D66" s="10">
        <v>10.56</v>
      </c>
    </row>
    <row r="67" spans="1:6">
      <c r="A67" s="2" t="s">
        <v>141</v>
      </c>
      <c r="B67" s="4" t="s">
        <v>350</v>
      </c>
      <c r="C67" s="6">
        <v>9.3800000000000008</v>
      </c>
      <c r="D67" s="10">
        <v>7.04</v>
      </c>
    </row>
    <row r="68" spans="1:6">
      <c r="A68" s="2" t="s">
        <v>143</v>
      </c>
      <c r="B68" s="4" t="s">
        <v>351</v>
      </c>
      <c r="C68" s="6">
        <v>14.07</v>
      </c>
      <c r="D68" s="10">
        <v>10.55</v>
      </c>
    </row>
    <row r="69" spans="1:6">
      <c r="A69" s="2" t="s">
        <v>145</v>
      </c>
      <c r="B69" s="4" t="s">
        <v>352</v>
      </c>
      <c r="C69" s="6">
        <v>18.71</v>
      </c>
      <c r="D69" s="10">
        <v>14.04</v>
      </c>
    </row>
    <row r="70" spans="1:6">
      <c r="A70" s="2" t="s">
        <v>147</v>
      </c>
      <c r="B70" s="4" t="s">
        <v>353</v>
      </c>
      <c r="C70" s="6">
        <v>23.39</v>
      </c>
      <c r="D70" s="10">
        <v>17.54</v>
      </c>
    </row>
    <row r="71" spans="1:6">
      <c r="A71" s="2" t="s">
        <v>149</v>
      </c>
      <c r="B71" s="4" t="s">
        <v>150</v>
      </c>
      <c r="C71" s="6">
        <v>39.22</v>
      </c>
      <c r="D71" s="10">
        <v>23.53</v>
      </c>
    </row>
    <row r="72" spans="1:6">
      <c r="A72" s="2" t="s">
        <v>151</v>
      </c>
      <c r="B72" s="4" t="s">
        <v>152</v>
      </c>
      <c r="C72" s="6">
        <v>7.84</v>
      </c>
      <c r="D72" s="10">
        <v>4.71</v>
      </c>
    </row>
    <row r="73" spans="1:6">
      <c r="A73" s="2" t="s">
        <v>153</v>
      </c>
      <c r="B73" s="4" t="s">
        <v>154</v>
      </c>
      <c r="C73" s="6">
        <v>9.8000000000000007</v>
      </c>
      <c r="D73" s="10">
        <v>5.88</v>
      </c>
    </row>
    <row r="74" spans="1:6">
      <c r="A74" s="2" t="s">
        <v>155</v>
      </c>
      <c r="B74" s="4" t="s">
        <v>156</v>
      </c>
      <c r="C74" s="6">
        <v>11.76</v>
      </c>
      <c r="D74" s="10">
        <v>7.06</v>
      </c>
    </row>
    <row r="75" spans="1:6">
      <c r="A75" s="2" t="s">
        <v>157</v>
      </c>
      <c r="B75" s="4" t="s">
        <v>158</v>
      </c>
      <c r="C75" s="6">
        <v>13.73</v>
      </c>
      <c r="D75" s="10">
        <v>8.24</v>
      </c>
    </row>
    <row r="76" spans="1:6">
      <c r="A76" s="2" t="s">
        <v>159</v>
      </c>
      <c r="B76" s="4" t="s">
        <v>160</v>
      </c>
      <c r="C76" s="6">
        <v>15.69</v>
      </c>
      <c r="D76" s="10">
        <v>9.41</v>
      </c>
    </row>
    <row r="77" spans="1:6">
      <c r="A77" s="2" t="s">
        <v>161</v>
      </c>
      <c r="B77" s="4" t="s">
        <v>162</v>
      </c>
      <c r="C77" s="6">
        <v>23.53</v>
      </c>
      <c r="D77" s="10">
        <v>14.12</v>
      </c>
    </row>
    <row r="78" spans="1:6">
      <c r="A78" s="2" t="s">
        <v>163</v>
      </c>
      <c r="B78" s="4" t="s">
        <v>164</v>
      </c>
      <c r="C78" s="6">
        <v>31.37</v>
      </c>
      <c r="D78" s="10">
        <v>18.82</v>
      </c>
      <c r="F78" s="4" t="s">
        <v>354</v>
      </c>
    </row>
    <row r="79" spans="1:6">
      <c r="A79" s="2" t="s">
        <v>165</v>
      </c>
      <c r="B79" s="4" t="s">
        <v>166</v>
      </c>
      <c r="C79" s="6">
        <v>65.489999999999995</v>
      </c>
      <c r="D79" s="10">
        <v>39.29</v>
      </c>
      <c r="F79" s="4" t="s">
        <v>355</v>
      </c>
    </row>
    <row r="80" spans="1:6">
      <c r="A80" s="2" t="s">
        <v>167</v>
      </c>
      <c r="B80" s="4" t="s">
        <v>168</v>
      </c>
      <c r="C80" s="6">
        <v>13.1</v>
      </c>
      <c r="D80" s="10">
        <v>7.86</v>
      </c>
    </row>
    <row r="81" spans="1:6">
      <c r="A81" s="2" t="s">
        <v>169</v>
      </c>
      <c r="B81" s="4" t="s">
        <v>170</v>
      </c>
      <c r="C81" s="6">
        <v>16.37</v>
      </c>
      <c r="D81" s="10">
        <v>9.82</v>
      </c>
      <c r="F81" s="4" t="s">
        <v>356</v>
      </c>
    </row>
    <row r="82" spans="1:6">
      <c r="A82" s="2" t="s">
        <v>171</v>
      </c>
      <c r="B82" s="4" t="s">
        <v>172</v>
      </c>
      <c r="C82" s="6">
        <v>19.649999999999999</v>
      </c>
      <c r="D82" s="10">
        <v>11.79</v>
      </c>
    </row>
    <row r="83" spans="1:6">
      <c r="A83" s="2" t="s">
        <v>173</v>
      </c>
      <c r="B83" s="4" t="s">
        <v>174</v>
      </c>
      <c r="C83" s="6">
        <v>22.92</v>
      </c>
      <c r="D83" s="10">
        <v>13.75</v>
      </c>
    </row>
    <row r="84" spans="1:6">
      <c r="A84" s="2" t="s">
        <v>175</v>
      </c>
      <c r="B84" s="4" t="s">
        <v>176</v>
      </c>
      <c r="C84" s="6">
        <v>26.2</v>
      </c>
      <c r="D84" s="10">
        <v>15.72</v>
      </c>
    </row>
    <row r="85" spans="1:6">
      <c r="A85" s="2" t="s">
        <v>177</v>
      </c>
      <c r="B85" s="4" t="s">
        <v>178</v>
      </c>
      <c r="C85" s="6">
        <v>39.29</v>
      </c>
      <c r="D85" s="10">
        <v>23.58</v>
      </c>
    </row>
    <row r="86" spans="1:6">
      <c r="A86" s="2" t="s">
        <v>179</v>
      </c>
      <c r="B86" s="4" t="s">
        <v>180</v>
      </c>
      <c r="C86" s="6">
        <v>52.39</v>
      </c>
      <c r="D86" s="10">
        <v>31.44</v>
      </c>
    </row>
    <row r="87" spans="1:6">
      <c r="A87" s="2" t="s">
        <v>181</v>
      </c>
      <c r="B87" s="4" t="s">
        <v>182</v>
      </c>
      <c r="C87" s="6">
        <v>61.76</v>
      </c>
      <c r="D87" s="10">
        <f>C87*0.6</f>
        <v>37.055999999999997</v>
      </c>
    </row>
    <row r="88" spans="1:6">
      <c r="A88" s="2" t="s">
        <v>183</v>
      </c>
      <c r="B88" s="4" t="s">
        <v>184</v>
      </c>
      <c r="C88" s="6">
        <v>98.24</v>
      </c>
      <c r="D88" s="10">
        <v>58.94</v>
      </c>
    </row>
    <row r="89" spans="1:6">
      <c r="A89" s="2" t="s">
        <v>185</v>
      </c>
      <c r="B89" s="4" t="s">
        <v>186</v>
      </c>
      <c r="C89" s="6">
        <v>19.649999999999999</v>
      </c>
      <c r="D89" s="10">
        <v>11.79</v>
      </c>
    </row>
    <row r="90" spans="1:6">
      <c r="A90" s="2" t="s">
        <v>187</v>
      </c>
      <c r="B90" s="4" t="s">
        <v>188</v>
      </c>
      <c r="C90" s="6">
        <v>24.56</v>
      </c>
      <c r="D90" s="10">
        <v>14.74</v>
      </c>
    </row>
    <row r="91" spans="1:6">
      <c r="A91" s="2" t="s">
        <v>189</v>
      </c>
      <c r="B91" s="4" t="s">
        <v>190</v>
      </c>
      <c r="C91" s="6">
        <v>29.47</v>
      </c>
      <c r="D91" s="10">
        <v>17.68</v>
      </c>
    </row>
    <row r="92" spans="1:6">
      <c r="A92" s="2" t="s">
        <v>191</v>
      </c>
      <c r="B92" s="4" t="s">
        <v>192</v>
      </c>
      <c r="C92" s="6">
        <v>34.380000000000003</v>
      </c>
      <c r="D92" s="10">
        <v>20.63</v>
      </c>
    </row>
    <row r="93" spans="1:6">
      <c r="A93" s="2" t="s">
        <v>193</v>
      </c>
      <c r="B93" s="4" t="s">
        <v>194</v>
      </c>
      <c r="C93" s="6">
        <v>39.29</v>
      </c>
      <c r="D93" s="10">
        <v>23.58</v>
      </c>
    </row>
    <row r="94" spans="1:6">
      <c r="A94" s="2" t="s">
        <v>195</v>
      </c>
      <c r="B94" s="4" t="s">
        <v>196</v>
      </c>
      <c r="C94" s="6">
        <v>58.94</v>
      </c>
      <c r="D94" s="10">
        <v>35.36</v>
      </c>
    </row>
    <row r="95" spans="1:6">
      <c r="A95" s="2" t="s">
        <v>197</v>
      </c>
      <c r="B95" s="4" t="s">
        <v>198</v>
      </c>
      <c r="C95" s="6">
        <v>78.59</v>
      </c>
      <c r="D95" s="10">
        <v>47.15</v>
      </c>
    </row>
    <row r="96" spans="1:6">
      <c r="A96" s="2" t="s">
        <v>199</v>
      </c>
      <c r="B96" s="4" t="s">
        <v>200</v>
      </c>
      <c r="C96" s="6">
        <v>130.65</v>
      </c>
      <c r="D96" s="10">
        <v>78.39</v>
      </c>
    </row>
    <row r="97" spans="1:6">
      <c r="A97" s="2" t="s">
        <v>201</v>
      </c>
      <c r="B97" s="4" t="s">
        <v>202</v>
      </c>
      <c r="C97" s="6">
        <v>26.13</v>
      </c>
      <c r="D97" s="10">
        <v>15.68</v>
      </c>
    </row>
    <row r="98" spans="1:6">
      <c r="A98" s="2" t="s">
        <v>203</v>
      </c>
      <c r="B98" s="4" t="s">
        <v>204</v>
      </c>
      <c r="C98" s="6">
        <v>32.659999999999997</v>
      </c>
      <c r="D98" s="10">
        <v>19.600000000000001</v>
      </c>
    </row>
    <row r="99" spans="1:6">
      <c r="A99" s="2" t="s">
        <v>205</v>
      </c>
      <c r="B99" s="4" t="s">
        <v>206</v>
      </c>
      <c r="C99" s="6">
        <v>39.200000000000003</v>
      </c>
      <c r="D99" s="10">
        <v>23.52</v>
      </c>
    </row>
    <row r="100" spans="1:6">
      <c r="A100" s="2" t="s">
        <v>207</v>
      </c>
      <c r="B100" s="4" t="s">
        <v>208</v>
      </c>
      <c r="C100" s="6">
        <v>45.73</v>
      </c>
      <c r="D100" s="10">
        <v>27.44</v>
      </c>
    </row>
    <row r="101" spans="1:6">
      <c r="A101" s="2" t="s">
        <v>209</v>
      </c>
      <c r="B101" s="4" t="s">
        <v>210</v>
      </c>
      <c r="C101" s="6">
        <v>52.26</v>
      </c>
      <c r="D101" s="10">
        <v>31.36</v>
      </c>
    </row>
    <row r="102" spans="1:6">
      <c r="A102" s="2" t="s">
        <v>211</v>
      </c>
      <c r="B102" s="4" t="s">
        <v>212</v>
      </c>
      <c r="C102" s="6">
        <v>78.39</v>
      </c>
      <c r="D102" s="10">
        <v>47.04</v>
      </c>
    </row>
    <row r="103" spans="1:6">
      <c r="A103" s="2" t="s">
        <v>213</v>
      </c>
      <c r="B103" s="4" t="s">
        <v>214</v>
      </c>
      <c r="C103" s="6">
        <v>104.52</v>
      </c>
      <c r="D103" s="10">
        <v>62.71</v>
      </c>
    </row>
    <row r="104" spans="1:6">
      <c r="A104" s="2" t="s">
        <v>215</v>
      </c>
      <c r="B104" s="4" t="s">
        <v>216</v>
      </c>
      <c r="C104" s="6">
        <v>22.92</v>
      </c>
      <c r="D104" s="10">
        <v>13.75</v>
      </c>
    </row>
    <row r="105" spans="1:6">
      <c r="A105" s="2" t="s">
        <v>217</v>
      </c>
      <c r="B105" s="4" t="s">
        <v>218</v>
      </c>
      <c r="C105" s="6">
        <v>7</v>
      </c>
      <c r="D105" s="10">
        <v>3.76</v>
      </c>
    </row>
    <row r="106" spans="1:6">
      <c r="A106" s="2" t="s">
        <v>219</v>
      </c>
      <c r="B106" s="4" t="s">
        <v>220</v>
      </c>
      <c r="C106" s="6">
        <v>12</v>
      </c>
      <c r="D106" s="10">
        <v>6.59</v>
      </c>
    </row>
    <row r="107" spans="1:6">
      <c r="A107" s="2" t="s">
        <v>221</v>
      </c>
      <c r="B107" s="4" t="s">
        <v>222</v>
      </c>
      <c r="C107" s="6">
        <v>17</v>
      </c>
      <c r="D107" s="10">
        <v>9.8800000000000008</v>
      </c>
    </row>
    <row r="108" spans="1:6">
      <c r="A108" s="2" t="s">
        <v>223</v>
      </c>
      <c r="B108" s="4" t="s">
        <v>224</v>
      </c>
      <c r="C108" s="6">
        <v>5</v>
      </c>
      <c r="D108" s="10">
        <v>2.64</v>
      </c>
      <c r="E108" t="s">
        <v>225</v>
      </c>
    </row>
    <row r="109" spans="1:6">
      <c r="A109" s="2" t="s">
        <v>226</v>
      </c>
      <c r="B109" s="4" t="s">
        <v>227</v>
      </c>
      <c r="C109" s="6">
        <v>9</v>
      </c>
      <c r="D109" s="10">
        <v>4.6100000000000003</v>
      </c>
    </row>
    <row r="110" spans="1:6">
      <c r="A110" s="2" t="s">
        <v>228</v>
      </c>
      <c r="B110" s="4" t="s">
        <v>229</v>
      </c>
      <c r="C110" s="6">
        <v>13</v>
      </c>
      <c r="D110" s="10">
        <v>6.92</v>
      </c>
    </row>
    <row r="111" spans="1:6">
      <c r="A111" s="2" t="s">
        <v>230</v>
      </c>
      <c r="B111" s="4" t="s">
        <v>231</v>
      </c>
      <c r="C111" s="6">
        <v>3.92</v>
      </c>
      <c r="D111" s="10">
        <v>2.35</v>
      </c>
      <c r="E111" t="s">
        <v>232</v>
      </c>
      <c r="F111" s="7" t="s">
        <v>233</v>
      </c>
    </row>
    <row r="112" spans="1:6">
      <c r="A112" s="2" t="s">
        <v>234</v>
      </c>
      <c r="B112" s="4" t="s">
        <v>235</v>
      </c>
      <c r="C112" s="6">
        <v>6.55</v>
      </c>
      <c r="D112" s="10">
        <v>3.93</v>
      </c>
    </row>
    <row r="113" spans="1:4">
      <c r="A113" s="2" t="s">
        <v>236</v>
      </c>
      <c r="B113" s="4" t="s">
        <v>237</v>
      </c>
      <c r="C113" s="6">
        <v>9.82</v>
      </c>
      <c r="D113" s="10">
        <v>5.89</v>
      </c>
    </row>
    <row r="114" spans="1:4">
      <c r="A114" s="2" t="s">
        <v>238</v>
      </c>
      <c r="B114" s="4" t="s">
        <v>239</v>
      </c>
      <c r="C114" s="6">
        <v>13.07</v>
      </c>
      <c r="D114" s="10">
        <v>7.84</v>
      </c>
    </row>
    <row r="115" spans="1:4">
      <c r="A115" s="2" t="s">
        <v>240</v>
      </c>
      <c r="B115" s="4" t="s">
        <v>241</v>
      </c>
      <c r="C115" s="6">
        <v>4.9000000000000004</v>
      </c>
      <c r="D115" s="10">
        <v>2.94</v>
      </c>
    </row>
    <row r="116" spans="1:4">
      <c r="A116" s="2" t="s">
        <v>242</v>
      </c>
      <c r="B116" s="4" t="s">
        <v>243</v>
      </c>
      <c r="C116" s="6">
        <v>8.19</v>
      </c>
      <c r="D116" s="10">
        <v>4.91</v>
      </c>
    </row>
    <row r="117" spans="1:4">
      <c r="A117" s="2" t="s">
        <v>244</v>
      </c>
      <c r="B117" s="4" t="s">
        <v>245</v>
      </c>
      <c r="C117" s="6">
        <v>12.28</v>
      </c>
      <c r="D117" s="10">
        <v>7.37</v>
      </c>
    </row>
    <row r="118" spans="1:4">
      <c r="A118" s="2" t="s">
        <v>246</v>
      </c>
      <c r="B118" s="4" t="s">
        <v>247</v>
      </c>
      <c r="C118" s="6">
        <v>16.329999999999998</v>
      </c>
      <c r="D118" s="10">
        <v>9.8000000000000007</v>
      </c>
    </row>
    <row r="119" spans="1:4">
      <c r="A119" s="2" t="s">
        <v>248</v>
      </c>
      <c r="B119" s="4" t="s">
        <v>249</v>
      </c>
      <c r="C119" s="6">
        <v>5.88</v>
      </c>
      <c r="D119" s="10">
        <v>3.53</v>
      </c>
    </row>
    <row r="120" spans="1:4">
      <c r="A120" s="2" t="s">
        <v>250</v>
      </c>
      <c r="B120" s="4" t="s">
        <v>251</v>
      </c>
      <c r="C120" s="6">
        <v>9.82</v>
      </c>
      <c r="D120" s="10">
        <v>5.89</v>
      </c>
    </row>
    <row r="121" spans="1:4">
      <c r="A121" s="2" t="s">
        <v>252</v>
      </c>
      <c r="B121" s="4" t="s">
        <v>253</v>
      </c>
      <c r="C121" s="6">
        <v>14.74</v>
      </c>
      <c r="D121" s="10">
        <v>8.84</v>
      </c>
    </row>
    <row r="122" spans="1:4">
      <c r="A122" s="2" t="s">
        <v>254</v>
      </c>
      <c r="B122" s="4" t="s">
        <v>255</v>
      </c>
      <c r="C122" s="6">
        <v>19.600000000000001</v>
      </c>
      <c r="D122" s="10">
        <v>11.76</v>
      </c>
    </row>
    <row r="123" spans="1:4">
      <c r="A123" s="2" t="s">
        <v>256</v>
      </c>
      <c r="B123" s="4" t="s">
        <v>257</v>
      </c>
      <c r="C123" s="6">
        <v>6.86</v>
      </c>
      <c r="D123" s="10">
        <v>4.12</v>
      </c>
    </row>
    <row r="124" spans="1:4">
      <c r="A124" s="2" t="s">
        <v>258</v>
      </c>
      <c r="B124" s="4" t="s">
        <v>259</v>
      </c>
      <c r="C124" s="6">
        <v>11.46</v>
      </c>
      <c r="D124" s="10">
        <v>6.88</v>
      </c>
    </row>
    <row r="125" spans="1:4">
      <c r="A125" s="2" t="s">
        <v>260</v>
      </c>
      <c r="B125" s="4" t="s">
        <v>261</v>
      </c>
      <c r="C125" s="6">
        <v>17.190000000000001</v>
      </c>
      <c r="D125" s="10">
        <v>10.31</v>
      </c>
    </row>
    <row r="126" spans="1:4">
      <c r="A126" s="2" t="s">
        <v>262</v>
      </c>
      <c r="B126" s="4" t="s">
        <v>263</v>
      </c>
      <c r="C126" s="6">
        <v>22.86</v>
      </c>
      <c r="D126" s="10">
        <v>13.72</v>
      </c>
    </row>
    <row r="127" spans="1:4">
      <c r="A127" s="2" t="s">
        <v>264</v>
      </c>
      <c r="B127" s="4" t="s">
        <v>265</v>
      </c>
      <c r="C127" s="6">
        <v>7.84</v>
      </c>
      <c r="D127" s="10">
        <v>4.71</v>
      </c>
    </row>
    <row r="128" spans="1:4">
      <c r="A128" s="2" t="s">
        <v>266</v>
      </c>
      <c r="B128" s="4" t="s">
        <v>267</v>
      </c>
      <c r="C128" s="6">
        <v>13.1</v>
      </c>
      <c r="D128" s="10">
        <v>7.86</v>
      </c>
    </row>
    <row r="129" spans="1:4">
      <c r="A129" s="2" t="s">
        <v>268</v>
      </c>
      <c r="B129" s="4" t="s">
        <v>269</v>
      </c>
      <c r="C129" s="6">
        <v>19.649999999999999</v>
      </c>
      <c r="D129" s="10">
        <v>11.79</v>
      </c>
    </row>
    <row r="130" spans="1:4">
      <c r="A130" s="2" t="s">
        <v>270</v>
      </c>
      <c r="B130" s="4" t="s">
        <v>271</v>
      </c>
      <c r="C130" s="6">
        <v>26.13</v>
      </c>
      <c r="D130" s="10">
        <v>15.68</v>
      </c>
    </row>
    <row r="131" spans="1:4">
      <c r="A131" s="2" t="s">
        <v>272</v>
      </c>
      <c r="B131" s="4" t="s">
        <v>273</v>
      </c>
      <c r="C131" s="6">
        <v>9.8000000000000007</v>
      </c>
      <c r="D131" s="10">
        <v>5.88</v>
      </c>
    </row>
    <row r="132" spans="1:4">
      <c r="A132" s="2" t="s">
        <v>274</v>
      </c>
      <c r="B132" s="4" t="s">
        <v>275</v>
      </c>
      <c r="C132" s="6">
        <v>16.37</v>
      </c>
      <c r="D132" s="10">
        <v>9.82</v>
      </c>
    </row>
    <row r="133" spans="1:4">
      <c r="A133" s="2" t="s">
        <v>276</v>
      </c>
      <c r="B133" s="4" t="s">
        <v>277</v>
      </c>
      <c r="C133" s="6">
        <v>24.56</v>
      </c>
      <c r="D133" s="10">
        <v>14.74</v>
      </c>
    </row>
    <row r="134" spans="1:4">
      <c r="A134" s="2" t="s">
        <v>278</v>
      </c>
      <c r="B134" s="4" t="s">
        <v>279</v>
      </c>
      <c r="C134" s="6">
        <v>32.659999999999997</v>
      </c>
      <c r="D134" s="10">
        <v>19.600000000000001</v>
      </c>
    </row>
    <row r="135" spans="1:4">
      <c r="A135" s="2" t="s">
        <v>280</v>
      </c>
      <c r="B135" s="4" t="s">
        <v>281</v>
      </c>
      <c r="C135" s="6">
        <v>11.76</v>
      </c>
      <c r="D135" s="10">
        <v>7.06</v>
      </c>
    </row>
    <row r="136" spans="1:4">
      <c r="A136" s="2" t="s">
        <v>282</v>
      </c>
      <c r="B136" s="4" t="s">
        <v>283</v>
      </c>
      <c r="C136" s="6">
        <v>19.649999999999999</v>
      </c>
      <c r="D136" s="10">
        <v>11.79</v>
      </c>
    </row>
    <row r="137" spans="1:4">
      <c r="A137" s="2" t="s">
        <v>284</v>
      </c>
      <c r="B137" s="4" t="s">
        <v>285</v>
      </c>
      <c r="C137" s="6">
        <v>29.47</v>
      </c>
      <c r="D137" s="10">
        <v>17.68</v>
      </c>
    </row>
    <row r="138" spans="1:4">
      <c r="A138" s="2" t="s">
        <v>286</v>
      </c>
      <c r="B138" s="4" t="s">
        <v>287</v>
      </c>
      <c r="C138" s="6">
        <v>39.200000000000003</v>
      </c>
      <c r="D138" s="10">
        <v>23.52</v>
      </c>
    </row>
    <row r="139" spans="1:4">
      <c r="A139" s="2" t="s">
        <v>288</v>
      </c>
      <c r="B139" s="4" t="s">
        <v>289</v>
      </c>
      <c r="C139" s="6">
        <v>13.73</v>
      </c>
      <c r="D139" s="10">
        <v>8.24</v>
      </c>
    </row>
    <row r="140" spans="1:4">
      <c r="A140" s="2" t="s">
        <v>290</v>
      </c>
      <c r="B140" s="4" t="s">
        <v>291</v>
      </c>
      <c r="C140" s="6">
        <v>22.92</v>
      </c>
      <c r="D140" s="10">
        <v>13.75</v>
      </c>
    </row>
    <row r="141" spans="1:4">
      <c r="A141" s="2" t="s">
        <v>292</v>
      </c>
      <c r="B141" s="4" t="s">
        <v>293</v>
      </c>
      <c r="C141" s="6">
        <v>34.380000000000003</v>
      </c>
      <c r="D141" s="10">
        <v>20.63</v>
      </c>
    </row>
    <row r="142" spans="1:4">
      <c r="A142" s="2" t="s">
        <v>294</v>
      </c>
      <c r="B142" s="4" t="s">
        <v>295</v>
      </c>
      <c r="C142" s="6">
        <v>45.73</v>
      </c>
      <c r="D142" s="10">
        <v>27.44</v>
      </c>
    </row>
    <row r="143" spans="1:4">
      <c r="A143" s="2" t="s">
        <v>296</v>
      </c>
      <c r="B143" s="4" t="s">
        <v>297</v>
      </c>
      <c r="C143" s="6">
        <v>15.69</v>
      </c>
      <c r="D143" s="10">
        <v>9.41</v>
      </c>
    </row>
    <row r="144" spans="1:4">
      <c r="A144" s="2" t="s">
        <v>298</v>
      </c>
      <c r="B144" s="4" t="s">
        <v>299</v>
      </c>
      <c r="C144" s="6">
        <v>26.2</v>
      </c>
      <c r="D144" s="10">
        <v>15.72</v>
      </c>
    </row>
    <row r="145" spans="1:4">
      <c r="A145" s="2" t="s">
        <v>300</v>
      </c>
      <c r="B145" s="4" t="s">
        <v>301</v>
      </c>
      <c r="C145" s="6">
        <v>39.29</v>
      </c>
      <c r="D145" s="10">
        <v>23.58</v>
      </c>
    </row>
    <row r="146" spans="1:4">
      <c r="A146" s="2" t="s">
        <v>302</v>
      </c>
      <c r="B146" s="4" t="s">
        <v>303</v>
      </c>
      <c r="C146" s="6">
        <v>52.26</v>
      </c>
      <c r="D146" s="10">
        <v>31.36</v>
      </c>
    </row>
    <row r="147" spans="1:4">
      <c r="A147" s="2" t="s">
        <v>304</v>
      </c>
      <c r="B147" s="4" t="s">
        <v>305</v>
      </c>
      <c r="C147" s="6">
        <v>17.649999999999999</v>
      </c>
      <c r="D147" s="10">
        <v>10.589999999999998</v>
      </c>
    </row>
    <row r="148" spans="1:4">
      <c r="A148" s="2" t="s">
        <v>306</v>
      </c>
      <c r="B148" s="4" t="s">
        <v>307</v>
      </c>
      <c r="C148" s="6">
        <v>29.47</v>
      </c>
      <c r="D148" s="10">
        <v>17.681999999999999</v>
      </c>
    </row>
    <row r="149" spans="1:4">
      <c r="A149" s="2" t="s">
        <v>308</v>
      </c>
      <c r="B149" s="4" t="s">
        <v>309</v>
      </c>
      <c r="C149" s="6">
        <v>44.21</v>
      </c>
      <c r="D149" s="10">
        <v>26.52</v>
      </c>
    </row>
    <row r="150" spans="1:4">
      <c r="A150" s="2" t="s">
        <v>310</v>
      </c>
      <c r="B150" s="4" t="s">
        <v>311</v>
      </c>
      <c r="C150" s="6">
        <v>58.79</v>
      </c>
      <c r="D150" s="10">
        <v>35.28</v>
      </c>
    </row>
    <row r="151" spans="1:4">
      <c r="A151" s="2" t="s">
        <v>312</v>
      </c>
      <c r="B151" s="4" t="s">
        <v>313</v>
      </c>
      <c r="C151" s="6">
        <v>19.61</v>
      </c>
      <c r="D151" s="10">
        <v>11.76</v>
      </c>
    </row>
    <row r="152" spans="1:4">
      <c r="A152" s="2" t="s">
        <v>314</v>
      </c>
      <c r="B152" s="4" t="s">
        <v>315</v>
      </c>
      <c r="C152" s="6">
        <v>32.75</v>
      </c>
      <c r="D152" s="10">
        <v>19.649999999999999</v>
      </c>
    </row>
    <row r="153" spans="1:4">
      <c r="A153" s="2" t="s">
        <v>316</v>
      </c>
      <c r="B153" s="4" t="s">
        <v>317</v>
      </c>
      <c r="C153" s="6">
        <v>49.12</v>
      </c>
      <c r="D153" s="10">
        <v>29.47</v>
      </c>
    </row>
    <row r="154" spans="1:4">
      <c r="A154" s="2" t="s">
        <v>318</v>
      </c>
      <c r="B154" s="4" t="s">
        <v>319</v>
      </c>
      <c r="C154" s="6">
        <v>65.33</v>
      </c>
      <c r="D154" s="10">
        <v>39.200000000000003</v>
      </c>
    </row>
    <row r="155" spans="1:4">
      <c r="A155" s="2"/>
      <c r="B155" s="4"/>
      <c r="C155" s="6"/>
      <c r="D155" s="10"/>
    </row>
    <row r="156" spans="1:4">
      <c r="A156" s="2"/>
      <c r="B156" s="4"/>
      <c r="C156" s="6"/>
      <c r="D156" s="10"/>
    </row>
    <row r="157" spans="1:4">
      <c r="A157" s="2"/>
      <c r="B157" s="4"/>
      <c r="C157" s="6"/>
      <c r="D157" s="10"/>
    </row>
  </sheetData>
  <autoFilter ref="D1:D157" xr:uid="{215AC4FE-87F4-49DC-8B78-353E5B82743D}"/>
  <mergeCells count="2">
    <mergeCell ref="A1:D1"/>
    <mergeCell ref="A2:D2"/>
  </mergeCells>
  <phoneticPr fontId="6" type="noConversion"/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DC59C-763F-415D-A51E-AB2C7E806848}">
  <dimension ref="A1:P95"/>
  <sheetViews>
    <sheetView workbookViewId="0">
      <selection activeCell="J17" sqref="J17"/>
    </sheetView>
  </sheetViews>
  <sheetFormatPr defaultRowHeight="15.75"/>
  <cols>
    <col min="16" max="16" width="16.75" bestFit="1" customWidth="1"/>
  </cols>
  <sheetData>
    <row r="1" spans="1:11" ht="24" customHeight="1">
      <c r="A1" s="33" t="s">
        <v>357</v>
      </c>
    </row>
    <row r="3" spans="1:11">
      <c r="A3" s="21" t="s">
        <v>358</v>
      </c>
      <c r="B3" s="22" t="s">
        <v>359</v>
      </c>
      <c r="C3" s="23" t="s">
        <v>360</v>
      </c>
      <c r="D3" s="24"/>
      <c r="E3" s="24"/>
      <c r="G3" s="21" t="s">
        <v>361</v>
      </c>
      <c r="H3" s="22" t="s">
        <v>362</v>
      </c>
      <c r="I3" s="23" t="s">
        <v>360</v>
      </c>
      <c r="J3" s="24"/>
      <c r="K3" s="24"/>
    </row>
    <row r="4" spans="1:11">
      <c r="A4" s="25" t="s">
        <v>363</v>
      </c>
      <c r="B4" s="26" t="s">
        <v>364</v>
      </c>
      <c r="C4" s="26" t="s">
        <v>365</v>
      </c>
      <c r="D4" s="22" t="s">
        <v>366</v>
      </c>
      <c r="E4" s="23" t="s">
        <v>367</v>
      </c>
      <c r="G4" s="25" t="s">
        <v>363</v>
      </c>
      <c r="H4" s="26" t="s">
        <v>364</v>
      </c>
      <c r="I4" s="26" t="s">
        <v>365</v>
      </c>
      <c r="J4" s="22" t="s">
        <v>366</v>
      </c>
      <c r="K4" s="23" t="s">
        <v>367</v>
      </c>
    </row>
    <row r="5" spans="1:11">
      <c r="A5" s="27" t="s">
        <v>368</v>
      </c>
      <c r="B5" s="28">
        <v>7.2</v>
      </c>
      <c r="C5" s="28">
        <v>12.03</v>
      </c>
      <c r="D5" s="28">
        <v>18.05</v>
      </c>
      <c r="E5" s="29">
        <v>24</v>
      </c>
      <c r="G5" s="27" t="s">
        <v>368</v>
      </c>
      <c r="H5" s="28">
        <v>6.24</v>
      </c>
      <c r="I5" s="28">
        <v>10.43</v>
      </c>
      <c r="J5" s="28">
        <v>15.64</v>
      </c>
      <c r="K5" s="29">
        <v>20.8</v>
      </c>
    </row>
    <row r="6" spans="1:11">
      <c r="A6" s="27" t="s">
        <v>369</v>
      </c>
      <c r="B6" s="28">
        <v>9.01</v>
      </c>
      <c r="C6" s="28">
        <v>15.05</v>
      </c>
      <c r="D6" s="28">
        <v>22.25</v>
      </c>
      <c r="E6" s="29">
        <v>30.03</v>
      </c>
      <c r="G6" s="27" t="s">
        <v>369</v>
      </c>
      <c r="H6" s="28">
        <v>7.81</v>
      </c>
      <c r="I6" s="28">
        <v>13.05</v>
      </c>
      <c r="J6" s="28">
        <v>19.57</v>
      </c>
      <c r="K6" s="29">
        <v>26.03</v>
      </c>
    </row>
    <row r="7" spans="1:11">
      <c r="A7" s="27" t="s">
        <v>370</v>
      </c>
      <c r="B7" s="28">
        <v>10.82</v>
      </c>
      <c r="C7" s="28">
        <v>18.079999999999998</v>
      </c>
      <c r="D7" s="28">
        <v>27.11</v>
      </c>
      <c r="E7" s="29">
        <v>36.06</v>
      </c>
      <c r="G7" s="27" t="s">
        <v>370</v>
      </c>
      <c r="H7" s="28">
        <v>9.3800000000000008</v>
      </c>
      <c r="I7" s="28">
        <v>15.67</v>
      </c>
      <c r="J7" s="28">
        <v>23.5</v>
      </c>
      <c r="K7" s="29">
        <v>31.25</v>
      </c>
    </row>
    <row r="8" spans="1:11">
      <c r="A8" s="27" t="s">
        <v>371</v>
      </c>
      <c r="B8" s="28">
        <v>12.63</v>
      </c>
      <c r="C8" s="28">
        <v>21.1</v>
      </c>
      <c r="D8" s="28">
        <v>31.65</v>
      </c>
      <c r="E8" s="29">
        <v>42.09</v>
      </c>
      <c r="G8" s="27" t="s">
        <v>371</v>
      </c>
      <c r="H8" s="28">
        <v>10.95</v>
      </c>
      <c r="I8" s="28">
        <v>18.28</v>
      </c>
      <c r="J8" s="28">
        <v>27.43</v>
      </c>
      <c r="K8" s="29">
        <v>36.479999999999997</v>
      </c>
    </row>
    <row r="9" spans="1:11">
      <c r="A9" s="27" t="s">
        <v>372</v>
      </c>
      <c r="B9" s="28">
        <v>14.44</v>
      </c>
      <c r="C9" s="28">
        <v>24.12</v>
      </c>
      <c r="D9" s="28">
        <v>36.18</v>
      </c>
      <c r="E9" s="29">
        <v>48.12</v>
      </c>
      <c r="G9" s="27" t="s">
        <v>372</v>
      </c>
      <c r="H9" s="28">
        <v>12.52</v>
      </c>
      <c r="I9" s="28">
        <v>20.9</v>
      </c>
      <c r="J9" s="28">
        <v>31.36</v>
      </c>
      <c r="K9" s="29">
        <v>41.7</v>
      </c>
    </row>
    <row r="10" spans="1:11">
      <c r="A10" s="27" t="s">
        <v>373</v>
      </c>
      <c r="B10" s="28">
        <v>16.25</v>
      </c>
      <c r="C10" s="28">
        <v>27.14</v>
      </c>
      <c r="D10" s="28">
        <v>40.71</v>
      </c>
      <c r="E10" s="29">
        <v>54.15</v>
      </c>
      <c r="G10" s="27" t="s">
        <v>373</v>
      </c>
      <c r="H10" s="28">
        <v>14.09</v>
      </c>
      <c r="I10" s="28">
        <v>23.52</v>
      </c>
      <c r="J10" s="28">
        <v>35.29</v>
      </c>
      <c r="K10" s="29">
        <v>46.93</v>
      </c>
    </row>
    <row r="11" spans="1:11">
      <c r="A11" s="27" t="s">
        <v>374</v>
      </c>
      <c r="B11" s="28">
        <v>18.100000000000001</v>
      </c>
      <c r="C11" s="28">
        <v>30.23</v>
      </c>
      <c r="D11" s="28">
        <v>45.34</v>
      </c>
      <c r="E11" s="29">
        <v>60.3</v>
      </c>
      <c r="G11" s="27" t="s">
        <v>374</v>
      </c>
      <c r="H11" s="28">
        <v>15.69</v>
      </c>
      <c r="I11" s="28">
        <v>26.2</v>
      </c>
      <c r="J11" s="28">
        <v>39.29</v>
      </c>
      <c r="K11" s="29">
        <v>52.26</v>
      </c>
    </row>
    <row r="12" spans="1:11">
      <c r="A12" s="27" t="s">
        <v>375</v>
      </c>
      <c r="B12" s="28">
        <v>21.72</v>
      </c>
      <c r="C12" s="28">
        <v>36.270000000000003</v>
      </c>
      <c r="D12" s="28">
        <v>54.41</v>
      </c>
      <c r="E12" s="29">
        <v>72.36</v>
      </c>
      <c r="G12" s="27" t="s">
        <v>375</v>
      </c>
      <c r="H12" s="28">
        <v>18.82</v>
      </c>
      <c r="I12" s="28">
        <v>31.44</v>
      </c>
      <c r="J12" s="28">
        <v>47.15</v>
      </c>
      <c r="K12" s="29">
        <v>62.71</v>
      </c>
    </row>
    <row r="13" spans="1:11">
      <c r="A13" s="27" t="s">
        <v>376</v>
      </c>
      <c r="B13" s="28">
        <v>25.34</v>
      </c>
      <c r="C13" s="28">
        <v>42.32</v>
      </c>
      <c r="D13" s="28">
        <v>63.48</v>
      </c>
      <c r="E13" s="29">
        <v>84.42</v>
      </c>
      <c r="G13" s="27" t="s">
        <v>376</v>
      </c>
      <c r="H13" s="28">
        <v>21.96</v>
      </c>
      <c r="I13" s="28">
        <v>36.67</v>
      </c>
      <c r="J13" s="28">
        <v>55.01</v>
      </c>
      <c r="K13" s="29">
        <v>73.17</v>
      </c>
    </row>
    <row r="14" spans="1:11">
      <c r="A14" s="27" t="s">
        <v>377</v>
      </c>
      <c r="B14" s="28">
        <v>28.96</v>
      </c>
      <c r="C14" s="28">
        <v>48.36</v>
      </c>
      <c r="D14" s="28">
        <v>72.540000000000006</v>
      </c>
      <c r="E14" s="29">
        <v>96.48</v>
      </c>
      <c r="G14" s="27" t="s">
        <v>377</v>
      </c>
      <c r="H14" s="28">
        <v>25.1</v>
      </c>
      <c r="I14" s="28">
        <v>41.91</v>
      </c>
      <c r="J14" s="28">
        <v>62.87</v>
      </c>
      <c r="K14" s="29">
        <v>83.62</v>
      </c>
    </row>
    <row r="15" spans="1:11">
      <c r="A15" s="27" t="s">
        <v>378</v>
      </c>
      <c r="B15" s="28">
        <v>32.58</v>
      </c>
      <c r="C15" s="28">
        <v>54.41</v>
      </c>
      <c r="D15" s="28">
        <v>81.61</v>
      </c>
      <c r="E15" s="29">
        <v>108.54</v>
      </c>
      <c r="G15" s="27" t="s">
        <v>378</v>
      </c>
      <c r="H15" s="28">
        <v>28.24</v>
      </c>
      <c r="I15" s="28">
        <v>47.15</v>
      </c>
      <c r="J15" s="28">
        <v>70.73</v>
      </c>
      <c r="K15" s="29">
        <v>94.07</v>
      </c>
    </row>
    <row r="16" spans="1:11">
      <c r="A16" s="30" t="s">
        <v>379</v>
      </c>
      <c r="B16" s="31">
        <v>36.200000000000003</v>
      </c>
      <c r="C16" s="31">
        <v>60.45</v>
      </c>
      <c r="D16" s="31">
        <v>90.68</v>
      </c>
      <c r="E16" s="32">
        <v>120.6</v>
      </c>
      <c r="G16" s="30" t="s">
        <v>379</v>
      </c>
      <c r="H16" s="31">
        <v>31.37</v>
      </c>
      <c r="I16" s="31">
        <v>52.39</v>
      </c>
      <c r="J16" s="31">
        <v>78.59</v>
      </c>
      <c r="K16" s="32">
        <v>104.52</v>
      </c>
    </row>
    <row r="17" spans="1:16">
      <c r="A17" s="24"/>
      <c r="B17" s="24"/>
      <c r="C17" s="24"/>
      <c r="D17" s="24"/>
      <c r="E17" s="24"/>
    </row>
    <row r="18" spans="1:16" ht="32.25">
      <c r="A18" s="43" t="s">
        <v>6</v>
      </c>
      <c r="B18" s="43"/>
      <c r="C18" s="35" t="s">
        <v>380</v>
      </c>
      <c r="D18" s="35" t="s">
        <v>8</v>
      </c>
      <c r="E18" s="34"/>
      <c r="G18" s="43" t="s">
        <v>6</v>
      </c>
      <c r="H18" s="43"/>
      <c r="I18" s="35" t="s">
        <v>380</v>
      </c>
      <c r="J18" s="35" t="s">
        <v>8</v>
      </c>
    </row>
    <row r="19" spans="1:16">
      <c r="A19" s="42" t="s">
        <v>381</v>
      </c>
      <c r="B19" s="42"/>
      <c r="C19" s="36">
        <v>7.2</v>
      </c>
      <c r="D19" s="36">
        <f>C19*0.65</f>
        <v>4.6800000000000006</v>
      </c>
      <c r="G19" s="42" t="s">
        <v>381</v>
      </c>
      <c r="H19" s="42"/>
      <c r="I19" s="36">
        <v>6.24</v>
      </c>
      <c r="J19" s="36">
        <f>I19*0.75</f>
        <v>4.68</v>
      </c>
    </row>
    <row r="20" spans="1:16">
      <c r="A20" s="42" t="s">
        <v>382</v>
      </c>
      <c r="B20" s="42"/>
      <c r="C20" s="36">
        <v>9.01</v>
      </c>
      <c r="D20" s="36">
        <f t="shared" ref="D20:D66" si="0">C20*0.65</f>
        <v>5.8565000000000005</v>
      </c>
      <c r="G20" s="42" t="s">
        <v>382</v>
      </c>
      <c r="H20" s="42"/>
      <c r="I20" s="36">
        <v>7.81</v>
      </c>
      <c r="J20" s="36">
        <f t="shared" ref="J20:J66" si="1">I20*0.75</f>
        <v>5.8574999999999999</v>
      </c>
    </row>
    <row r="21" spans="1:16">
      <c r="A21" s="42" t="s">
        <v>383</v>
      </c>
      <c r="B21" s="42"/>
      <c r="C21" s="36">
        <v>10.82</v>
      </c>
      <c r="D21" s="36">
        <f t="shared" si="0"/>
        <v>7.0330000000000004</v>
      </c>
      <c r="G21" s="42" t="s">
        <v>383</v>
      </c>
      <c r="H21" s="42"/>
      <c r="I21" s="36">
        <v>9.3800000000000008</v>
      </c>
      <c r="J21" s="36">
        <f t="shared" si="1"/>
        <v>7.0350000000000001</v>
      </c>
    </row>
    <row r="22" spans="1:16">
      <c r="A22" s="42" t="s">
        <v>384</v>
      </c>
      <c r="B22" s="42"/>
      <c r="C22" s="36">
        <v>12.63</v>
      </c>
      <c r="D22" s="36">
        <f t="shared" si="0"/>
        <v>8.2095000000000002</v>
      </c>
      <c r="G22" s="42" t="s">
        <v>384</v>
      </c>
      <c r="H22" s="42"/>
      <c r="I22" s="36">
        <v>10.95</v>
      </c>
      <c r="J22" s="36">
        <f t="shared" si="1"/>
        <v>8.2124999999999986</v>
      </c>
    </row>
    <row r="23" spans="1:16">
      <c r="A23" s="42" t="s">
        <v>385</v>
      </c>
      <c r="B23" s="42"/>
      <c r="C23" s="36">
        <v>14.44</v>
      </c>
      <c r="D23" s="36">
        <f t="shared" si="0"/>
        <v>9.3859999999999992</v>
      </c>
      <c r="G23" s="42" t="s">
        <v>385</v>
      </c>
      <c r="H23" s="42"/>
      <c r="I23" s="36">
        <v>12.52</v>
      </c>
      <c r="J23" s="36">
        <f t="shared" si="1"/>
        <v>9.39</v>
      </c>
    </row>
    <row r="24" spans="1:16">
      <c r="A24" s="42" t="s">
        <v>386</v>
      </c>
      <c r="B24" s="42"/>
      <c r="C24" s="36">
        <v>16.25</v>
      </c>
      <c r="D24" s="36">
        <f t="shared" si="0"/>
        <v>10.5625</v>
      </c>
      <c r="G24" s="42" t="s">
        <v>386</v>
      </c>
      <c r="H24" s="42"/>
      <c r="I24" s="36">
        <v>14.09</v>
      </c>
      <c r="J24" s="36">
        <f t="shared" si="1"/>
        <v>10.567499999999999</v>
      </c>
    </row>
    <row r="25" spans="1:16">
      <c r="A25" s="42" t="s">
        <v>387</v>
      </c>
      <c r="B25" s="42"/>
      <c r="C25" s="36">
        <v>18.100000000000001</v>
      </c>
      <c r="D25" s="36">
        <f t="shared" si="0"/>
        <v>11.765000000000001</v>
      </c>
      <c r="G25" s="42" t="s">
        <v>387</v>
      </c>
      <c r="H25" s="42"/>
      <c r="I25" s="36">
        <v>15.69</v>
      </c>
      <c r="J25" s="36">
        <f t="shared" si="1"/>
        <v>11.7675</v>
      </c>
      <c r="P25" s="37">
        <v>9000000000</v>
      </c>
    </row>
    <row r="26" spans="1:16">
      <c r="A26" s="42" t="s">
        <v>388</v>
      </c>
      <c r="B26" s="42"/>
      <c r="C26" s="36">
        <v>21.72</v>
      </c>
      <c r="D26" s="36">
        <f t="shared" si="0"/>
        <v>14.118</v>
      </c>
      <c r="G26" s="42" t="s">
        <v>388</v>
      </c>
      <c r="H26" s="42"/>
      <c r="I26" s="36">
        <v>18.82</v>
      </c>
      <c r="J26" s="36">
        <f t="shared" si="1"/>
        <v>14.115</v>
      </c>
    </row>
    <row r="27" spans="1:16">
      <c r="A27" s="42" t="s">
        <v>389</v>
      </c>
      <c r="B27" s="42"/>
      <c r="C27" s="36">
        <v>25.34</v>
      </c>
      <c r="D27" s="36">
        <f t="shared" si="0"/>
        <v>16.471</v>
      </c>
      <c r="G27" s="42" t="s">
        <v>389</v>
      </c>
      <c r="H27" s="42"/>
      <c r="I27" s="36">
        <v>21.96</v>
      </c>
      <c r="J27" s="36">
        <f t="shared" si="1"/>
        <v>16.47</v>
      </c>
      <c r="P27" s="38">
        <v>0.2</v>
      </c>
    </row>
    <row r="28" spans="1:16">
      <c r="A28" s="42" t="s">
        <v>390</v>
      </c>
      <c r="B28" s="42"/>
      <c r="C28" s="36">
        <v>28.96</v>
      </c>
      <c r="D28" s="36">
        <f t="shared" si="0"/>
        <v>18.824000000000002</v>
      </c>
      <c r="G28" s="42" t="s">
        <v>390</v>
      </c>
      <c r="H28" s="42"/>
      <c r="I28" s="36">
        <v>25.1</v>
      </c>
      <c r="J28" s="36">
        <f t="shared" si="1"/>
        <v>18.825000000000003</v>
      </c>
    </row>
    <row r="29" spans="1:16">
      <c r="A29" s="42" t="s">
        <v>391</v>
      </c>
      <c r="B29" s="42"/>
      <c r="C29" s="36">
        <v>32.58</v>
      </c>
      <c r="D29" s="36">
        <f t="shared" si="0"/>
        <v>21.177</v>
      </c>
      <c r="G29" s="42" t="s">
        <v>391</v>
      </c>
      <c r="H29" s="42"/>
      <c r="I29" s="36">
        <v>28.24</v>
      </c>
      <c r="J29" s="36">
        <f t="shared" si="1"/>
        <v>21.18</v>
      </c>
      <c r="P29" s="37">
        <f>P27*P25</f>
        <v>1800000000</v>
      </c>
    </row>
    <row r="30" spans="1:16">
      <c r="A30" s="42" t="s">
        <v>392</v>
      </c>
      <c r="B30" s="42"/>
      <c r="C30" s="36">
        <v>36.200000000000003</v>
      </c>
      <c r="D30" s="36">
        <f t="shared" si="0"/>
        <v>23.53</v>
      </c>
      <c r="G30" s="42" t="s">
        <v>392</v>
      </c>
      <c r="H30" s="42"/>
      <c r="I30" s="36">
        <v>31.37</v>
      </c>
      <c r="J30" s="36">
        <f t="shared" si="1"/>
        <v>23.5275</v>
      </c>
    </row>
    <row r="31" spans="1:16">
      <c r="A31" s="42" t="s">
        <v>393</v>
      </c>
      <c r="B31" s="42"/>
      <c r="C31" s="36">
        <v>12.03</v>
      </c>
      <c r="D31" s="36">
        <f t="shared" si="0"/>
        <v>7.8194999999999997</v>
      </c>
      <c r="G31" s="42" t="s">
        <v>393</v>
      </c>
      <c r="H31" s="42"/>
      <c r="I31" s="36">
        <v>10.43</v>
      </c>
      <c r="J31" s="36">
        <f t="shared" si="1"/>
        <v>7.8224999999999998</v>
      </c>
      <c r="P31" s="38">
        <v>0.01</v>
      </c>
    </row>
    <row r="32" spans="1:16">
      <c r="A32" s="42" t="s">
        <v>394</v>
      </c>
      <c r="B32" s="42"/>
      <c r="C32" s="36">
        <v>15.05</v>
      </c>
      <c r="D32" s="36">
        <f t="shared" si="0"/>
        <v>9.7825000000000006</v>
      </c>
      <c r="G32" s="42" t="s">
        <v>394</v>
      </c>
      <c r="H32" s="42"/>
      <c r="I32" s="36">
        <v>13.05</v>
      </c>
      <c r="J32" s="36">
        <f t="shared" si="1"/>
        <v>9.7875000000000014</v>
      </c>
    </row>
    <row r="33" spans="1:16">
      <c r="A33" s="42" t="s">
        <v>395</v>
      </c>
      <c r="B33" s="42"/>
      <c r="C33" s="36">
        <v>18.079999999999998</v>
      </c>
      <c r="D33" s="36">
        <f t="shared" si="0"/>
        <v>11.751999999999999</v>
      </c>
      <c r="G33" s="42" t="s">
        <v>395</v>
      </c>
      <c r="H33" s="42"/>
      <c r="I33" s="36">
        <v>15.67</v>
      </c>
      <c r="J33" s="36">
        <f t="shared" si="1"/>
        <v>11.7525</v>
      </c>
      <c r="P33" s="37">
        <f>P29*P31</f>
        <v>18000000</v>
      </c>
    </row>
    <row r="34" spans="1:16">
      <c r="A34" s="42" t="s">
        <v>396</v>
      </c>
      <c r="B34" s="42"/>
      <c r="C34" s="36">
        <v>21.1</v>
      </c>
      <c r="D34" s="36">
        <f t="shared" si="0"/>
        <v>13.715000000000002</v>
      </c>
      <c r="G34" s="42" t="s">
        <v>396</v>
      </c>
      <c r="H34" s="42"/>
      <c r="I34" s="36">
        <v>18.28</v>
      </c>
      <c r="J34" s="36">
        <f t="shared" si="1"/>
        <v>13.71</v>
      </c>
    </row>
    <row r="35" spans="1:16">
      <c r="A35" s="42" t="s">
        <v>397</v>
      </c>
      <c r="B35" s="42"/>
      <c r="C35" s="36">
        <v>24.12</v>
      </c>
      <c r="D35" s="36">
        <f t="shared" si="0"/>
        <v>15.678000000000001</v>
      </c>
      <c r="G35" s="42" t="s">
        <v>397</v>
      </c>
      <c r="H35" s="42"/>
      <c r="I35" s="36">
        <v>20.9</v>
      </c>
      <c r="J35" s="36">
        <f t="shared" si="1"/>
        <v>15.674999999999999</v>
      </c>
    </row>
    <row r="36" spans="1:16">
      <c r="A36" s="42" t="s">
        <v>398</v>
      </c>
      <c r="B36" s="42"/>
      <c r="C36" s="36">
        <v>27.14</v>
      </c>
      <c r="D36" s="36">
        <f t="shared" si="0"/>
        <v>17.641000000000002</v>
      </c>
      <c r="G36" s="42" t="s">
        <v>398</v>
      </c>
      <c r="H36" s="42"/>
      <c r="I36" s="36">
        <v>23.52</v>
      </c>
      <c r="J36" s="36">
        <f t="shared" si="1"/>
        <v>17.64</v>
      </c>
    </row>
    <row r="37" spans="1:16">
      <c r="A37" s="42" t="s">
        <v>399</v>
      </c>
      <c r="B37" s="42"/>
      <c r="C37" s="36">
        <v>30.23</v>
      </c>
      <c r="D37" s="36">
        <f t="shared" si="0"/>
        <v>19.6495</v>
      </c>
      <c r="G37" s="42" t="s">
        <v>399</v>
      </c>
      <c r="H37" s="42"/>
      <c r="I37" s="36">
        <v>26.2</v>
      </c>
      <c r="J37" s="36">
        <f t="shared" si="1"/>
        <v>19.649999999999999</v>
      </c>
    </row>
    <row r="38" spans="1:16">
      <c r="A38" s="42" t="s">
        <v>400</v>
      </c>
      <c r="B38" s="42"/>
      <c r="C38" s="36">
        <v>36.270000000000003</v>
      </c>
      <c r="D38" s="36">
        <f t="shared" si="0"/>
        <v>23.575500000000002</v>
      </c>
      <c r="G38" s="42" t="s">
        <v>400</v>
      </c>
      <c r="H38" s="42"/>
      <c r="I38" s="36">
        <v>31.44</v>
      </c>
      <c r="J38" s="36">
        <f t="shared" si="1"/>
        <v>23.580000000000002</v>
      </c>
    </row>
    <row r="39" spans="1:16">
      <c r="A39" s="42" t="s">
        <v>401</v>
      </c>
      <c r="B39" s="42"/>
      <c r="C39" s="36">
        <v>42.32</v>
      </c>
      <c r="D39" s="36">
        <f t="shared" si="0"/>
        <v>27.508000000000003</v>
      </c>
      <c r="G39" s="42" t="s">
        <v>401</v>
      </c>
      <c r="H39" s="42"/>
      <c r="I39" s="36">
        <v>36.67</v>
      </c>
      <c r="J39" s="36">
        <f t="shared" si="1"/>
        <v>27.502500000000001</v>
      </c>
    </row>
    <row r="40" spans="1:16">
      <c r="A40" s="42" t="s">
        <v>402</v>
      </c>
      <c r="B40" s="42"/>
      <c r="C40" s="36">
        <v>48.36</v>
      </c>
      <c r="D40" s="36">
        <f t="shared" si="0"/>
        <v>31.434000000000001</v>
      </c>
      <c r="G40" s="42" t="s">
        <v>402</v>
      </c>
      <c r="H40" s="42"/>
      <c r="I40" s="36">
        <v>41.91</v>
      </c>
      <c r="J40" s="36">
        <f t="shared" si="1"/>
        <v>31.432499999999997</v>
      </c>
    </row>
    <row r="41" spans="1:16">
      <c r="A41" s="42" t="s">
        <v>403</v>
      </c>
      <c r="B41" s="42"/>
      <c r="C41" s="36">
        <v>54.41</v>
      </c>
      <c r="D41" s="36">
        <f t="shared" si="0"/>
        <v>35.366500000000002</v>
      </c>
      <c r="G41" s="42" t="s">
        <v>403</v>
      </c>
      <c r="H41" s="42"/>
      <c r="I41" s="36">
        <v>47.15</v>
      </c>
      <c r="J41" s="36">
        <f t="shared" si="1"/>
        <v>35.362499999999997</v>
      </c>
    </row>
    <row r="42" spans="1:16">
      <c r="A42" s="42" t="s">
        <v>404</v>
      </c>
      <c r="B42" s="42"/>
      <c r="C42" s="36">
        <v>60.45</v>
      </c>
      <c r="D42" s="36">
        <f t="shared" si="0"/>
        <v>39.292500000000004</v>
      </c>
      <c r="G42" s="42" t="s">
        <v>404</v>
      </c>
      <c r="H42" s="42"/>
      <c r="I42" s="36">
        <v>52.39</v>
      </c>
      <c r="J42" s="36">
        <f t="shared" si="1"/>
        <v>39.292500000000004</v>
      </c>
    </row>
    <row r="43" spans="1:16">
      <c r="A43" s="42" t="s">
        <v>405</v>
      </c>
      <c r="B43" s="42"/>
      <c r="C43" s="36">
        <v>18.05</v>
      </c>
      <c r="D43" s="36">
        <f t="shared" si="0"/>
        <v>11.732500000000002</v>
      </c>
      <c r="G43" s="42" t="s">
        <v>405</v>
      </c>
      <c r="H43" s="42"/>
      <c r="I43" s="36">
        <v>15.64</v>
      </c>
      <c r="J43" s="36">
        <f t="shared" si="1"/>
        <v>11.73</v>
      </c>
    </row>
    <row r="44" spans="1:16">
      <c r="A44" s="42" t="s">
        <v>406</v>
      </c>
      <c r="B44" s="42"/>
      <c r="C44" s="36">
        <v>22.25</v>
      </c>
      <c r="D44" s="36">
        <f t="shared" si="0"/>
        <v>14.4625</v>
      </c>
      <c r="G44" s="42" t="s">
        <v>406</v>
      </c>
      <c r="H44" s="42"/>
      <c r="I44" s="36">
        <v>19.57</v>
      </c>
      <c r="J44" s="36">
        <f t="shared" si="1"/>
        <v>14.6775</v>
      </c>
    </row>
    <row r="45" spans="1:16">
      <c r="A45" s="42" t="s">
        <v>407</v>
      </c>
      <c r="B45" s="42"/>
      <c r="C45" s="36">
        <v>27.11</v>
      </c>
      <c r="D45" s="36">
        <f t="shared" si="0"/>
        <v>17.621500000000001</v>
      </c>
      <c r="G45" s="42" t="s">
        <v>407</v>
      </c>
      <c r="H45" s="42"/>
      <c r="I45" s="36">
        <v>23.5</v>
      </c>
      <c r="J45" s="36">
        <f t="shared" si="1"/>
        <v>17.625</v>
      </c>
    </row>
    <row r="46" spans="1:16">
      <c r="A46" s="42" t="s">
        <v>408</v>
      </c>
      <c r="B46" s="42"/>
      <c r="C46" s="36">
        <v>31.65</v>
      </c>
      <c r="D46" s="36">
        <f t="shared" si="0"/>
        <v>20.572499999999998</v>
      </c>
      <c r="G46" s="42" t="s">
        <v>408</v>
      </c>
      <c r="H46" s="42"/>
      <c r="I46" s="36">
        <v>27.43</v>
      </c>
      <c r="J46" s="36">
        <f t="shared" si="1"/>
        <v>20.572499999999998</v>
      </c>
    </row>
    <row r="47" spans="1:16">
      <c r="A47" s="42" t="s">
        <v>409</v>
      </c>
      <c r="B47" s="42"/>
      <c r="C47" s="36">
        <v>36.18</v>
      </c>
      <c r="D47" s="36">
        <f t="shared" si="0"/>
        <v>23.516999999999999</v>
      </c>
      <c r="G47" s="42" t="s">
        <v>409</v>
      </c>
      <c r="H47" s="42"/>
      <c r="I47" s="36">
        <v>31.36</v>
      </c>
      <c r="J47" s="36">
        <f t="shared" si="1"/>
        <v>23.52</v>
      </c>
    </row>
    <row r="48" spans="1:16">
      <c r="A48" s="42" t="s">
        <v>410</v>
      </c>
      <c r="B48" s="42"/>
      <c r="C48" s="36">
        <v>40.71</v>
      </c>
      <c r="D48" s="36">
        <f t="shared" si="0"/>
        <v>26.461500000000001</v>
      </c>
      <c r="G48" s="42" t="s">
        <v>410</v>
      </c>
      <c r="H48" s="42"/>
      <c r="I48" s="36">
        <v>35.29</v>
      </c>
      <c r="J48" s="36">
        <f t="shared" si="1"/>
        <v>26.467500000000001</v>
      </c>
    </row>
    <row r="49" spans="1:10">
      <c r="A49" s="42" t="s">
        <v>411</v>
      </c>
      <c r="B49" s="42"/>
      <c r="C49" s="36">
        <v>45.34</v>
      </c>
      <c r="D49" s="36">
        <f t="shared" si="0"/>
        <v>29.471000000000004</v>
      </c>
      <c r="G49" s="42" t="s">
        <v>411</v>
      </c>
      <c r="H49" s="42"/>
      <c r="I49" s="36">
        <v>39.29</v>
      </c>
      <c r="J49" s="36">
        <f t="shared" si="1"/>
        <v>29.467500000000001</v>
      </c>
    </row>
    <row r="50" spans="1:10">
      <c r="A50" s="42" t="s">
        <v>412</v>
      </c>
      <c r="B50" s="42"/>
      <c r="C50" s="36">
        <v>54.41</v>
      </c>
      <c r="D50" s="36">
        <f t="shared" si="0"/>
        <v>35.366500000000002</v>
      </c>
      <c r="G50" s="42" t="s">
        <v>412</v>
      </c>
      <c r="H50" s="42"/>
      <c r="I50" s="36">
        <v>47.15</v>
      </c>
      <c r="J50" s="36">
        <f t="shared" si="1"/>
        <v>35.362499999999997</v>
      </c>
    </row>
    <row r="51" spans="1:10">
      <c r="A51" s="42" t="s">
        <v>413</v>
      </c>
      <c r="B51" s="42"/>
      <c r="C51" s="36">
        <v>63.48</v>
      </c>
      <c r="D51" s="36">
        <f t="shared" si="0"/>
        <v>41.262</v>
      </c>
      <c r="G51" s="42" t="s">
        <v>413</v>
      </c>
      <c r="H51" s="42"/>
      <c r="I51" s="36">
        <v>55.01</v>
      </c>
      <c r="J51" s="36">
        <f t="shared" si="1"/>
        <v>41.2575</v>
      </c>
    </row>
    <row r="52" spans="1:10">
      <c r="A52" s="42" t="s">
        <v>414</v>
      </c>
      <c r="B52" s="42"/>
      <c r="C52" s="36">
        <v>72.540000000000006</v>
      </c>
      <c r="D52" s="36">
        <f t="shared" si="0"/>
        <v>47.151000000000003</v>
      </c>
      <c r="G52" s="42" t="s">
        <v>414</v>
      </c>
      <c r="H52" s="42"/>
      <c r="I52" s="36">
        <v>62.87</v>
      </c>
      <c r="J52" s="36">
        <f t="shared" si="1"/>
        <v>47.152499999999996</v>
      </c>
    </row>
    <row r="53" spans="1:10">
      <c r="A53" s="42" t="s">
        <v>415</v>
      </c>
      <c r="B53" s="42"/>
      <c r="C53" s="36">
        <v>81.61</v>
      </c>
      <c r="D53" s="36">
        <f t="shared" si="0"/>
        <v>53.046500000000002</v>
      </c>
      <c r="G53" s="42" t="s">
        <v>415</v>
      </c>
      <c r="H53" s="42"/>
      <c r="I53" s="36">
        <v>70.73</v>
      </c>
      <c r="J53" s="36">
        <f t="shared" si="1"/>
        <v>53.047499999999999</v>
      </c>
    </row>
    <row r="54" spans="1:10">
      <c r="A54" s="42" t="s">
        <v>416</v>
      </c>
      <c r="B54" s="42"/>
      <c r="C54" s="36">
        <v>90.68</v>
      </c>
      <c r="D54" s="36">
        <f t="shared" si="0"/>
        <v>58.942000000000007</v>
      </c>
      <c r="G54" s="42" t="s">
        <v>416</v>
      </c>
      <c r="H54" s="42"/>
      <c r="I54" s="36">
        <v>78.59</v>
      </c>
      <c r="J54" s="36">
        <f t="shared" si="1"/>
        <v>58.942500000000003</v>
      </c>
    </row>
    <row r="55" spans="1:10">
      <c r="A55" s="42" t="s">
        <v>417</v>
      </c>
      <c r="B55" s="42"/>
      <c r="C55" s="36">
        <v>24</v>
      </c>
      <c r="D55" s="36">
        <f t="shared" si="0"/>
        <v>15.600000000000001</v>
      </c>
      <c r="G55" s="42" t="s">
        <v>417</v>
      </c>
      <c r="H55" s="42"/>
      <c r="I55" s="36">
        <v>20.8</v>
      </c>
      <c r="J55" s="36">
        <f t="shared" si="1"/>
        <v>15.600000000000001</v>
      </c>
    </row>
    <row r="56" spans="1:10">
      <c r="A56" s="42" t="s">
        <v>418</v>
      </c>
      <c r="B56" s="42"/>
      <c r="C56" s="36">
        <v>30.03</v>
      </c>
      <c r="D56" s="36">
        <f t="shared" si="0"/>
        <v>19.519500000000001</v>
      </c>
      <c r="G56" s="42" t="s">
        <v>418</v>
      </c>
      <c r="H56" s="42"/>
      <c r="I56" s="36">
        <v>26.03</v>
      </c>
      <c r="J56" s="36">
        <f t="shared" si="1"/>
        <v>19.522500000000001</v>
      </c>
    </row>
    <row r="57" spans="1:10">
      <c r="A57" s="42" t="s">
        <v>419</v>
      </c>
      <c r="B57" s="42"/>
      <c r="C57" s="36">
        <v>36.06</v>
      </c>
      <c r="D57" s="36">
        <f t="shared" si="0"/>
        <v>23.439000000000004</v>
      </c>
      <c r="G57" s="42" t="s">
        <v>419</v>
      </c>
      <c r="H57" s="42"/>
      <c r="I57" s="36">
        <v>31.25</v>
      </c>
      <c r="J57" s="36">
        <f t="shared" si="1"/>
        <v>23.4375</v>
      </c>
    </row>
    <row r="58" spans="1:10">
      <c r="A58" s="42" t="s">
        <v>420</v>
      </c>
      <c r="B58" s="42"/>
      <c r="C58" s="36">
        <v>42.09</v>
      </c>
      <c r="D58" s="36">
        <f t="shared" si="0"/>
        <v>27.358500000000003</v>
      </c>
      <c r="G58" s="42" t="s">
        <v>420</v>
      </c>
      <c r="H58" s="42"/>
      <c r="I58" s="36">
        <v>36.479999999999997</v>
      </c>
      <c r="J58" s="36">
        <f t="shared" si="1"/>
        <v>27.36</v>
      </c>
    </row>
    <row r="59" spans="1:10">
      <c r="A59" s="42" t="s">
        <v>421</v>
      </c>
      <c r="B59" s="42"/>
      <c r="C59" s="36">
        <v>48.12</v>
      </c>
      <c r="D59" s="36">
        <f t="shared" si="0"/>
        <v>31.277999999999999</v>
      </c>
      <c r="G59" s="42" t="s">
        <v>421</v>
      </c>
      <c r="H59" s="42"/>
      <c r="I59" s="36">
        <v>41.7</v>
      </c>
      <c r="J59" s="36">
        <f t="shared" si="1"/>
        <v>31.275000000000002</v>
      </c>
    </row>
    <row r="60" spans="1:10">
      <c r="A60" s="42" t="s">
        <v>422</v>
      </c>
      <c r="B60" s="42"/>
      <c r="C60" s="36">
        <v>54.15</v>
      </c>
      <c r="D60" s="36">
        <f t="shared" si="0"/>
        <v>35.197499999999998</v>
      </c>
      <c r="G60" s="42" t="s">
        <v>422</v>
      </c>
      <c r="H60" s="42"/>
      <c r="I60" s="36">
        <v>46.93</v>
      </c>
      <c r="J60" s="36">
        <f t="shared" si="1"/>
        <v>35.197499999999998</v>
      </c>
    </row>
    <row r="61" spans="1:10">
      <c r="A61" s="42" t="s">
        <v>423</v>
      </c>
      <c r="B61" s="42"/>
      <c r="C61" s="36">
        <v>60.3</v>
      </c>
      <c r="D61" s="36">
        <f t="shared" si="0"/>
        <v>39.195</v>
      </c>
      <c r="G61" s="42" t="s">
        <v>423</v>
      </c>
      <c r="H61" s="42"/>
      <c r="I61" s="36">
        <v>52.26</v>
      </c>
      <c r="J61" s="36">
        <f t="shared" si="1"/>
        <v>39.195</v>
      </c>
    </row>
    <row r="62" spans="1:10">
      <c r="A62" s="42" t="s">
        <v>424</v>
      </c>
      <c r="B62" s="42"/>
      <c r="C62" s="36">
        <v>72.36</v>
      </c>
      <c r="D62" s="36">
        <f t="shared" si="0"/>
        <v>47.033999999999999</v>
      </c>
      <c r="G62" s="42" t="s">
        <v>424</v>
      </c>
      <c r="H62" s="42"/>
      <c r="I62" s="36">
        <v>62.71</v>
      </c>
      <c r="J62" s="36">
        <f t="shared" si="1"/>
        <v>47.032499999999999</v>
      </c>
    </row>
    <row r="63" spans="1:10">
      <c r="A63" s="42" t="s">
        <v>425</v>
      </c>
      <c r="B63" s="42"/>
      <c r="C63" s="36">
        <v>84.42</v>
      </c>
      <c r="D63" s="36">
        <f t="shared" si="0"/>
        <v>54.873000000000005</v>
      </c>
      <c r="G63" s="42" t="s">
        <v>425</v>
      </c>
      <c r="H63" s="42"/>
      <c r="I63" s="36">
        <v>73.17</v>
      </c>
      <c r="J63" s="36">
        <f t="shared" si="1"/>
        <v>54.877499999999998</v>
      </c>
    </row>
    <row r="64" spans="1:10">
      <c r="A64" s="42" t="s">
        <v>426</v>
      </c>
      <c r="B64" s="42"/>
      <c r="C64" s="36">
        <v>96.48</v>
      </c>
      <c r="D64" s="36">
        <f t="shared" si="0"/>
        <v>62.712000000000003</v>
      </c>
      <c r="G64" s="42" t="s">
        <v>426</v>
      </c>
      <c r="H64" s="42"/>
      <c r="I64" s="36">
        <v>83.62</v>
      </c>
      <c r="J64" s="36">
        <f t="shared" si="1"/>
        <v>62.715000000000003</v>
      </c>
    </row>
    <row r="65" spans="1:10">
      <c r="A65" s="42" t="s">
        <v>427</v>
      </c>
      <c r="B65" s="42"/>
      <c r="C65" s="36">
        <v>108.54</v>
      </c>
      <c r="D65" s="36">
        <f t="shared" si="0"/>
        <v>70.551000000000002</v>
      </c>
      <c r="G65" s="42" t="s">
        <v>427</v>
      </c>
      <c r="H65" s="42"/>
      <c r="I65" s="36">
        <v>94.07</v>
      </c>
      <c r="J65" s="36">
        <f t="shared" si="1"/>
        <v>70.552499999999995</v>
      </c>
    </row>
    <row r="66" spans="1:10">
      <c r="A66" s="42" t="s">
        <v>428</v>
      </c>
      <c r="B66" s="42"/>
      <c r="C66" s="36">
        <v>120.6</v>
      </c>
      <c r="D66" s="36">
        <f t="shared" si="0"/>
        <v>78.39</v>
      </c>
      <c r="G66" s="42" t="s">
        <v>428</v>
      </c>
      <c r="H66" s="42"/>
      <c r="I66" s="36">
        <v>104.52</v>
      </c>
      <c r="J66" s="36">
        <f t="shared" si="1"/>
        <v>78.39</v>
      </c>
    </row>
    <row r="67" spans="1:10">
      <c r="A67" s="44"/>
      <c r="B67" s="45"/>
    </row>
    <row r="68" spans="1:10">
      <c r="A68" s="44"/>
      <c r="B68" s="45"/>
    </row>
    <row r="69" spans="1:10">
      <c r="A69" s="44"/>
      <c r="B69" s="45"/>
    </row>
    <row r="70" spans="1:10">
      <c r="A70" s="44"/>
      <c r="B70" s="45"/>
    </row>
    <row r="71" spans="1:10">
      <c r="A71" s="44"/>
      <c r="B71" s="45"/>
    </row>
    <row r="72" spans="1:10">
      <c r="A72" s="44"/>
      <c r="B72" s="45"/>
    </row>
    <row r="73" spans="1:10">
      <c r="A73" s="44"/>
      <c r="B73" s="45"/>
    </row>
    <row r="74" spans="1:10">
      <c r="A74" s="44"/>
      <c r="B74" s="45"/>
    </row>
    <row r="75" spans="1:10">
      <c r="A75" s="44"/>
      <c r="B75" s="45"/>
    </row>
    <row r="76" spans="1:10">
      <c r="A76" s="44"/>
      <c r="B76" s="45"/>
    </row>
    <row r="77" spans="1:10">
      <c r="A77" s="44"/>
      <c r="B77" s="45"/>
    </row>
    <row r="78" spans="1:10">
      <c r="A78" s="44"/>
      <c r="B78" s="45"/>
    </row>
    <row r="79" spans="1:10">
      <c r="A79" s="44"/>
      <c r="B79" s="45"/>
    </row>
    <row r="80" spans="1:10">
      <c r="A80" s="44"/>
      <c r="B80" s="45"/>
    </row>
    <row r="81" spans="1:2">
      <c r="A81" s="44"/>
      <c r="B81" s="45"/>
    </row>
    <row r="82" spans="1:2">
      <c r="A82" s="44"/>
      <c r="B82" s="45"/>
    </row>
    <row r="83" spans="1:2">
      <c r="A83" s="44"/>
      <c r="B83" s="45"/>
    </row>
    <row r="84" spans="1:2">
      <c r="A84" s="44"/>
      <c r="B84" s="45"/>
    </row>
    <row r="85" spans="1:2">
      <c r="A85" s="44"/>
      <c r="B85" s="45"/>
    </row>
    <row r="86" spans="1:2">
      <c r="A86" s="44"/>
      <c r="B86" s="45"/>
    </row>
    <row r="87" spans="1:2">
      <c r="A87" s="44"/>
      <c r="B87" s="45"/>
    </row>
    <row r="88" spans="1:2">
      <c r="A88" s="44"/>
      <c r="B88" s="45"/>
    </row>
    <row r="89" spans="1:2">
      <c r="A89" s="44"/>
      <c r="B89" s="45"/>
    </row>
    <row r="90" spans="1:2">
      <c r="A90" s="44"/>
      <c r="B90" s="45"/>
    </row>
    <row r="91" spans="1:2">
      <c r="A91" s="44"/>
      <c r="B91" s="45"/>
    </row>
    <row r="92" spans="1:2">
      <c r="A92" s="44"/>
      <c r="B92" s="45"/>
    </row>
    <row r="93" spans="1:2">
      <c r="A93" s="44"/>
      <c r="B93" s="45"/>
    </row>
    <row r="94" spans="1:2">
      <c r="A94" s="44"/>
      <c r="B94" s="45"/>
    </row>
    <row r="95" spans="1:2">
      <c r="A95" s="44"/>
      <c r="B95" s="45"/>
    </row>
  </sheetData>
  <mergeCells count="127">
    <mergeCell ref="A18:B18"/>
    <mergeCell ref="A74:B74"/>
    <mergeCell ref="A19:B19"/>
    <mergeCell ref="A20:B20"/>
    <mergeCell ref="A21:B21"/>
    <mergeCell ref="A22:B22"/>
    <mergeCell ref="A23:B23"/>
    <mergeCell ref="A24:B24"/>
    <mergeCell ref="A25:B25"/>
    <mergeCell ref="A26:B26"/>
    <mergeCell ref="A33:B33"/>
    <mergeCell ref="A34:B34"/>
    <mergeCell ref="A35:B35"/>
    <mergeCell ref="A36:B36"/>
    <mergeCell ref="A37:B37"/>
    <mergeCell ref="A38:B38"/>
    <mergeCell ref="A27:B27"/>
    <mergeCell ref="A28:B28"/>
    <mergeCell ref="A29:B29"/>
    <mergeCell ref="A30:B30"/>
    <mergeCell ref="A45:B45"/>
    <mergeCell ref="A46:B46"/>
    <mergeCell ref="A47:B47"/>
    <mergeCell ref="A48:B48"/>
    <mergeCell ref="A49:B49"/>
    <mergeCell ref="A50:B50"/>
    <mergeCell ref="A39:B39"/>
    <mergeCell ref="A40:B40"/>
    <mergeCell ref="A41:B41"/>
    <mergeCell ref="A42:B42"/>
    <mergeCell ref="A57:B57"/>
    <mergeCell ref="A58:B58"/>
    <mergeCell ref="A59:B59"/>
    <mergeCell ref="A60:B60"/>
    <mergeCell ref="A61:B61"/>
    <mergeCell ref="A62:B62"/>
    <mergeCell ref="A51:B51"/>
    <mergeCell ref="A52:B52"/>
    <mergeCell ref="A53:B53"/>
    <mergeCell ref="A54:B54"/>
    <mergeCell ref="A55:B55"/>
    <mergeCell ref="A56:B56"/>
    <mergeCell ref="A69:B69"/>
    <mergeCell ref="A70:B70"/>
    <mergeCell ref="A71:B71"/>
    <mergeCell ref="A72:B72"/>
    <mergeCell ref="A73:B73"/>
    <mergeCell ref="A75:B75"/>
    <mergeCell ref="A63:B63"/>
    <mergeCell ref="A64:B64"/>
    <mergeCell ref="A65:B65"/>
    <mergeCell ref="A66:B66"/>
    <mergeCell ref="A67:B67"/>
    <mergeCell ref="A68:B68"/>
    <mergeCell ref="A94:B94"/>
    <mergeCell ref="A95:B95"/>
    <mergeCell ref="A31:B31"/>
    <mergeCell ref="A32:B32"/>
    <mergeCell ref="A43:B43"/>
    <mergeCell ref="A44:B44"/>
    <mergeCell ref="A88:B88"/>
    <mergeCell ref="A89:B89"/>
    <mergeCell ref="A90:B90"/>
    <mergeCell ref="A91:B91"/>
    <mergeCell ref="A92:B92"/>
    <mergeCell ref="A93:B93"/>
    <mergeCell ref="A82:B82"/>
    <mergeCell ref="A83:B83"/>
    <mergeCell ref="A84:B84"/>
    <mergeCell ref="A85:B85"/>
    <mergeCell ref="A86:B86"/>
    <mergeCell ref="A87:B87"/>
    <mergeCell ref="A76:B76"/>
    <mergeCell ref="A77:B77"/>
    <mergeCell ref="A78:B78"/>
    <mergeCell ref="A79:B79"/>
    <mergeCell ref="A80:B80"/>
    <mergeCell ref="A81:B81"/>
    <mergeCell ref="G24:H24"/>
    <mergeCell ref="G25:H25"/>
    <mergeCell ref="G26:H26"/>
    <mergeCell ref="G27:H27"/>
    <mergeCell ref="G28:H28"/>
    <mergeCell ref="G29:H29"/>
    <mergeCell ref="G18:H18"/>
    <mergeCell ref="G19:H19"/>
    <mergeCell ref="G20:H20"/>
    <mergeCell ref="G21:H21"/>
    <mergeCell ref="G22:H22"/>
    <mergeCell ref="G23:H23"/>
    <mergeCell ref="G36:H36"/>
    <mergeCell ref="G37:H37"/>
    <mergeCell ref="G38:H38"/>
    <mergeCell ref="G39:H39"/>
    <mergeCell ref="G40:H40"/>
    <mergeCell ref="G41:H41"/>
    <mergeCell ref="G30:H30"/>
    <mergeCell ref="G31:H31"/>
    <mergeCell ref="G32:H32"/>
    <mergeCell ref="G33:H33"/>
    <mergeCell ref="G34:H34"/>
    <mergeCell ref="G35:H35"/>
    <mergeCell ref="G48:H48"/>
    <mergeCell ref="G49:H49"/>
    <mergeCell ref="G50:H50"/>
    <mergeCell ref="G51:H51"/>
    <mergeCell ref="G52:H52"/>
    <mergeCell ref="G53:H53"/>
    <mergeCell ref="G42:H42"/>
    <mergeCell ref="G43:H43"/>
    <mergeCell ref="G44:H44"/>
    <mergeCell ref="G45:H45"/>
    <mergeCell ref="G46:H46"/>
    <mergeCell ref="G47:H47"/>
    <mergeCell ref="G66:H66"/>
    <mergeCell ref="G60:H60"/>
    <mergeCell ref="G61:H61"/>
    <mergeCell ref="G62:H62"/>
    <mergeCell ref="G63:H63"/>
    <mergeCell ref="G64:H64"/>
    <mergeCell ref="G65:H65"/>
    <mergeCell ref="G54:H54"/>
    <mergeCell ref="G55:H55"/>
    <mergeCell ref="G56:H56"/>
    <mergeCell ref="G57:H57"/>
    <mergeCell ref="G58:H58"/>
    <mergeCell ref="G59:H59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547df8f-d563-4397-969a-c4a8f56a21e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D6FD77FDB45B74BA1ED6CC6D5D8BD51" ma:contentTypeVersion="15" ma:contentTypeDescription="Create a new document." ma:contentTypeScope="" ma:versionID="fdd50d1c17090897258673a81a714f66">
  <xsd:schema xmlns:xsd="http://www.w3.org/2001/XMLSchema" xmlns:xs="http://www.w3.org/2001/XMLSchema" xmlns:p="http://schemas.microsoft.com/office/2006/metadata/properties" xmlns:ns3="9547df8f-d563-4397-969a-c4a8f56a21ef" xmlns:ns4="34ca6133-f4c4-4920-a0aa-9eb3fb12a71b" targetNamespace="http://schemas.microsoft.com/office/2006/metadata/properties" ma:root="true" ma:fieldsID="6fee40d1d10d2984b5cbd5edf8314105" ns3:_="" ns4:_="">
    <xsd:import namespace="9547df8f-d563-4397-969a-c4a8f56a21ef"/>
    <xsd:import namespace="34ca6133-f4c4-4920-a0aa-9eb3fb12a71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7df8f-d563-4397-969a-c4a8f56a21e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ca6133-f4c4-4920-a0aa-9eb3fb12a71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676DCAB-64AF-4B8A-97D2-444FE18E50F4}"/>
</file>

<file path=customXml/itemProps2.xml><?xml version="1.0" encoding="utf-8"?>
<ds:datastoreItem xmlns:ds="http://schemas.openxmlformats.org/officeDocument/2006/customXml" ds:itemID="{92945CC1-ADEB-469E-BD42-86C75FE1073D}"/>
</file>

<file path=customXml/itemProps3.xml><?xml version="1.0" encoding="utf-8"?>
<ds:datastoreItem xmlns:ds="http://schemas.openxmlformats.org/officeDocument/2006/customXml" ds:itemID="{CC9F7F91-F227-496C-B3AF-D65CC525D1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/>
  <cp:revision/>
  <dcterms:created xsi:type="dcterms:W3CDTF">2022-03-24T08:55:57Z</dcterms:created>
  <dcterms:modified xsi:type="dcterms:W3CDTF">2026-05-13T20:01:27Z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0x0101008D6FD77FDB45B74BA1ED6CC6D5D8BD51</vt:lpwstr>
  </property>
</Properties>
</file>